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Commercial/Account Manager/"/>
    </mc:Choice>
  </mc:AlternateContent>
  <xr:revisionPtr revIDLastSave="0" documentId="8_{485B23BB-541A-4465-9A60-312BA39995A1}" xr6:coauthVersionLast="40" xr6:coauthVersionMax="40" xr10:uidLastSave="{00000000-0000-0000-0000-000000000000}"/>
  <bookViews>
    <workbookView minimized="1" xWindow="24500" yWindow="5200" windowWidth="9600" windowHeight="4910" tabRatio="710" xr2:uid="{00000000-000D-0000-FFFF-FFFF00000000}"/>
  </bookViews>
  <sheets>
    <sheet name="Handover Notice" sheetId="83" r:id="rId1"/>
    <sheet name="Validation" sheetId="70" state="veryHidden" r:id="rId2"/>
    <sheet name="Anchor" sheetId="85" state="veryHidden" r:id="rId3"/>
  </sheets>
  <functionGroups builtInGroupCount="19"/>
  <definedNames>
    <definedName name="_xlnm._FilterDatabase" localSheetId="1" hidden="1">Validation!#REF!</definedName>
    <definedName name="ColoID">'Handover Notice'!$D$6</definedName>
    <definedName name="ExternalData_1" localSheetId="2" hidden="1">Anchor!$A$1:$D$3096</definedName>
    <definedName name="ExternalData_1" localSheetId="1" hidden="1">Validation!$A$15:$BD$422</definedName>
    <definedName name="_xlnm.Print_Area" localSheetId="0">'Handover Notice'!$B$1:$N$58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E16" i="70" l="1"/>
  <c r="BE17" i="70"/>
  <c r="BE18" i="70"/>
  <c r="BE19" i="70"/>
  <c r="BE20" i="70"/>
  <c r="BE21" i="70"/>
  <c r="BE22" i="70"/>
  <c r="BE23" i="70"/>
  <c r="BE24" i="70"/>
  <c r="BE25" i="70"/>
  <c r="BE26" i="70"/>
  <c r="BE27" i="70"/>
  <c r="BE28" i="70"/>
  <c r="BE29" i="70"/>
  <c r="BE30" i="70"/>
  <c r="BE31" i="70"/>
  <c r="BE32" i="70"/>
  <c r="BE33" i="70"/>
  <c r="BE34" i="70"/>
  <c r="BE35" i="70"/>
  <c r="BE36" i="70"/>
  <c r="BE37" i="70"/>
  <c r="BE38" i="70"/>
  <c r="BE39" i="70"/>
  <c r="BE40" i="70"/>
  <c r="BE41" i="70"/>
  <c r="BE42" i="70"/>
  <c r="BE43" i="70"/>
  <c r="BE44" i="70"/>
  <c r="BE45" i="70"/>
  <c r="BE46" i="70"/>
  <c r="BE47" i="70"/>
  <c r="BE48" i="70"/>
  <c r="BE49" i="70"/>
  <c r="BE50" i="70"/>
  <c r="BE51" i="70"/>
  <c r="BE52" i="70"/>
  <c r="BE53" i="70"/>
  <c r="BE54" i="70"/>
  <c r="BE55" i="70"/>
  <c r="BE56" i="70"/>
  <c r="BE57" i="70"/>
  <c r="BE58" i="70"/>
  <c r="BE59" i="70"/>
  <c r="BE60" i="70"/>
  <c r="BE61" i="70"/>
  <c r="BE62" i="70"/>
  <c r="BE63" i="70"/>
  <c r="BE64" i="70"/>
  <c r="BE65" i="70"/>
  <c r="BE66" i="70"/>
  <c r="BE67" i="70"/>
  <c r="BE68" i="70"/>
  <c r="BE69" i="70"/>
  <c r="BE70" i="70"/>
  <c r="BE71" i="70"/>
  <c r="BE72" i="70"/>
  <c r="BE73" i="70"/>
  <c r="BE74" i="70"/>
  <c r="BE75" i="70"/>
  <c r="BE76" i="70"/>
  <c r="BE77" i="70"/>
  <c r="BE78" i="70"/>
  <c r="BE79" i="70"/>
  <c r="BE80" i="70"/>
  <c r="BE81" i="70"/>
  <c r="BE82" i="70"/>
  <c r="BE83" i="70"/>
  <c r="BE84" i="70"/>
  <c r="BE85" i="70"/>
  <c r="BE86" i="70"/>
  <c r="BE87" i="70"/>
  <c r="BE88" i="70"/>
  <c r="BE89" i="70"/>
  <c r="BE90" i="70"/>
  <c r="BE91" i="70"/>
  <c r="BE92" i="70"/>
  <c r="BE93" i="70"/>
  <c r="BE94" i="70"/>
  <c r="BE95" i="70"/>
  <c r="BE96" i="70"/>
  <c r="BE97" i="70"/>
  <c r="BE98" i="70"/>
  <c r="BE99" i="70"/>
  <c r="BE100" i="70"/>
  <c r="BE101" i="70"/>
  <c r="BE102" i="70"/>
  <c r="BE103" i="70"/>
  <c r="BE104" i="70"/>
  <c r="BE105" i="70"/>
  <c r="BE106" i="70"/>
  <c r="BE107" i="70"/>
  <c r="BE108" i="70"/>
  <c r="BE109" i="70"/>
  <c r="BE110" i="70"/>
  <c r="BE111" i="70"/>
  <c r="BE112" i="70"/>
  <c r="BE113" i="70"/>
  <c r="BE114" i="70"/>
  <c r="BE115" i="70"/>
  <c r="BE116" i="70"/>
  <c r="BE117" i="70"/>
  <c r="BE118" i="70"/>
  <c r="BE119" i="70"/>
  <c r="BE120" i="70"/>
  <c r="BE121" i="70"/>
  <c r="BE122" i="70"/>
  <c r="BE123" i="70"/>
  <c r="BE124" i="70"/>
  <c r="BE125" i="70"/>
  <c r="BE126" i="70"/>
  <c r="BE127" i="70"/>
  <c r="BE128" i="70"/>
  <c r="BE129" i="70"/>
  <c r="BE130" i="70"/>
  <c r="BE131" i="70"/>
  <c r="BE132" i="70"/>
  <c r="BE133" i="70"/>
  <c r="BE134" i="70"/>
  <c r="BE135" i="70"/>
  <c r="BE136" i="70"/>
  <c r="BE137" i="70"/>
  <c r="BE138" i="70"/>
  <c r="BE139" i="70"/>
  <c r="BE140" i="70"/>
  <c r="BE141" i="70"/>
  <c r="BE142" i="70"/>
  <c r="BE143" i="70"/>
  <c r="BE144" i="70"/>
  <c r="BE145" i="70"/>
  <c r="BE146" i="70"/>
  <c r="BE147" i="70"/>
  <c r="BE148" i="70"/>
  <c r="BE149" i="70"/>
  <c r="BE150" i="70"/>
  <c r="BE151" i="70"/>
  <c r="BE152" i="70"/>
  <c r="BE153" i="70"/>
  <c r="BE154" i="70"/>
  <c r="BE155" i="70"/>
  <c r="BE156" i="70"/>
  <c r="BE157" i="70"/>
  <c r="BE158" i="70"/>
  <c r="BE159" i="70"/>
  <c r="BE160" i="70"/>
  <c r="BE161" i="70"/>
  <c r="BE162" i="70"/>
  <c r="BE163" i="70"/>
  <c r="BE164" i="70"/>
  <c r="BE165" i="70"/>
  <c r="BE166" i="70"/>
  <c r="BE167" i="70"/>
  <c r="BE168" i="70"/>
  <c r="BE169" i="70"/>
  <c r="BE170" i="70"/>
  <c r="BE171" i="70"/>
  <c r="BE172" i="70"/>
  <c r="BE173" i="70"/>
  <c r="BE174" i="70"/>
  <c r="BE175" i="70"/>
  <c r="BE176" i="70"/>
  <c r="BE177" i="70"/>
  <c r="BE178" i="70"/>
  <c r="BE179" i="70"/>
  <c r="BE180" i="70"/>
  <c r="BE181" i="70"/>
  <c r="BE182" i="70"/>
  <c r="BE183" i="70"/>
  <c r="BE184" i="70"/>
  <c r="BE185" i="70"/>
  <c r="BE186" i="70"/>
  <c r="BE187" i="70"/>
  <c r="BE188" i="70"/>
  <c r="BE189" i="70"/>
  <c r="BE190" i="70"/>
  <c r="BE191" i="70"/>
  <c r="BE192" i="70"/>
  <c r="BE193" i="70"/>
  <c r="BE194" i="70"/>
  <c r="BE195" i="70"/>
  <c r="BE196" i="70"/>
  <c r="BE197" i="70"/>
  <c r="BE198" i="70"/>
  <c r="BE199" i="70"/>
  <c r="BE200" i="70"/>
  <c r="BE201" i="70"/>
  <c r="BE202" i="70"/>
  <c r="BE203" i="70"/>
  <c r="BE204" i="70"/>
  <c r="BE205" i="70"/>
  <c r="BE206" i="70"/>
  <c r="BE207" i="70"/>
  <c r="BE208" i="70"/>
  <c r="BE209" i="70"/>
  <c r="BE210" i="70"/>
  <c r="BE211" i="70"/>
  <c r="BE212" i="70"/>
  <c r="BE213" i="70"/>
  <c r="BE214" i="70"/>
  <c r="BE215" i="70"/>
  <c r="BE216" i="70"/>
  <c r="BE217" i="70"/>
  <c r="BE218" i="70"/>
  <c r="BE219" i="70"/>
  <c r="BE220" i="70"/>
  <c r="BE221" i="70"/>
  <c r="BE222" i="70"/>
  <c r="BE223" i="70"/>
  <c r="BE224" i="70"/>
  <c r="BE225" i="70"/>
  <c r="BE226" i="70"/>
  <c r="BE227" i="70"/>
  <c r="BE228" i="70"/>
  <c r="BE229" i="70"/>
  <c r="BE230" i="70"/>
  <c r="BE231" i="70"/>
  <c r="BE232" i="70"/>
  <c r="BE233" i="70"/>
  <c r="BE234" i="70"/>
  <c r="BE235" i="70"/>
  <c r="BE236" i="70"/>
  <c r="BE237" i="70"/>
  <c r="BE238" i="70"/>
  <c r="BE239" i="70"/>
  <c r="BE240" i="70"/>
  <c r="BE241" i="70"/>
  <c r="BE242" i="70"/>
  <c r="BE243" i="70"/>
  <c r="BE244" i="70"/>
  <c r="BE245" i="70"/>
  <c r="BE246" i="70"/>
  <c r="BE247" i="70"/>
  <c r="BE248" i="70"/>
  <c r="BE249" i="70"/>
  <c r="BE250" i="70"/>
  <c r="BE251" i="70"/>
  <c r="BE252" i="70"/>
  <c r="BE253" i="70"/>
  <c r="BE254" i="70"/>
  <c r="BE255" i="70"/>
  <c r="BE256" i="70"/>
  <c r="BE257" i="70"/>
  <c r="BE258" i="70"/>
  <c r="BE259" i="70"/>
  <c r="BE260" i="70"/>
  <c r="BE261" i="70"/>
  <c r="BE262" i="70"/>
  <c r="BE263" i="70"/>
  <c r="BE264" i="70"/>
  <c r="BE265" i="70"/>
  <c r="BE266" i="70"/>
  <c r="BE267" i="70"/>
  <c r="BE268" i="70"/>
  <c r="BE269" i="70"/>
  <c r="BE270" i="70"/>
  <c r="BE271" i="70"/>
  <c r="BE272" i="70"/>
  <c r="BE273" i="70"/>
  <c r="BE274" i="70"/>
  <c r="BE275" i="70"/>
  <c r="BE276" i="70"/>
  <c r="BE277" i="70"/>
  <c r="BE278" i="70"/>
  <c r="BE279" i="70"/>
  <c r="BE280" i="70"/>
  <c r="BE281" i="70"/>
  <c r="BE282" i="70"/>
  <c r="BE283" i="70"/>
  <c r="BE284" i="70"/>
  <c r="BE285" i="70"/>
  <c r="BE286" i="70"/>
  <c r="BE287" i="70"/>
  <c r="BE288" i="70"/>
  <c r="BE289" i="70"/>
  <c r="BE290" i="70"/>
  <c r="BE291" i="70"/>
  <c r="BE292" i="70"/>
  <c r="BE293" i="70"/>
  <c r="BE294" i="70"/>
  <c r="BE295" i="70"/>
  <c r="BE296" i="70"/>
  <c r="BE297" i="70"/>
  <c r="BE298" i="70"/>
  <c r="BE299" i="70"/>
  <c r="BE300" i="70"/>
  <c r="BE301" i="70"/>
  <c r="BE302" i="70"/>
  <c r="BE303" i="70"/>
  <c r="BE304" i="70"/>
  <c r="BE305" i="70"/>
  <c r="BE306" i="70"/>
  <c r="BE307" i="70"/>
  <c r="BE308" i="70"/>
  <c r="BE309" i="70"/>
  <c r="BE310" i="70"/>
  <c r="BE311" i="70"/>
  <c r="BE312" i="70"/>
  <c r="BE313" i="70"/>
  <c r="BE314" i="70"/>
  <c r="BE315" i="70"/>
  <c r="BE316" i="70"/>
  <c r="BE317" i="70"/>
  <c r="BE318" i="70"/>
  <c r="BE319" i="70"/>
  <c r="BE320" i="70"/>
  <c r="BE321" i="70"/>
  <c r="BE322" i="70"/>
  <c r="BE323" i="70"/>
  <c r="BE324" i="70"/>
  <c r="BE325" i="70"/>
  <c r="BE326" i="70"/>
  <c r="BE327" i="70"/>
  <c r="BE328" i="70"/>
  <c r="BE329" i="70"/>
  <c r="BE330" i="70"/>
  <c r="BE331" i="70"/>
  <c r="BE332" i="70"/>
  <c r="BE333" i="70"/>
  <c r="BE334" i="70"/>
  <c r="BE335" i="70"/>
  <c r="BE336" i="70"/>
  <c r="BE337" i="70"/>
  <c r="BE338" i="70"/>
  <c r="BE339" i="70"/>
  <c r="BE340" i="70"/>
  <c r="BE341" i="70"/>
  <c r="BE342" i="70"/>
  <c r="BE343" i="70"/>
  <c r="BE344" i="70"/>
  <c r="BE345" i="70"/>
  <c r="BE346" i="70"/>
  <c r="BE347" i="70"/>
  <c r="BE348" i="70"/>
  <c r="BE349" i="70"/>
  <c r="BE350" i="70"/>
  <c r="BE351" i="70"/>
  <c r="BE352" i="70"/>
  <c r="BE353" i="70"/>
  <c r="BE354" i="70"/>
  <c r="BE355" i="70"/>
  <c r="BE356" i="70"/>
  <c r="BE357" i="70"/>
  <c r="BE358" i="70"/>
  <c r="BE359" i="70"/>
  <c r="BE360" i="70"/>
  <c r="BE361" i="70"/>
  <c r="BE362" i="70"/>
  <c r="BE363" i="70"/>
  <c r="BE364" i="70"/>
  <c r="BE365" i="70"/>
  <c r="BE366" i="70"/>
  <c r="BE367" i="70"/>
  <c r="BE368" i="70"/>
  <c r="BE369" i="70"/>
  <c r="BE370" i="70"/>
  <c r="BE371" i="70"/>
  <c r="BE372" i="70"/>
  <c r="BE373" i="70"/>
  <c r="BE374" i="70"/>
  <c r="BE375" i="70"/>
  <c r="BE376" i="70"/>
  <c r="BE377" i="70"/>
  <c r="BE378" i="70"/>
  <c r="BE379" i="70"/>
  <c r="BE380" i="70"/>
  <c r="BE381" i="70"/>
  <c r="BE382" i="70"/>
  <c r="BE383" i="70"/>
  <c r="BE384" i="70"/>
  <c r="BE385" i="70"/>
  <c r="BE386" i="70"/>
  <c r="BE387" i="70"/>
  <c r="BE388" i="70"/>
  <c r="BE389" i="70"/>
  <c r="BE390" i="70"/>
  <c r="BE391" i="70"/>
  <c r="BE392" i="70"/>
  <c r="BE393" i="70"/>
  <c r="BE394" i="70"/>
  <c r="BE395" i="70"/>
  <c r="BE396" i="70"/>
  <c r="BE397" i="70"/>
  <c r="BE398" i="70"/>
  <c r="BE399" i="70"/>
  <c r="BE400" i="70"/>
  <c r="BE401" i="70"/>
  <c r="BE402" i="70"/>
  <c r="BE403" i="70"/>
  <c r="BE404" i="70"/>
  <c r="BE405" i="70"/>
  <c r="BE406" i="70"/>
  <c r="BE407" i="70"/>
  <c r="BE408" i="70"/>
  <c r="BE409" i="70"/>
  <c r="BE410" i="70"/>
  <c r="BE411" i="70"/>
  <c r="BE412" i="70"/>
  <c r="BE413" i="70"/>
  <c r="BE414" i="70"/>
  <c r="BE415" i="70"/>
  <c r="BE416" i="70"/>
  <c r="BE417" i="70"/>
  <c r="BE418" i="70"/>
  <c r="BE419" i="70"/>
  <c r="BE420" i="70"/>
  <c r="BE421" i="70"/>
  <c r="BE422" i="70"/>
  <c r="BF16" i="70"/>
  <c r="BF17" i="70"/>
  <c r="BF18" i="70"/>
  <c r="BF19" i="70"/>
  <c r="BF20" i="70"/>
  <c r="BF21" i="70"/>
  <c r="BF22" i="70"/>
  <c r="BF23" i="70"/>
  <c r="BF24" i="70"/>
  <c r="BF25" i="70"/>
  <c r="BF26" i="70"/>
  <c r="BF27" i="70"/>
  <c r="BF28" i="70"/>
  <c r="BF29" i="70"/>
  <c r="BF30" i="70"/>
  <c r="BF31" i="70"/>
  <c r="BF32" i="70"/>
  <c r="BF33" i="70"/>
  <c r="BF34" i="70"/>
  <c r="BF35" i="70"/>
  <c r="BF36" i="70"/>
  <c r="BF37" i="70"/>
  <c r="BF38" i="70"/>
  <c r="BF39" i="70"/>
  <c r="BF40" i="70"/>
  <c r="BF41" i="70"/>
  <c r="BF42" i="70"/>
  <c r="BF43" i="70"/>
  <c r="BF44" i="70"/>
  <c r="BF45" i="70"/>
  <c r="BF46" i="70"/>
  <c r="BF47" i="70"/>
  <c r="BF48" i="70"/>
  <c r="BF49" i="70"/>
  <c r="BF50" i="70"/>
  <c r="BF51" i="70"/>
  <c r="BF52" i="70"/>
  <c r="BF53" i="70"/>
  <c r="BF54" i="70"/>
  <c r="BF55" i="70"/>
  <c r="BF56" i="70"/>
  <c r="BF57" i="70"/>
  <c r="BF58" i="70"/>
  <c r="BF59" i="70"/>
  <c r="BF60" i="70"/>
  <c r="BF61" i="70"/>
  <c r="BF62" i="70"/>
  <c r="BF63" i="70"/>
  <c r="BF64" i="70"/>
  <c r="BF65" i="70"/>
  <c r="BF66" i="70"/>
  <c r="BF67" i="70"/>
  <c r="BF68" i="70"/>
  <c r="BF69" i="70"/>
  <c r="BF70" i="70"/>
  <c r="BF71" i="70"/>
  <c r="BF72" i="70"/>
  <c r="BF73" i="70"/>
  <c r="BF74" i="70"/>
  <c r="BF75" i="70"/>
  <c r="BF76" i="70"/>
  <c r="BF77" i="70"/>
  <c r="BF78" i="70"/>
  <c r="BF79" i="70"/>
  <c r="BF80" i="70"/>
  <c r="BF81" i="70"/>
  <c r="BF82" i="70"/>
  <c r="BF83" i="70"/>
  <c r="BF84" i="70"/>
  <c r="BF85" i="70"/>
  <c r="BF86" i="70"/>
  <c r="BF87" i="70"/>
  <c r="BF88" i="70"/>
  <c r="BF89" i="70"/>
  <c r="BF90" i="70"/>
  <c r="BF91" i="70"/>
  <c r="BF92" i="70"/>
  <c r="BF93" i="70"/>
  <c r="BF94" i="70"/>
  <c r="BF95" i="70"/>
  <c r="BF96" i="70"/>
  <c r="BF97" i="70"/>
  <c r="BF98" i="70"/>
  <c r="BF99" i="70"/>
  <c r="BF100" i="70"/>
  <c r="BF101" i="70"/>
  <c r="BF102" i="70"/>
  <c r="BF103" i="70"/>
  <c r="BF104" i="70"/>
  <c r="BF105" i="70"/>
  <c r="BF106" i="70"/>
  <c r="BF107" i="70"/>
  <c r="BF108" i="70"/>
  <c r="BF109" i="70"/>
  <c r="BF110" i="70"/>
  <c r="BF111" i="70"/>
  <c r="BF112" i="70"/>
  <c r="BF113" i="70"/>
  <c r="BF114" i="70"/>
  <c r="BF115" i="70"/>
  <c r="BF116" i="70"/>
  <c r="BF117" i="70"/>
  <c r="BF118" i="70"/>
  <c r="BF119" i="70"/>
  <c r="BF120" i="70"/>
  <c r="BF121" i="70"/>
  <c r="BF122" i="70"/>
  <c r="BF123" i="70"/>
  <c r="BF124" i="70"/>
  <c r="BF125" i="70"/>
  <c r="BF126" i="70"/>
  <c r="BF127" i="70"/>
  <c r="BF128" i="70"/>
  <c r="BF129" i="70"/>
  <c r="BF130" i="70"/>
  <c r="BF131" i="70"/>
  <c r="BF132" i="70"/>
  <c r="BF133" i="70"/>
  <c r="BF134" i="70"/>
  <c r="BF135" i="70"/>
  <c r="BF136" i="70"/>
  <c r="BF137" i="70"/>
  <c r="BF138" i="70"/>
  <c r="BF139" i="70"/>
  <c r="BF140" i="70"/>
  <c r="BF141" i="70"/>
  <c r="BF142" i="70"/>
  <c r="BF143" i="70"/>
  <c r="BF144" i="70"/>
  <c r="BF145" i="70"/>
  <c r="BF146" i="70"/>
  <c r="BF147" i="70"/>
  <c r="BF148" i="70"/>
  <c r="BF149" i="70"/>
  <c r="BF150" i="70"/>
  <c r="BF151" i="70"/>
  <c r="BF152" i="70"/>
  <c r="BF153" i="70"/>
  <c r="BF154" i="70"/>
  <c r="BF155" i="70"/>
  <c r="BF156" i="70"/>
  <c r="BF157" i="70"/>
  <c r="BF158" i="70"/>
  <c r="BF159" i="70"/>
  <c r="BF160" i="70"/>
  <c r="BF161" i="70"/>
  <c r="BF162" i="70"/>
  <c r="BF163" i="70"/>
  <c r="BF164" i="70"/>
  <c r="BF165" i="70"/>
  <c r="BF166" i="70"/>
  <c r="BF167" i="70"/>
  <c r="BF168" i="70"/>
  <c r="BF169" i="70"/>
  <c r="BF170" i="70"/>
  <c r="BF171" i="70"/>
  <c r="BF172" i="70"/>
  <c r="BF173" i="70"/>
  <c r="BF174" i="70"/>
  <c r="BF175" i="70"/>
  <c r="BF176" i="70"/>
  <c r="BF177" i="70"/>
  <c r="BF178" i="70"/>
  <c r="BF179" i="70"/>
  <c r="BF180" i="70"/>
  <c r="BF181" i="70"/>
  <c r="BF182" i="70"/>
  <c r="BF183" i="70"/>
  <c r="BF184" i="70"/>
  <c r="BF185" i="70"/>
  <c r="BF186" i="70"/>
  <c r="BF187" i="70"/>
  <c r="BF188" i="70"/>
  <c r="BF189" i="70"/>
  <c r="BF190" i="70"/>
  <c r="BF191" i="70"/>
  <c r="BF192" i="70"/>
  <c r="BF193" i="70"/>
  <c r="BF194" i="70"/>
  <c r="BF195" i="70"/>
  <c r="BF196" i="70"/>
  <c r="BF197" i="70"/>
  <c r="BF198" i="70"/>
  <c r="BF199" i="70"/>
  <c r="BF200" i="70"/>
  <c r="BF201" i="70"/>
  <c r="BF202" i="70"/>
  <c r="BF203" i="70"/>
  <c r="BF204" i="70"/>
  <c r="BF205" i="70"/>
  <c r="BF206" i="70"/>
  <c r="BF207" i="70"/>
  <c r="BF208" i="70"/>
  <c r="BF209" i="70"/>
  <c r="BF210" i="70"/>
  <c r="BF211" i="70"/>
  <c r="BF212" i="70"/>
  <c r="BF213" i="70"/>
  <c r="BF214" i="70"/>
  <c r="BF215" i="70"/>
  <c r="BF216" i="70"/>
  <c r="BF217" i="70"/>
  <c r="BF218" i="70"/>
  <c r="BF219" i="70"/>
  <c r="BF220" i="70"/>
  <c r="BF221" i="70"/>
  <c r="BF222" i="70"/>
  <c r="BF223" i="70"/>
  <c r="BF224" i="70"/>
  <c r="BF225" i="70"/>
  <c r="BF226" i="70"/>
  <c r="BF227" i="70"/>
  <c r="BF228" i="70"/>
  <c r="BF229" i="70"/>
  <c r="BF230" i="70"/>
  <c r="BF231" i="70"/>
  <c r="BF232" i="70"/>
  <c r="BF233" i="70"/>
  <c r="BF234" i="70"/>
  <c r="BF235" i="70"/>
  <c r="BF236" i="70"/>
  <c r="BF237" i="70"/>
  <c r="BF238" i="70"/>
  <c r="BF239" i="70"/>
  <c r="BF240" i="70"/>
  <c r="BF241" i="70"/>
  <c r="BF242" i="70"/>
  <c r="BF243" i="70"/>
  <c r="BF244" i="70"/>
  <c r="BF245" i="70"/>
  <c r="BF246" i="70"/>
  <c r="BF247" i="70"/>
  <c r="BF248" i="70"/>
  <c r="BF249" i="70"/>
  <c r="BF250" i="70"/>
  <c r="BF251" i="70"/>
  <c r="BF252" i="70"/>
  <c r="BF253" i="70"/>
  <c r="BF254" i="70"/>
  <c r="BF255" i="70"/>
  <c r="BF256" i="70"/>
  <c r="BF257" i="70"/>
  <c r="BF258" i="70"/>
  <c r="BF259" i="70"/>
  <c r="BF260" i="70"/>
  <c r="BF261" i="70"/>
  <c r="BF262" i="70"/>
  <c r="BF263" i="70"/>
  <c r="BF264" i="70"/>
  <c r="BF265" i="70"/>
  <c r="BF266" i="70"/>
  <c r="BF267" i="70"/>
  <c r="BF268" i="70"/>
  <c r="BF269" i="70"/>
  <c r="BF270" i="70"/>
  <c r="BF271" i="70"/>
  <c r="BF272" i="70"/>
  <c r="BF273" i="70"/>
  <c r="BF274" i="70"/>
  <c r="BF275" i="70"/>
  <c r="BF276" i="70"/>
  <c r="BF277" i="70"/>
  <c r="BF278" i="70"/>
  <c r="BF279" i="70"/>
  <c r="BF280" i="70"/>
  <c r="BF281" i="70"/>
  <c r="BF282" i="70"/>
  <c r="BF283" i="70"/>
  <c r="BF284" i="70"/>
  <c r="BF285" i="70"/>
  <c r="BF286" i="70"/>
  <c r="BF287" i="70"/>
  <c r="BF288" i="70"/>
  <c r="BF289" i="70"/>
  <c r="BF290" i="70"/>
  <c r="BF291" i="70"/>
  <c r="BF292" i="70"/>
  <c r="BF293" i="70"/>
  <c r="BF294" i="70"/>
  <c r="BF295" i="70"/>
  <c r="BF296" i="70"/>
  <c r="BF297" i="70"/>
  <c r="BF298" i="70"/>
  <c r="BF299" i="70"/>
  <c r="BF300" i="70"/>
  <c r="BF301" i="70"/>
  <c r="BF302" i="70"/>
  <c r="BF303" i="70"/>
  <c r="BF304" i="70"/>
  <c r="BF305" i="70"/>
  <c r="BF306" i="70"/>
  <c r="BF307" i="70"/>
  <c r="BF308" i="70"/>
  <c r="BF309" i="70"/>
  <c r="BF310" i="70"/>
  <c r="BF311" i="70"/>
  <c r="BF312" i="70"/>
  <c r="BF313" i="70"/>
  <c r="BF314" i="70"/>
  <c r="BF315" i="70"/>
  <c r="BF316" i="70"/>
  <c r="BF317" i="70"/>
  <c r="BF318" i="70"/>
  <c r="BF319" i="70"/>
  <c r="BF320" i="70"/>
  <c r="BF321" i="70"/>
  <c r="BF322" i="70"/>
  <c r="BF323" i="70"/>
  <c r="BF324" i="70"/>
  <c r="BF325" i="70"/>
  <c r="BF326" i="70"/>
  <c r="BF327" i="70"/>
  <c r="BF328" i="70"/>
  <c r="BF329" i="70"/>
  <c r="BF330" i="70"/>
  <c r="BF331" i="70"/>
  <c r="BF332" i="70"/>
  <c r="BF333" i="70"/>
  <c r="BF334" i="70"/>
  <c r="BF335" i="70"/>
  <c r="BF336" i="70"/>
  <c r="BF337" i="70"/>
  <c r="BF338" i="70"/>
  <c r="BF339" i="70"/>
  <c r="BF340" i="70"/>
  <c r="BF341" i="70"/>
  <c r="BF342" i="70"/>
  <c r="BF343" i="70"/>
  <c r="BF344" i="70"/>
  <c r="BF345" i="70"/>
  <c r="BF346" i="70"/>
  <c r="BF347" i="70"/>
  <c r="BF348" i="70"/>
  <c r="BF349" i="70"/>
  <c r="BF350" i="70"/>
  <c r="BF351" i="70"/>
  <c r="BF352" i="70"/>
  <c r="BF353" i="70"/>
  <c r="BF354" i="70"/>
  <c r="BF355" i="70"/>
  <c r="BF356" i="70"/>
  <c r="BF357" i="70"/>
  <c r="BF358" i="70"/>
  <c r="BF359" i="70"/>
  <c r="BF360" i="70"/>
  <c r="BF361" i="70"/>
  <c r="BF362" i="70"/>
  <c r="BF363" i="70"/>
  <c r="BF364" i="70"/>
  <c r="BF365" i="70"/>
  <c r="BF366" i="70"/>
  <c r="BF367" i="70"/>
  <c r="BF368" i="70"/>
  <c r="BF369" i="70"/>
  <c r="BF370" i="70"/>
  <c r="BF371" i="70"/>
  <c r="BF372" i="70"/>
  <c r="BF373" i="70"/>
  <c r="BF374" i="70"/>
  <c r="BF375" i="70"/>
  <c r="BF376" i="70"/>
  <c r="BF377" i="70"/>
  <c r="BF378" i="70"/>
  <c r="BF379" i="70"/>
  <c r="BF380" i="70"/>
  <c r="BF381" i="70"/>
  <c r="BF382" i="70"/>
  <c r="BF383" i="70"/>
  <c r="BF384" i="70"/>
  <c r="BF385" i="70"/>
  <c r="BF386" i="70"/>
  <c r="BF387" i="70"/>
  <c r="BF388" i="70"/>
  <c r="BF389" i="70"/>
  <c r="BF390" i="70"/>
  <c r="BF391" i="70"/>
  <c r="BF392" i="70"/>
  <c r="BF393" i="70"/>
  <c r="BF394" i="70"/>
  <c r="BF395" i="70"/>
  <c r="BF396" i="70"/>
  <c r="BF397" i="70"/>
  <c r="BF398" i="70"/>
  <c r="BF399" i="70"/>
  <c r="BF400" i="70"/>
  <c r="BF401" i="70"/>
  <c r="BF402" i="70"/>
  <c r="BF403" i="70"/>
  <c r="BF404" i="70"/>
  <c r="BF405" i="70"/>
  <c r="BF406" i="70"/>
  <c r="BF407" i="70"/>
  <c r="BF408" i="70"/>
  <c r="BF409" i="70"/>
  <c r="BF410" i="70"/>
  <c r="BF411" i="70"/>
  <c r="BF412" i="70"/>
  <c r="BF413" i="70"/>
  <c r="BF414" i="70"/>
  <c r="BF415" i="70"/>
  <c r="BF416" i="70"/>
  <c r="BF417" i="70"/>
  <c r="BF418" i="70"/>
  <c r="BF419" i="70"/>
  <c r="BF420" i="70"/>
  <c r="BF421" i="70"/>
  <c r="BF422" i="70"/>
  <c r="BH16" i="70"/>
  <c r="BH17" i="70"/>
  <c r="BH18" i="70"/>
  <c r="BH19" i="70"/>
  <c r="BH20" i="70"/>
  <c r="BH21" i="70"/>
  <c r="BH22" i="70"/>
  <c r="BH23" i="70"/>
  <c r="BH24" i="70"/>
  <c r="BH25" i="70"/>
  <c r="BH26" i="70"/>
  <c r="BH27" i="70"/>
  <c r="BH28" i="70"/>
  <c r="BH29" i="70"/>
  <c r="BH30" i="70"/>
  <c r="BH31" i="70"/>
  <c r="BH32" i="70"/>
  <c r="BH33" i="70"/>
  <c r="BH34" i="70"/>
  <c r="BH35" i="70"/>
  <c r="BH36" i="70"/>
  <c r="BH37" i="70"/>
  <c r="BH38" i="70"/>
  <c r="BH39" i="70"/>
  <c r="BH40" i="70"/>
  <c r="BH41" i="70"/>
  <c r="BH42" i="70"/>
  <c r="BH43" i="70"/>
  <c r="BH44" i="70"/>
  <c r="BH45" i="70"/>
  <c r="BH46" i="70"/>
  <c r="BH47" i="70"/>
  <c r="BH48" i="70"/>
  <c r="BH49" i="70"/>
  <c r="BH50" i="70"/>
  <c r="BH51" i="70"/>
  <c r="BH52" i="70"/>
  <c r="BH53" i="70"/>
  <c r="BH54" i="70"/>
  <c r="BH55" i="70"/>
  <c r="BH56" i="70"/>
  <c r="BH57" i="70"/>
  <c r="BH58" i="70"/>
  <c r="BH59" i="70"/>
  <c r="BH60" i="70"/>
  <c r="BH61" i="70"/>
  <c r="BH62" i="70"/>
  <c r="BH63" i="70"/>
  <c r="BH64" i="70"/>
  <c r="BH65" i="70"/>
  <c r="BH66" i="70"/>
  <c r="BH67" i="70"/>
  <c r="BH68" i="70"/>
  <c r="BH69" i="70"/>
  <c r="BH70" i="70"/>
  <c r="BH71" i="70"/>
  <c r="BH72" i="70"/>
  <c r="BH73" i="70"/>
  <c r="BH74" i="70"/>
  <c r="BH75" i="70"/>
  <c r="BH76" i="70"/>
  <c r="BH77" i="70"/>
  <c r="BH78" i="70"/>
  <c r="BH79" i="70"/>
  <c r="BH80" i="70"/>
  <c r="BH81" i="70"/>
  <c r="BH82" i="70"/>
  <c r="BH83" i="70"/>
  <c r="BH84" i="70"/>
  <c r="BH85" i="70"/>
  <c r="BH86" i="70"/>
  <c r="BH87" i="70"/>
  <c r="BH88" i="70"/>
  <c r="BH89" i="70"/>
  <c r="BH90" i="70"/>
  <c r="BH91" i="70"/>
  <c r="BH92" i="70"/>
  <c r="BH93" i="70"/>
  <c r="BH94" i="70"/>
  <c r="BH95" i="70"/>
  <c r="BH96" i="70"/>
  <c r="BH97" i="70"/>
  <c r="BH98" i="70"/>
  <c r="BH99" i="70"/>
  <c r="BH100" i="70"/>
  <c r="BH101" i="70"/>
  <c r="BH102" i="70"/>
  <c r="BH103" i="70"/>
  <c r="BH104" i="70"/>
  <c r="BH105" i="70"/>
  <c r="BH106" i="70"/>
  <c r="BH107" i="70"/>
  <c r="BH108" i="70"/>
  <c r="BH109" i="70"/>
  <c r="BH110" i="70"/>
  <c r="BH111" i="70"/>
  <c r="BH112" i="70"/>
  <c r="BH113" i="70"/>
  <c r="BH114" i="70"/>
  <c r="BH115" i="70"/>
  <c r="BH116" i="70"/>
  <c r="BH117" i="70"/>
  <c r="BH118" i="70"/>
  <c r="BH119" i="70"/>
  <c r="BH120" i="70"/>
  <c r="BH121" i="70"/>
  <c r="BH122" i="70"/>
  <c r="BH123" i="70"/>
  <c r="BH124" i="70"/>
  <c r="BH125" i="70"/>
  <c r="BH126" i="70"/>
  <c r="BH127" i="70"/>
  <c r="BH128" i="70"/>
  <c r="BH129" i="70"/>
  <c r="BH130" i="70"/>
  <c r="BH131" i="70"/>
  <c r="BH132" i="70"/>
  <c r="BH133" i="70"/>
  <c r="BH134" i="70"/>
  <c r="BH135" i="70"/>
  <c r="BH136" i="70"/>
  <c r="BH137" i="70"/>
  <c r="BH138" i="70"/>
  <c r="BH139" i="70"/>
  <c r="BH140" i="70"/>
  <c r="BH141" i="70"/>
  <c r="BH142" i="70"/>
  <c r="BH143" i="70"/>
  <c r="BH144" i="70"/>
  <c r="BH145" i="70"/>
  <c r="BH146" i="70"/>
  <c r="BH147" i="70"/>
  <c r="BH148" i="70"/>
  <c r="BH149" i="70"/>
  <c r="BH150" i="70"/>
  <c r="BH151" i="70"/>
  <c r="BH152" i="70"/>
  <c r="BH153" i="70"/>
  <c r="BH154" i="70"/>
  <c r="BH155" i="70"/>
  <c r="BH156" i="70"/>
  <c r="BH157" i="70"/>
  <c r="BH158" i="70"/>
  <c r="BH159" i="70"/>
  <c r="BH160" i="70"/>
  <c r="BH161" i="70"/>
  <c r="BH162" i="70"/>
  <c r="BH163" i="70"/>
  <c r="BH164" i="70"/>
  <c r="BH165" i="70"/>
  <c r="BH166" i="70"/>
  <c r="BH167" i="70"/>
  <c r="BH168" i="70"/>
  <c r="BH169" i="70"/>
  <c r="BH170" i="70"/>
  <c r="BH171" i="70"/>
  <c r="BH172" i="70"/>
  <c r="BH173" i="70"/>
  <c r="BH174" i="70"/>
  <c r="BH175" i="70"/>
  <c r="BH176" i="70"/>
  <c r="BH177" i="70"/>
  <c r="BH178" i="70"/>
  <c r="BH179" i="70"/>
  <c r="BH180" i="70"/>
  <c r="BH181" i="70"/>
  <c r="BH182" i="70"/>
  <c r="BH183" i="70"/>
  <c r="BH184" i="70"/>
  <c r="BH185" i="70"/>
  <c r="BH186" i="70"/>
  <c r="BH187" i="70"/>
  <c r="BH188" i="70"/>
  <c r="BH189" i="70"/>
  <c r="BH190" i="70"/>
  <c r="BH191" i="70"/>
  <c r="BH192" i="70"/>
  <c r="BH193" i="70"/>
  <c r="BH194" i="70"/>
  <c r="BH195" i="70"/>
  <c r="BH196" i="70"/>
  <c r="BH197" i="70"/>
  <c r="BH198" i="70"/>
  <c r="BH199" i="70"/>
  <c r="BH200" i="70"/>
  <c r="BH201" i="70"/>
  <c r="BH202" i="70"/>
  <c r="BH203" i="70"/>
  <c r="BH204" i="70"/>
  <c r="BH205" i="70"/>
  <c r="BH206" i="70"/>
  <c r="BH207" i="70"/>
  <c r="BH208" i="70"/>
  <c r="BH209" i="70"/>
  <c r="BH210" i="70"/>
  <c r="BH211" i="70"/>
  <c r="BH212" i="70"/>
  <c r="BH213" i="70"/>
  <c r="BH214" i="70"/>
  <c r="BH215" i="70"/>
  <c r="BH216" i="70"/>
  <c r="BH217" i="70"/>
  <c r="BH218" i="70"/>
  <c r="BH219" i="70"/>
  <c r="BH220" i="70"/>
  <c r="BH221" i="70"/>
  <c r="BH222" i="70"/>
  <c r="BH223" i="70"/>
  <c r="BH224" i="70"/>
  <c r="BH225" i="70"/>
  <c r="BH226" i="70"/>
  <c r="BH227" i="70"/>
  <c r="BH228" i="70"/>
  <c r="BH229" i="70"/>
  <c r="BH230" i="70"/>
  <c r="BH231" i="70"/>
  <c r="BH232" i="70"/>
  <c r="BH233" i="70"/>
  <c r="BH234" i="70"/>
  <c r="BH235" i="70"/>
  <c r="BH236" i="70"/>
  <c r="BH237" i="70"/>
  <c r="BH238" i="70"/>
  <c r="BH239" i="70"/>
  <c r="BH240" i="70"/>
  <c r="BH241" i="70"/>
  <c r="BH242" i="70"/>
  <c r="BH243" i="70"/>
  <c r="BH244" i="70"/>
  <c r="BH245" i="70"/>
  <c r="BH246" i="70"/>
  <c r="BH247" i="70"/>
  <c r="BH248" i="70"/>
  <c r="BH249" i="70"/>
  <c r="BH250" i="70"/>
  <c r="BH251" i="70"/>
  <c r="BH252" i="70"/>
  <c r="BH253" i="70"/>
  <c r="BH254" i="70"/>
  <c r="BH255" i="70"/>
  <c r="BH256" i="70"/>
  <c r="BH257" i="70"/>
  <c r="BH258" i="70"/>
  <c r="BH259" i="70"/>
  <c r="BH260" i="70"/>
  <c r="BH261" i="70"/>
  <c r="BH262" i="70"/>
  <c r="BH263" i="70"/>
  <c r="BH264" i="70"/>
  <c r="BH265" i="70"/>
  <c r="BH266" i="70"/>
  <c r="BH267" i="70"/>
  <c r="BH268" i="70"/>
  <c r="BH269" i="70"/>
  <c r="BH270" i="70"/>
  <c r="BH271" i="70"/>
  <c r="BH272" i="70"/>
  <c r="BH273" i="70"/>
  <c r="BH274" i="70"/>
  <c r="BH275" i="70"/>
  <c r="BH276" i="70"/>
  <c r="BH277" i="70"/>
  <c r="BH278" i="70"/>
  <c r="BH279" i="70"/>
  <c r="BH280" i="70"/>
  <c r="BH281" i="70"/>
  <c r="BH282" i="70"/>
  <c r="BH283" i="70"/>
  <c r="BH284" i="70"/>
  <c r="BH285" i="70"/>
  <c r="BH286" i="70"/>
  <c r="BH287" i="70"/>
  <c r="BH288" i="70"/>
  <c r="BH289" i="70"/>
  <c r="BH290" i="70"/>
  <c r="BH291" i="70"/>
  <c r="BH292" i="70"/>
  <c r="BH293" i="70"/>
  <c r="BH294" i="70"/>
  <c r="BH295" i="70"/>
  <c r="BH296" i="70"/>
  <c r="BH297" i="70"/>
  <c r="BH298" i="70"/>
  <c r="BH299" i="70"/>
  <c r="BH300" i="70"/>
  <c r="BH301" i="70"/>
  <c r="BH302" i="70"/>
  <c r="BH303" i="70"/>
  <c r="BH304" i="70"/>
  <c r="BH305" i="70"/>
  <c r="BH306" i="70"/>
  <c r="BH307" i="70"/>
  <c r="BH308" i="70"/>
  <c r="BH309" i="70"/>
  <c r="BH310" i="70"/>
  <c r="BH311" i="70"/>
  <c r="BH312" i="70"/>
  <c r="BH313" i="70"/>
  <c r="BH314" i="70"/>
  <c r="BH315" i="70"/>
  <c r="BH316" i="70"/>
  <c r="BH317" i="70"/>
  <c r="BH318" i="70"/>
  <c r="BH319" i="70"/>
  <c r="BH320" i="70"/>
  <c r="BH321" i="70"/>
  <c r="BH322" i="70"/>
  <c r="BH323" i="70"/>
  <c r="BH324" i="70"/>
  <c r="BH325" i="70"/>
  <c r="BH326" i="70"/>
  <c r="BH327" i="70"/>
  <c r="BH328" i="70"/>
  <c r="BH329" i="70"/>
  <c r="BH330" i="70"/>
  <c r="BH331" i="70"/>
  <c r="BH332" i="70"/>
  <c r="BH333" i="70"/>
  <c r="BH334" i="70"/>
  <c r="BH335" i="70"/>
  <c r="BH336" i="70"/>
  <c r="BH337" i="70"/>
  <c r="BH338" i="70"/>
  <c r="BH339" i="70"/>
  <c r="BH340" i="70"/>
  <c r="BH341" i="70"/>
  <c r="BH342" i="70"/>
  <c r="BH343" i="70"/>
  <c r="BH344" i="70"/>
  <c r="BH345" i="70"/>
  <c r="BH346" i="70"/>
  <c r="BH347" i="70"/>
  <c r="BH348" i="70"/>
  <c r="BH349" i="70"/>
  <c r="BH350" i="70"/>
  <c r="BH351" i="70"/>
  <c r="BH352" i="70"/>
  <c r="BH353" i="70"/>
  <c r="BH354" i="70"/>
  <c r="BH355" i="70"/>
  <c r="BH356" i="70"/>
  <c r="BH357" i="70"/>
  <c r="BH358" i="70"/>
  <c r="BH359" i="70"/>
  <c r="BH360" i="70"/>
  <c r="BH361" i="70"/>
  <c r="BH362" i="70"/>
  <c r="BH363" i="70"/>
  <c r="BH364" i="70"/>
  <c r="BH365" i="70"/>
  <c r="BH366" i="70"/>
  <c r="BH367" i="70"/>
  <c r="BH368" i="70"/>
  <c r="BH369" i="70"/>
  <c r="BH370" i="70"/>
  <c r="BH371" i="70"/>
  <c r="BH372" i="70"/>
  <c r="BH373" i="70"/>
  <c r="BH374" i="70"/>
  <c r="BH375" i="70"/>
  <c r="BH376" i="70"/>
  <c r="BH377" i="70"/>
  <c r="BH378" i="70"/>
  <c r="BH379" i="70"/>
  <c r="BH380" i="70"/>
  <c r="BH381" i="70"/>
  <c r="BH382" i="70"/>
  <c r="BH383" i="70"/>
  <c r="BH384" i="70"/>
  <c r="BH385" i="70"/>
  <c r="BH386" i="70"/>
  <c r="BH387" i="70"/>
  <c r="BH388" i="70"/>
  <c r="BH389" i="70"/>
  <c r="BH390" i="70"/>
  <c r="BH391" i="70"/>
  <c r="BH392" i="70"/>
  <c r="BH393" i="70"/>
  <c r="BH394" i="70"/>
  <c r="BH395" i="70"/>
  <c r="BH396" i="70"/>
  <c r="BH397" i="70"/>
  <c r="BH398" i="70"/>
  <c r="BH399" i="70"/>
  <c r="BH400" i="70"/>
  <c r="BH401" i="70"/>
  <c r="BH402" i="70"/>
  <c r="BH403" i="70"/>
  <c r="BH404" i="70"/>
  <c r="BH405" i="70"/>
  <c r="BH406" i="70"/>
  <c r="BH407" i="70"/>
  <c r="BH408" i="70"/>
  <c r="BH409" i="70"/>
  <c r="BH410" i="70"/>
  <c r="BH411" i="70"/>
  <c r="BH412" i="70"/>
  <c r="BH413" i="70"/>
  <c r="BH414" i="70"/>
  <c r="BH415" i="70"/>
  <c r="BH416" i="70"/>
  <c r="BH417" i="70"/>
  <c r="BH418" i="70"/>
  <c r="BH419" i="70"/>
  <c r="BH420" i="70"/>
  <c r="BH421" i="70"/>
  <c r="BH422" i="70"/>
  <c r="BI16" i="70"/>
  <c r="BJ16" i="70" s="1"/>
  <c r="BK16" i="70" s="1"/>
  <c r="BL16" i="70" s="1"/>
  <c r="BM16" i="70" s="1"/>
  <c r="BI17" i="70"/>
  <c r="BJ17" i="70" s="1"/>
  <c r="BK17" i="70" s="1"/>
  <c r="BL17" i="70" s="1"/>
  <c r="BI18" i="70"/>
  <c r="BJ18" i="70" s="1"/>
  <c r="BK18" i="70" s="1"/>
  <c r="BL18" i="70" s="1"/>
  <c r="BM18" i="70" s="1"/>
  <c r="BI19" i="70"/>
  <c r="BJ19" i="70" s="1"/>
  <c r="BK19" i="70" s="1"/>
  <c r="BL19" i="70" s="1"/>
  <c r="BM19" i="70" s="1"/>
  <c r="BI20" i="70"/>
  <c r="BJ20" i="70" s="1"/>
  <c r="BK20" i="70" s="1"/>
  <c r="BL20" i="70" s="1"/>
  <c r="BM20" i="70" s="1"/>
  <c r="BI21" i="70"/>
  <c r="BJ21" i="70" s="1"/>
  <c r="BK21" i="70" s="1"/>
  <c r="BL21" i="70" s="1"/>
  <c r="BM21" i="70" s="1"/>
  <c r="BI22" i="70"/>
  <c r="BJ22" i="70" s="1"/>
  <c r="BK22" i="70" s="1"/>
  <c r="BL22" i="70" s="1"/>
  <c r="BM22" i="70" s="1"/>
  <c r="BI23" i="70"/>
  <c r="BJ23" i="70" s="1"/>
  <c r="BK23" i="70" s="1"/>
  <c r="BL23" i="70" s="1"/>
  <c r="BM23" i="70" s="1"/>
  <c r="BI24" i="70"/>
  <c r="BJ24" i="70" s="1"/>
  <c r="BK24" i="70" s="1"/>
  <c r="BL24" i="70" s="1"/>
  <c r="BM24" i="70" s="1"/>
  <c r="BI25" i="70"/>
  <c r="BJ25" i="70" s="1"/>
  <c r="BK25" i="70" s="1"/>
  <c r="BL25" i="70" s="1"/>
  <c r="BI26" i="70"/>
  <c r="BJ26" i="70" s="1"/>
  <c r="BK26" i="70" s="1"/>
  <c r="BL26" i="70" s="1"/>
  <c r="BM26" i="70" s="1"/>
  <c r="BI27" i="70"/>
  <c r="BJ27" i="70" s="1"/>
  <c r="BK27" i="70" s="1"/>
  <c r="BL27" i="70" s="1"/>
  <c r="BM27" i="70" s="1"/>
  <c r="BI28" i="70"/>
  <c r="BJ28" i="70" s="1"/>
  <c r="BK28" i="70" s="1"/>
  <c r="BL28" i="70" s="1"/>
  <c r="BM28" i="70" s="1"/>
  <c r="BI29" i="70"/>
  <c r="BJ29" i="70" s="1"/>
  <c r="BK29" i="70" s="1"/>
  <c r="BL29" i="70" s="1"/>
  <c r="BM29" i="70" s="1"/>
  <c r="BI30" i="70"/>
  <c r="BJ30" i="70" s="1"/>
  <c r="BK30" i="70" s="1"/>
  <c r="BL30" i="70" s="1"/>
  <c r="BM30" i="70" s="1"/>
  <c r="BI31" i="70"/>
  <c r="BJ31" i="70" s="1"/>
  <c r="BK31" i="70" s="1"/>
  <c r="BL31" i="70" s="1"/>
  <c r="BM31" i="70" s="1"/>
  <c r="BI32" i="70"/>
  <c r="BJ32" i="70" s="1"/>
  <c r="BK32" i="70" s="1"/>
  <c r="BL32" i="70" s="1"/>
  <c r="BM32" i="70" s="1"/>
  <c r="BI33" i="70"/>
  <c r="BJ33" i="70" s="1"/>
  <c r="BK33" i="70" s="1"/>
  <c r="BL33" i="70" s="1"/>
  <c r="BI34" i="70"/>
  <c r="BJ34" i="70" s="1"/>
  <c r="BK34" i="70" s="1"/>
  <c r="BL34" i="70" s="1"/>
  <c r="BM34" i="70" s="1"/>
  <c r="BI35" i="70"/>
  <c r="BJ35" i="70" s="1"/>
  <c r="BK35" i="70" s="1"/>
  <c r="BL35" i="70" s="1"/>
  <c r="BM35" i="70" s="1"/>
  <c r="BI36" i="70"/>
  <c r="BJ36" i="70" s="1"/>
  <c r="BK36" i="70" s="1"/>
  <c r="BL36" i="70" s="1"/>
  <c r="BM36" i="70" s="1"/>
  <c r="BI37" i="70"/>
  <c r="BJ37" i="70" s="1"/>
  <c r="BK37" i="70" s="1"/>
  <c r="BL37" i="70" s="1"/>
  <c r="BM37" i="70" s="1"/>
  <c r="BI38" i="70"/>
  <c r="BJ38" i="70" s="1"/>
  <c r="BK38" i="70" s="1"/>
  <c r="BL38" i="70" s="1"/>
  <c r="BM38" i="70" s="1"/>
  <c r="BI39" i="70"/>
  <c r="BJ39" i="70" s="1"/>
  <c r="BK39" i="70" s="1"/>
  <c r="BL39" i="70" s="1"/>
  <c r="BM39" i="70" s="1"/>
  <c r="BI40" i="70"/>
  <c r="BJ40" i="70" s="1"/>
  <c r="BK40" i="70" s="1"/>
  <c r="BL40" i="70" s="1"/>
  <c r="BM40" i="70" s="1"/>
  <c r="BI41" i="70"/>
  <c r="BJ41" i="70" s="1"/>
  <c r="BK41" i="70" s="1"/>
  <c r="BL41" i="70" s="1"/>
  <c r="BI42" i="70"/>
  <c r="BJ42" i="70" s="1"/>
  <c r="BK42" i="70" s="1"/>
  <c r="BL42" i="70" s="1"/>
  <c r="BM42" i="70" s="1"/>
  <c r="BI43" i="70"/>
  <c r="BJ43" i="70" s="1"/>
  <c r="BK43" i="70" s="1"/>
  <c r="BL43" i="70" s="1"/>
  <c r="BM43" i="70" s="1"/>
  <c r="BI44" i="70"/>
  <c r="BJ44" i="70" s="1"/>
  <c r="BK44" i="70" s="1"/>
  <c r="BL44" i="70" s="1"/>
  <c r="BM44" i="70" s="1"/>
  <c r="BI45" i="70"/>
  <c r="BJ45" i="70" s="1"/>
  <c r="BK45" i="70" s="1"/>
  <c r="BL45" i="70" s="1"/>
  <c r="BM45" i="70" s="1"/>
  <c r="BI46" i="70"/>
  <c r="BJ46" i="70" s="1"/>
  <c r="BK46" i="70" s="1"/>
  <c r="BL46" i="70" s="1"/>
  <c r="BM46" i="70" s="1"/>
  <c r="BI47" i="70"/>
  <c r="BJ47" i="70" s="1"/>
  <c r="BK47" i="70" s="1"/>
  <c r="BL47" i="70" s="1"/>
  <c r="BI48" i="70"/>
  <c r="BJ48" i="70" s="1"/>
  <c r="BK48" i="70" s="1"/>
  <c r="BL48" i="70" s="1"/>
  <c r="BM48" i="70" s="1"/>
  <c r="BI49" i="70"/>
  <c r="BJ49" i="70" s="1"/>
  <c r="BK49" i="70" s="1"/>
  <c r="BL49" i="70" s="1"/>
  <c r="BI50" i="70"/>
  <c r="BJ50" i="70" s="1"/>
  <c r="BK50" i="70" s="1"/>
  <c r="BL50" i="70" s="1"/>
  <c r="BM50" i="70" s="1"/>
  <c r="BI51" i="70"/>
  <c r="BJ51" i="70" s="1"/>
  <c r="BK51" i="70" s="1"/>
  <c r="BL51" i="70" s="1"/>
  <c r="BM51" i="70" s="1"/>
  <c r="BI52" i="70"/>
  <c r="BJ52" i="70" s="1"/>
  <c r="BK52" i="70" s="1"/>
  <c r="BL52" i="70" s="1"/>
  <c r="BM52" i="70" s="1"/>
  <c r="BI53" i="70"/>
  <c r="BJ53" i="70" s="1"/>
  <c r="BK53" i="70" s="1"/>
  <c r="BL53" i="70" s="1"/>
  <c r="BM53" i="70" s="1"/>
  <c r="BI54" i="70"/>
  <c r="BJ54" i="70" s="1"/>
  <c r="BK54" i="70" s="1"/>
  <c r="BL54" i="70" s="1"/>
  <c r="BM54" i="70" s="1"/>
  <c r="BI55" i="70"/>
  <c r="BJ55" i="70" s="1"/>
  <c r="BK55" i="70" s="1"/>
  <c r="BL55" i="70" s="1"/>
  <c r="BM55" i="70" s="1"/>
  <c r="BI56" i="70"/>
  <c r="BJ56" i="70" s="1"/>
  <c r="BK56" i="70" s="1"/>
  <c r="BL56" i="70" s="1"/>
  <c r="BI57" i="70"/>
  <c r="BJ57" i="70" s="1"/>
  <c r="BK57" i="70" s="1"/>
  <c r="BL57" i="70" s="1"/>
  <c r="BM57" i="70" s="1"/>
  <c r="BI58" i="70"/>
  <c r="BJ58" i="70" s="1"/>
  <c r="BK58" i="70" s="1"/>
  <c r="BL58" i="70" s="1"/>
  <c r="BM58" i="70" s="1"/>
  <c r="BI59" i="70"/>
  <c r="BJ59" i="70" s="1"/>
  <c r="BK59" i="70" s="1"/>
  <c r="BL59" i="70" s="1"/>
  <c r="BM59" i="70" s="1"/>
  <c r="BI60" i="70"/>
  <c r="BJ60" i="70" s="1"/>
  <c r="BK60" i="70" s="1"/>
  <c r="BL60" i="70" s="1"/>
  <c r="BM60" i="70" s="1"/>
  <c r="BI61" i="70"/>
  <c r="BJ61" i="70" s="1"/>
  <c r="BK61" i="70" s="1"/>
  <c r="BL61" i="70" s="1"/>
  <c r="BM61" i="70" s="1"/>
  <c r="BI62" i="70"/>
  <c r="BJ62" i="70" s="1"/>
  <c r="BK62" i="70" s="1"/>
  <c r="BL62" i="70" s="1"/>
  <c r="BM62" i="70" s="1"/>
  <c r="BI63" i="70"/>
  <c r="BJ63" i="70" s="1"/>
  <c r="BK63" i="70" s="1"/>
  <c r="BL63" i="70" s="1"/>
  <c r="BM63" i="70" s="1"/>
  <c r="BI64" i="70"/>
  <c r="BJ64" i="70" s="1"/>
  <c r="BK64" i="70" s="1"/>
  <c r="BL64" i="70" s="1"/>
  <c r="BI65" i="70"/>
  <c r="BJ65" i="70" s="1"/>
  <c r="BK65" i="70" s="1"/>
  <c r="BL65" i="70" s="1"/>
  <c r="BI66" i="70"/>
  <c r="BJ66" i="70" s="1"/>
  <c r="BK66" i="70" s="1"/>
  <c r="BL66" i="70" s="1"/>
  <c r="BM66" i="70" s="1"/>
  <c r="BI67" i="70"/>
  <c r="BJ67" i="70" s="1"/>
  <c r="BK67" i="70" s="1"/>
  <c r="BL67" i="70" s="1"/>
  <c r="BM67" i="70" s="1"/>
  <c r="BI68" i="70"/>
  <c r="BJ68" i="70" s="1"/>
  <c r="BK68" i="70" s="1"/>
  <c r="BL68" i="70" s="1"/>
  <c r="BM68" i="70" s="1"/>
  <c r="BI69" i="70"/>
  <c r="BJ69" i="70" s="1"/>
  <c r="BK69" i="70" s="1"/>
  <c r="BL69" i="70" s="1"/>
  <c r="BM69" i="70" s="1"/>
  <c r="BI70" i="70"/>
  <c r="BJ70" i="70" s="1"/>
  <c r="BK70" i="70" s="1"/>
  <c r="BL70" i="70" s="1"/>
  <c r="BM70" i="70" s="1"/>
  <c r="BI71" i="70"/>
  <c r="BJ71" i="70" s="1"/>
  <c r="BK71" i="70" s="1"/>
  <c r="BL71" i="70" s="1"/>
  <c r="BI72" i="70"/>
  <c r="BJ72" i="70" s="1"/>
  <c r="BK72" i="70" s="1"/>
  <c r="BL72" i="70" s="1"/>
  <c r="BI73" i="70"/>
  <c r="BJ73" i="70" s="1"/>
  <c r="BK73" i="70" s="1"/>
  <c r="BL73" i="70" s="1"/>
  <c r="BI74" i="70"/>
  <c r="BJ74" i="70" s="1"/>
  <c r="BK74" i="70" s="1"/>
  <c r="BL74" i="70" s="1"/>
  <c r="BM74" i="70" s="1"/>
  <c r="BI75" i="70"/>
  <c r="BJ75" i="70" s="1"/>
  <c r="BK75" i="70" s="1"/>
  <c r="BL75" i="70" s="1"/>
  <c r="BM75" i="70" s="1"/>
  <c r="BI76" i="70"/>
  <c r="BJ76" i="70" s="1"/>
  <c r="BK76" i="70" s="1"/>
  <c r="BL76" i="70" s="1"/>
  <c r="BM76" i="70" s="1"/>
  <c r="BI77" i="70"/>
  <c r="BJ77" i="70" s="1"/>
  <c r="BK77" i="70" s="1"/>
  <c r="BL77" i="70" s="1"/>
  <c r="BM77" i="70" s="1"/>
  <c r="BI78" i="70"/>
  <c r="BJ78" i="70" s="1"/>
  <c r="BK78" i="70" s="1"/>
  <c r="BL78" i="70" s="1"/>
  <c r="BM78" i="70" s="1"/>
  <c r="BI79" i="70"/>
  <c r="BJ79" i="70" s="1"/>
  <c r="BK79" i="70" s="1"/>
  <c r="BL79" i="70" s="1"/>
  <c r="BM79" i="70" s="1"/>
  <c r="BI80" i="70"/>
  <c r="BJ80" i="70" s="1"/>
  <c r="BK80" i="70" s="1"/>
  <c r="BL80" i="70" s="1"/>
  <c r="BM80" i="70" s="1"/>
  <c r="BI81" i="70"/>
  <c r="BJ81" i="70" s="1"/>
  <c r="BK81" i="70" s="1"/>
  <c r="BL81" i="70" s="1"/>
  <c r="BM81" i="70" s="1"/>
  <c r="BI82" i="70"/>
  <c r="BJ82" i="70" s="1"/>
  <c r="BK82" i="70" s="1"/>
  <c r="BL82" i="70" s="1"/>
  <c r="BM82" i="70" s="1"/>
  <c r="BI83" i="70"/>
  <c r="BJ83" i="70" s="1"/>
  <c r="BK83" i="70" s="1"/>
  <c r="BL83" i="70" s="1"/>
  <c r="BM83" i="70" s="1"/>
  <c r="BI84" i="70"/>
  <c r="BJ84" i="70" s="1"/>
  <c r="BK84" i="70" s="1"/>
  <c r="BL84" i="70" s="1"/>
  <c r="BM84" i="70" s="1"/>
  <c r="BI85" i="70"/>
  <c r="BJ85" i="70" s="1"/>
  <c r="BK85" i="70" s="1"/>
  <c r="BL85" i="70" s="1"/>
  <c r="BM85" i="70" s="1"/>
  <c r="BI86" i="70"/>
  <c r="BJ86" i="70" s="1"/>
  <c r="BK86" i="70" s="1"/>
  <c r="BL86" i="70" s="1"/>
  <c r="BM86" i="70" s="1"/>
  <c r="BI87" i="70"/>
  <c r="BJ87" i="70" s="1"/>
  <c r="BK87" i="70" s="1"/>
  <c r="BL87" i="70" s="1"/>
  <c r="BM87" i="70" s="1"/>
  <c r="BI88" i="70"/>
  <c r="BJ88" i="70" s="1"/>
  <c r="BK88" i="70" s="1"/>
  <c r="BL88" i="70" s="1"/>
  <c r="BI89" i="70"/>
  <c r="BJ89" i="70" s="1"/>
  <c r="BK89" i="70" s="1"/>
  <c r="BL89" i="70" s="1"/>
  <c r="BM89" i="70" s="1"/>
  <c r="BI90" i="70"/>
  <c r="BJ90" i="70" s="1"/>
  <c r="BK90" i="70" s="1"/>
  <c r="BL90" i="70" s="1"/>
  <c r="BM90" i="70" s="1"/>
  <c r="BI91" i="70"/>
  <c r="BJ91" i="70" s="1"/>
  <c r="BK91" i="70" s="1"/>
  <c r="BL91" i="70" s="1"/>
  <c r="BM91" i="70" s="1"/>
  <c r="BI92" i="70"/>
  <c r="BJ92" i="70" s="1"/>
  <c r="BK92" i="70" s="1"/>
  <c r="BL92" i="70" s="1"/>
  <c r="BM92" i="70" s="1"/>
  <c r="BI93" i="70"/>
  <c r="BJ93" i="70" s="1"/>
  <c r="BK93" i="70" s="1"/>
  <c r="BL93" i="70" s="1"/>
  <c r="BM93" i="70" s="1"/>
  <c r="BI94" i="70"/>
  <c r="BJ94" i="70" s="1"/>
  <c r="BK94" i="70" s="1"/>
  <c r="BL94" i="70" s="1"/>
  <c r="BM94" i="70" s="1"/>
  <c r="BI95" i="70"/>
  <c r="BJ95" i="70" s="1"/>
  <c r="BK95" i="70" s="1"/>
  <c r="BL95" i="70" s="1"/>
  <c r="BI96" i="70"/>
  <c r="BJ96" i="70" s="1"/>
  <c r="BK96" i="70" s="1"/>
  <c r="BL96" i="70" s="1"/>
  <c r="BM96" i="70" s="1"/>
  <c r="BI97" i="70"/>
  <c r="BJ97" i="70" s="1"/>
  <c r="BK97" i="70" s="1"/>
  <c r="BL97" i="70" s="1"/>
  <c r="BM97" i="70" s="1"/>
  <c r="BI98" i="70"/>
  <c r="BJ98" i="70" s="1"/>
  <c r="BK98" i="70" s="1"/>
  <c r="BL98" i="70" s="1"/>
  <c r="BM98" i="70" s="1"/>
  <c r="BI99" i="70"/>
  <c r="BJ99" i="70" s="1"/>
  <c r="BK99" i="70" s="1"/>
  <c r="BL99" i="70" s="1"/>
  <c r="BM99" i="70" s="1"/>
  <c r="BI100" i="70"/>
  <c r="BJ100" i="70" s="1"/>
  <c r="BK100" i="70" s="1"/>
  <c r="BL100" i="70" s="1"/>
  <c r="BM100" i="70" s="1"/>
  <c r="BI101" i="70"/>
  <c r="BJ101" i="70" s="1"/>
  <c r="BK101" i="70" s="1"/>
  <c r="BL101" i="70" s="1"/>
  <c r="BM101" i="70" s="1"/>
  <c r="BI102" i="70"/>
  <c r="BJ102" i="70" s="1"/>
  <c r="BK102" i="70" s="1"/>
  <c r="BL102" i="70" s="1"/>
  <c r="BM102" i="70" s="1"/>
  <c r="BI103" i="70"/>
  <c r="BJ103" i="70" s="1"/>
  <c r="BK103" i="70" s="1"/>
  <c r="BL103" i="70" s="1"/>
  <c r="BM103" i="70" s="1"/>
  <c r="BI104" i="70"/>
  <c r="BJ104" i="70" s="1"/>
  <c r="BK104" i="70" s="1"/>
  <c r="BL104" i="70" s="1"/>
  <c r="BM104" i="70" s="1"/>
  <c r="BI105" i="70"/>
  <c r="BJ105" i="70" s="1"/>
  <c r="BK105" i="70" s="1"/>
  <c r="BL105" i="70" s="1"/>
  <c r="BI106" i="70"/>
  <c r="BJ106" i="70" s="1"/>
  <c r="BK106" i="70" s="1"/>
  <c r="BL106" i="70" s="1"/>
  <c r="BM106" i="70" s="1"/>
  <c r="BI107" i="70"/>
  <c r="BJ107" i="70" s="1"/>
  <c r="BK107" i="70" s="1"/>
  <c r="BL107" i="70" s="1"/>
  <c r="BM107" i="70" s="1"/>
  <c r="BI108" i="70"/>
  <c r="BJ108" i="70" s="1"/>
  <c r="BK108" i="70" s="1"/>
  <c r="BL108" i="70" s="1"/>
  <c r="BM108" i="70" s="1"/>
  <c r="BI109" i="70"/>
  <c r="BJ109" i="70" s="1"/>
  <c r="BK109" i="70" s="1"/>
  <c r="BL109" i="70" s="1"/>
  <c r="BM109" i="70" s="1"/>
  <c r="BI110" i="70"/>
  <c r="BJ110" i="70" s="1"/>
  <c r="BK110" i="70" s="1"/>
  <c r="BL110" i="70" s="1"/>
  <c r="BM110" i="70" s="1"/>
  <c r="BI111" i="70"/>
  <c r="BJ111" i="70" s="1"/>
  <c r="BK111" i="70" s="1"/>
  <c r="BL111" i="70" s="1"/>
  <c r="BI112" i="70"/>
  <c r="BJ112" i="70" s="1"/>
  <c r="BK112" i="70" s="1"/>
  <c r="BL112" i="70" s="1"/>
  <c r="BM112" i="70" s="1"/>
  <c r="BI113" i="70"/>
  <c r="BJ113" i="70" s="1"/>
  <c r="BK113" i="70" s="1"/>
  <c r="BL113" i="70" s="1"/>
  <c r="BI114" i="70"/>
  <c r="BJ114" i="70" s="1"/>
  <c r="BK114" i="70" s="1"/>
  <c r="BL114" i="70" s="1"/>
  <c r="BM114" i="70" s="1"/>
  <c r="BI115" i="70"/>
  <c r="BJ115" i="70" s="1"/>
  <c r="BK115" i="70" s="1"/>
  <c r="BL115" i="70" s="1"/>
  <c r="BM115" i="70" s="1"/>
  <c r="BI116" i="70"/>
  <c r="BJ116" i="70" s="1"/>
  <c r="BK116" i="70" s="1"/>
  <c r="BL116" i="70" s="1"/>
  <c r="BM116" i="70" s="1"/>
  <c r="BI117" i="70"/>
  <c r="BJ117" i="70" s="1"/>
  <c r="BK117" i="70" s="1"/>
  <c r="BL117" i="70" s="1"/>
  <c r="BM117" i="70" s="1"/>
  <c r="BI118" i="70"/>
  <c r="BJ118" i="70" s="1"/>
  <c r="BK118" i="70" s="1"/>
  <c r="BL118" i="70" s="1"/>
  <c r="BM118" i="70" s="1"/>
  <c r="BI119" i="70"/>
  <c r="BJ119" i="70" s="1"/>
  <c r="BK119" i="70" s="1"/>
  <c r="BL119" i="70" s="1"/>
  <c r="BM119" i="70" s="1"/>
  <c r="BI120" i="70"/>
  <c r="BJ120" i="70" s="1"/>
  <c r="BK120" i="70" s="1"/>
  <c r="BL120" i="70" s="1"/>
  <c r="BM120" i="70" s="1"/>
  <c r="BI121" i="70"/>
  <c r="BJ121" i="70" s="1"/>
  <c r="BK121" i="70" s="1"/>
  <c r="BL121" i="70" s="1"/>
  <c r="BI122" i="70"/>
  <c r="BJ122" i="70" s="1"/>
  <c r="BK122" i="70" s="1"/>
  <c r="BL122" i="70" s="1"/>
  <c r="BM122" i="70" s="1"/>
  <c r="BI123" i="70"/>
  <c r="BJ123" i="70" s="1"/>
  <c r="BK123" i="70" s="1"/>
  <c r="BL123" i="70" s="1"/>
  <c r="BM123" i="70" s="1"/>
  <c r="BI124" i="70"/>
  <c r="BJ124" i="70" s="1"/>
  <c r="BK124" i="70" s="1"/>
  <c r="BL124" i="70" s="1"/>
  <c r="BM124" i="70" s="1"/>
  <c r="BI125" i="70"/>
  <c r="BJ125" i="70" s="1"/>
  <c r="BK125" i="70" s="1"/>
  <c r="BL125" i="70" s="1"/>
  <c r="BM125" i="70" s="1"/>
  <c r="BI126" i="70"/>
  <c r="BJ126" i="70" s="1"/>
  <c r="BK126" i="70" s="1"/>
  <c r="BL126" i="70" s="1"/>
  <c r="BM126" i="70" s="1"/>
  <c r="BI127" i="70"/>
  <c r="BJ127" i="70" s="1"/>
  <c r="BK127" i="70" s="1"/>
  <c r="BL127" i="70" s="1"/>
  <c r="BM127" i="70" s="1"/>
  <c r="BI128" i="70"/>
  <c r="BJ128" i="70" s="1"/>
  <c r="BK128" i="70" s="1"/>
  <c r="BL128" i="70" s="1"/>
  <c r="BM128" i="70" s="1"/>
  <c r="BI129" i="70"/>
  <c r="BJ129" i="70" s="1"/>
  <c r="BK129" i="70" s="1"/>
  <c r="BL129" i="70" s="1"/>
  <c r="BI130" i="70"/>
  <c r="BJ130" i="70" s="1"/>
  <c r="BK130" i="70" s="1"/>
  <c r="BL130" i="70" s="1"/>
  <c r="BM130" i="70" s="1"/>
  <c r="BI131" i="70"/>
  <c r="BJ131" i="70" s="1"/>
  <c r="BK131" i="70" s="1"/>
  <c r="BL131" i="70" s="1"/>
  <c r="BM131" i="70" s="1"/>
  <c r="BI132" i="70"/>
  <c r="BJ132" i="70" s="1"/>
  <c r="BK132" i="70" s="1"/>
  <c r="BL132" i="70" s="1"/>
  <c r="BM132" i="70" s="1"/>
  <c r="BI133" i="70"/>
  <c r="BJ133" i="70" s="1"/>
  <c r="BK133" i="70" s="1"/>
  <c r="BL133" i="70" s="1"/>
  <c r="BM133" i="70" s="1"/>
  <c r="BI134" i="70"/>
  <c r="BJ134" i="70" s="1"/>
  <c r="BK134" i="70" s="1"/>
  <c r="BL134" i="70" s="1"/>
  <c r="BM134" i="70" s="1"/>
  <c r="BI135" i="70"/>
  <c r="BJ135" i="70" s="1"/>
  <c r="BK135" i="70" s="1"/>
  <c r="BL135" i="70" s="1"/>
  <c r="BM135" i="70" s="1"/>
  <c r="BI136" i="70"/>
  <c r="BJ136" i="70" s="1"/>
  <c r="BK136" i="70" s="1"/>
  <c r="BL136" i="70" s="1"/>
  <c r="BM136" i="70" s="1"/>
  <c r="BI137" i="70"/>
  <c r="BJ137" i="70" s="1"/>
  <c r="BK137" i="70" s="1"/>
  <c r="BL137" i="70" s="1"/>
  <c r="BM137" i="70" s="1"/>
  <c r="BI138" i="70"/>
  <c r="BJ138" i="70" s="1"/>
  <c r="BK138" i="70" s="1"/>
  <c r="BL138" i="70" s="1"/>
  <c r="BM138" i="70" s="1"/>
  <c r="BI139" i="70"/>
  <c r="BJ139" i="70" s="1"/>
  <c r="BK139" i="70" s="1"/>
  <c r="BL139" i="70" s="1"/>
  <c r="BM139" i="70" s="1"/>
  <c r="BI140" i="70"/>
  <c r="BJ140" i="70" s="1"/>
  <c r="BK140" i="70" s="1"/>
  <c r="BL140" i="70" s="1"/>
  <c r="BM140" i="70" s="1"/>
  <c r="BI141" i="70"/>
  <c r="BJ141" i="70" s="1"/>
  <c r="BK141" i="70" s="1"/>
  <c r="BL141" i="70" s="1"/>
  <c r="BM141" i="70" s="1"/>
  <c r="BI142" i="70"/>
  <c r="BJ142" i="70" s="1"/>
  <c r="BK142" i="70" s="1"/>
  <c r="BL142" i="70" s="1"/>
  <c r="BM142" i="70" s="1"/>
  <c r="BI143" i="70"/>
  <c r="BJ143" i="70" s="1"/>
  <c r="BK143" i="70" s="1"/>
  <c r="BL143" i="70" s="1"/>
  <c r="BI144" i="70"/>
  <c r="BJ144" i="70" s="1"/>
  <c r="BK144" i="70" s="1"/>
  <c r="BL144" i="70" s="1"/>
  <c r="BM144" i="70" s="1"/>
  <c r="BI145" i="70"/>
  <c r="BJ145" i="70" s="1"/>
  <c r="BK145" i="70" s="1"/>
  <c r="BL145" i="70" s="1"/>
  <c r="BM145" i="70" s="1"/>
  <c r="BI146" i="70"/>
  <c r="BJ146" i="70" s="1"/>
  <c r="BK146" i="70" s="1"/>
  <c r="BL146" i="70" s="1"/>
  <c r="BM146" i="70" s="1"/>
  <c r="BI147" i="70"/>
  <c r="BJ147" i="70" s="1"/>
  <c r="BK147" i="70" s="1"/>
  <c r="BL147" i="70" s="1"/>
  <c r="BM147" i="70" s="1"/>
  <c r="BI148" i="70"/>
  <c r="BJ148" i="70" s="1"/>
  <c r="BK148" i="70" s="1"/>
  <c r="BL148" i="70" s="1"/>
  <c r="BM148" i="70" s="1"/>
  <c r="BI149" i="70"/>
  <c r="BJ149" i="70" s="1"/>
  <c r="BK149" i="70" s="1"/>
  <c r="BL149" i="70" s="1"/>
  <c r="BM149" i="70" s="1"/>
  <c r="BI150" i="70"/>
  <c r="BJ150" i="70" s="1"/>
  <c r="BK150" i="70" s="1"/>
  <c r="BL150" i="70" s="1"/>
  <c r="BM150" i="70" s="1"/>
  <c r="BI151" i="70"/>
  <c r="BJ151" i="70" s="1"/>
  <c r="BK151" i="70" s="1"/>
  <c r="BL151" i="70" s="1"/>
  <c r="BM151" i="70" s="1"/>
  <c r="BI152" i="70"/>
  <c r="BJ152" i="70" s="1"/>
  <c r="BK152" i="70" s="1"/>
  <c r="BL152" i="70" s="1"/>
  <c r="BI153" i="70"/>
  <c r="BJ153" i="70" s="1"/>
  <c r="BK153" i="70" s="1"/>
  <c r="BL153" i="70" s="1"/>
  <c r="BI154" i="70"/>
  <c r="BJ154" i="70" s="1"/>
  <c r="BK154" i="70" s="1"/>
  <c r="BL154" i="70" s="1"/>
  <c r="BM154" i="70" s="1"/>
  <c r="BI155" i="70"/>
  <c r="BJ155" i="70" s="1"/>
  <c r="BK155" i="70" s="1"/>
  <c r="BL155" i="70" s="1"/>
  <c r="BM155" i="70" s="1"/>
  <c r="BI156" i="70"/>
  <c r="BJ156" i="70" s="1"/>
  <c r="BK156" i="70" s="1"/>
  <c r="BL156" i="70" s="1"/>
  <c r="BM156" i="70" s="1"/>
  <c r="BI157" i="70"/>
  <c r="BJ157" i="70" s="1"/>
  <c r="BK157" i="70" s="1"/>
  <c r="BL157" i="70" s="1"/>
  <c r="BM157" i="70" s="1"/>
  <c r="BI158" i="70"/>
  <c r="BJ158" i="70" s="1"/>
  <c r="BK158" i="70" s="1"/>
  <c r="BL158" i="70" s="1"/>
  <c r="BM158" i="70" s="1"/>
  <c r="BI159" i="70"/>
  <c r="BJ159" i="70" s="1"/>
  <c r="BK159" i="70" s="1"/>
  <c r="BL159" i="70" s="1"/>
  <c r="BI160" i="70"/>
  <c r="BJ160" i="70" s="1"/>
  <c r="BK160" i="70" s="1"/>
  <c r="BL160" i="70" s="1"/>
  <c r="BM160" i="70" s="1"/>
  <c r="BI161" i="70"/>
  <c r="BJ161" i="70" s="1"/>
  <c r="BK161" i="70" s="1"/>
  <c r="BL161" i="70" s="1"/>
  <c r="BI162" i="70"/>
  <c r="BJ162" i="70" s="1"/>
  <c r="BK162" i="70" s="1"/>
  <c r="BL162" i="70" s="1"/>
  <c r="BM162" i="70" s="1"/>
  <c r="BI163" i="70"/>
  <c r="BJ163" i="70" s="1"/>
  <c r="BK163" i="70" s="1"/>
  <c r="BL163" i="70" s="1"/>
  <c r="BM163" i="70" s="1"/>
  <c r="BI164" i="70"/>
  <c r="BJ164" i="70" s="1"/>
  <c r="BK164" i="70" s="1"/>
  <c r="BL164" i="70" s="1"/>
  <c r="BM164" i="70" s="1"/>
  <c r="BI165" i="70"/>
  <c r="BJ165" i="70" s="1"/>
  <c r="BK165" i="70" s="1"/>
  <c r="BL165" i="70" s="1"/>
  <c r="BM165" i="70" s="1"/>
  <c r="BI166" i="70"/>
  <c r="BJ166" i="70" s="1"/>
  <c r="BK166" i="70" s="1"/>
  <c r="BL166" i="70" s="1"/>
  <c r="BM166" i="70" s="1"/>
  <c r="BI167" i="70"/>
  <c r="BJ167" i="70" s="1"/>
  <c r="BK167" i="70" s="1"/>
  <c r="BL167" i="70" s="1"/>
  <c r="BM167" i="70" s="1"/>
  <c r="BI168" i="70"/>
  <c r="BJ168" i="70" s="1"/>
  <c r="BK168" i="70" s="1"/>
  <c r="BL168" i="70" s="1"/>
  <c r="BM168" i="70" s="1"/>
  <c r="BI169" i="70"/>
  <c r="BJ169" i="70" s="1"/>
  <c r="BK169" i="70" s="1"/>
  <c r="BL169" i="70" s="1"/>
  <c r="BI170" i="70"/>
  <c r="BJ170" i="70" s="1"/>
  <c r="BK170" i="70" s="1"/>
  <c r="BL170" i="70" s="1"/>
  <c r="BM170" i="70" s="1"/>
  <c r="BI171" i="70"/>
  <c r="BJ171" i="70" s="1"/>
  <c r="BK171" i="70" s="1"/>
  <c r="BL171" i="70" s="1"/>
  <c r="BM171" i="70" s="1"/>
  <c r="BI172" i="70"/>
  <c r="BJ172" i="70" s="1"/>
  <c r="BK172" i="70" s="1"/>
  <c r="BL172" i="70" s="1"/>
  <c r="BM172" i="70" s="1"/>
  <c r="BI173" i="70"/>
  <c r="BJ173" i="70" s="1"/>
  <c r="BK173" i="70" s="1"/>
  <c r="BL173" i="70" s="1"/>
  <c r="BM173" i="70" s="1"/>
  <c r="BI174" i="70"/>
  <c r="BJ174" i="70" s="1"/>
  <c r="BK174" i="70" s="1"/>
  <c r="BL174" i="70" s="1"/>
  <c r="BM174" i="70" s="1"/>
  <c r="BI175" i="70"/>
  <c r="BJ175" i="70" s="1"/>
  <c r="BK175" i="70" s="1"/>
  <c r="BL175" i="70" s="1"/>
  <c r="BM175" i="70" s="1"/>
  <c r="BI176" i="70"/>
  <c r="BJ176" i="70" s="1"/>
  <c r="BK176" i="70" s="1"/>
  <c r="BL176" i="70" s="1"/>
  <c r="BM176" i="70" s="1"/>
  <c r="BI177" i="70"/>
  <c r="BJ177" i="70" s="1"/>
  <c r="BK177" i="70" s="1"/>
  <c r="BL177" i="70" s="1"/>
  <c r="BI178" i="70"/>
  <c r="BJ178" i="70" s="1"/>
  <c r="BK178" i="70" s="1"/>
  <c r="BL178" i="70" s="1"/>
  <c r="BM178" i="70" s="1"/>
  <c r="BI179" i="70"/>
  <c r="BJ179" i="70" s="1"/>
  <c r="BK179" i="70" s="1"/>
  <c r="BL179" i="70" s="1"/>
  <c r="BM179" i="70" s="1"/>
  <c r="BI180" i="70"/>
  <c r="BJ180" i="70" s="1"/>
  <c r="BK180" i="70" s="1"/>
  <c r="BL180" i="70" s="1"/>
  <c r="BM180" i="70" s="1"/>
  <c r="BI181" i="70"/>
  <c r="BJ181" i="70" s="1"/>
  <c r="BK181" i="70" s="1"/>
  <c r="BL181" i="70" s="1"/>
  <c r="BM181" i="70" s="1"/>
  <c r="BI182" i="70"/>
  <c r="BJ182" i="70" s="1"/>
  <c r="BK182" i="70" s="1"/>
  <c r="BL182" i="70" s="1"/>
  <c r="BM182" i="70" s="1"/>
  <c r="BI183" i="70"/>
  <c r="BJ183" i="70" s="1"/>
  <c r="BK183" i="70" s="1"/>
  <c r="BL183" i="70" s="1"/>
  <c r="BI184" i="70"/>
  <c r="BJ184" i="70" s="1"/>
  <c r="BK184" i="70" s="1"/>
  <c r="BL184" i="70" s="1"/>
  <c r="BM184" i="70" s="1"/>
  <c r="BI185" i="70"/>
  <c r="BJ185" i="70" s="1"/>
  <c r="BK185" i="70" s="1"/>
  <c r="BL185" i="70" s="1"/>
  <c r="BI186" i="70"/>
  <c r="BJ186" i="70" s="1"/>
  <c r="BK186" i="70" s="1"/>
  <c r="BL186" i="70" s="1"/>
  <c r="BM186" i="70" s="1"/>
  <c r="BI187" i="70"/>
  <c r="BJ187" i="70" s="1"/>
  <c r="BK187" i="70" s="1"/>
  <c r="BL187" i="70" s="1"/>
  <c r="BM187" i="70" s="1"/>
  <c r="BI188" i="70"/>
  <c r="BJ188" i="70" s="1"/>
  <c r="BK188" i="70" s="1"/>
  <c r="BL188" i="70" s="1"/>
  <c r="BM188" i="70" s="1"/>
  <c r="BI189" i="70"/>
  <c r="BJ189" i="70" s="1"/>
  <c r="BK189" i="70" s="1"/>
  <c r="BL189" i="70" s="1"/>
  <c r="BM189" i="70" s="1"/>
  <c r="BI190" i="70"/>
  <c r="BJ190" i="70" s="1"/>
  <c r="BK190" i="70" s="1"/>
  <c r="BL190" i="70" s="1"/>
  <c r="BM190" i="70" s="1"/>
  <c r="BI191" i="70"/>
  <c r="BJ191" i="70" s="1"/>
  <c r="BK191" i="70" s="1"/>
  <c r="BL191" i="70" s="1"/>
  <c r="BM191" i="70" s="1"/>
  <c r="BI192" i="70"/>
  <c r="BJ192" i="70" s="1"/>
  <c r="BK192" i="70" s="1"/>
  <c r="BL192" i="70" s="1"/>
  <c r="BI193" i="70"/>
  <c r="BJ193" i="70" s="1"/>
  <c r="BK193" i="70" s="1"/>
  <c r="BL193" i="70" s="1"/>
  <c r="BI194" i="70"/>
  <c r="BJ194" i="70" s="1"/>
  <c r="BK194" i="70" s="1"/>
  <c r="BL194" i="70" s="1"/>
  <c r="BM194" i="70" s="1"/>
  <c r="BI195" i="70"/>
  <c r="BJ195" i="70" s="1"/>
  <c r="BK195" i="70" s="1"/>
  <c r="BL195" i="70" s="1"/>
  <c r="BM195" i="70" s="1"/>
  <c r="BI196" i="70"/>
  <c r="BJ196" i="70" s="1"/>
  <c r="BK196" i="70" s="1"/>
  <c r="BL196" i="70" s="1"/>
  <c r="BM196" i="70" s="1"/>
  <c r="BI197" i="70"/>
  <c r="BJ197" i="70" s="1"/>
  <c r="BK197" i="70" s="1"/>
  <c r="BL197" i="70" s="1"/>
  <c r="BM197" i="70" s="1"/>
  <c r="BI198" i="70"/>
  <c r="BJ198" i="70" s="1"/>
  <c r="BK198" i="70" s="1"/>
  <c r="BL198" i="70" s="1"/>
  <c r="BM198" i="70" s="1"/>
  <c r="BI199" i="70"/>
  <c r="BJ199" i="70" s="1"/>
  <c r="BK199" i="70" s="1"/>
  <c r="BL199" i="70" s="1"/>
  <c r="BI200" i="70"/>
  <c r="BJ200" i="70" s="1"/>
  <c r="BK200" i="70" s="1"/>
  <c r="BL200" i="70" s="1"/>
  <c r="BM200" i="70" s="1"/>
  <c r="BI201" i="70"/>
  <c r="BJ201" i="70" s="1"/>
  <c r="BK201" i="70" s="1"/>
  <c r="BL201" i="70" s="1"/>
  <c r="BI202" i="70"/>
  <c r="BJ202" i="70" s="1"/>
  <c r="BK202" i="70" s="1"/>
  <c r="BL202" i="70" s="1"/>
  <c r="BM202" i="70" s="1"/>
  <c r="BI203" i="70"/>
  <c r="BJ203" i="70" s="1"/>
  <c r="BK203" i="70" s="1"/>
  <c r="BL203" i="70" s="1"/>
  <c r="BM203" i="70" s="1"/>
  <c r="BI204" i="70"/>
  <c r="BJ204" i="70" s="1"/>
  <c r="BK204" i="70" s="1"/>
  <c r="BL204" i="70" s="1"/>
  <c r="BM204" i="70" s="1"/>
  <c r="BI205" i="70"/>
  <c r="BJ205" i="70" s="1"/>
  <c r="BK205" i="70" s="1"/>
  <c r="BL205" i="70" s="1"/>
  <c r="BM205" i="70" s="1"/>
  <c r="BI206" i="70"/>
  <c r="BJ206" i="70" s="1"/>
  <c r="BK206" i="70" s="1"/>
  <c r="BL206" i="70" s="1"/>
  <c r="BM206" i="70" s="1"/>
  <c r="BI207" i="70"/>
  <c r="BJ207" i="70" s="1"/>
  <c r="BK207" i="70" s="1"/>
  <c r="BL207" i="70" s="1"/>
  <c r="BM207" i="70" s="1"/>
  <c r="BI208" i="70"/>
  <c r="BJ208" i="70" s="1"/>
  <c r="BK208" i="70" s="1"/>
  <c r="BL208" i="70" s="1"/>
  <c r="BM208" i="70" s="1"/>
  <c r="BI209" i="70"/>
  <c r="BJ209" i="70" s="1"/>
  <c r="BK209" i="70" s="1"/>
  <c r="BL209" i="70" s="1"/>
  <c r="BI210" i="70"/>
  <c r="BJ210" i="70" s="1"/>
  <c r="BK210" i="70" s="1"/>
  <c r="BL210" i="70" s="1"/>
  <c r="BM210" i="70" s="1"/>
  <c r="BI211" i="70"/>
  <c r="BJ211" i="70" s="1"/>
  <c r="BK211" i="70" s="1"/>
  <c r="BL211" i="70" s="1"/>
  <c r="BM211" i="70" s="1"/>
  <c r="BI212" i="70"/>
  <c r="BJ212" i="70" s="1"/>
  <c r="BK212" i="70" s="1"/>
  <c r="BL212" i="70" s="1"/>
  <c r="BM212" i="70" s="1"/>
  <c r="BI213" i="70"/>
  <c r="BJ213" i="70" s="1"/>
  <c r="BK213" i="70" s="1"/>
  <c r="BL213" i="70" s="1"/>
  <c r="BM213" i="70" s="1"/>
  <c r="BI214" i="70"/>
  <c r="BJ214" i="70" s="1"/>
  <c r="BK214" i="70" s="1"/>
  <c r="BL214" i="70" s="1"/>
  <c r="BM214" i="70" s="1"/>
  <c r="BI215" i="70"/>
  <c r="BJ215" i="70" s="1"/>
  <c r="BK215" i="70" s="1"/>
  <c r="BL215" i="70" s="1"/>
  <c r="BI216" i="70"/>
  <c r="BJ216" i="70" s="1"/>
  <c r="BK216" i="70" s="1"/>
  <c r="BL216" i="70" s="1"/>
  <c r="BM216" i="70" s="1"/>
  <c r="BI217" i="70"/>
  <c r="BJ217" i="70" s="1"/>
  <c r="BK217" i="70" s="1"/>
  <c r="BL217" i="70" s="1"/>
  <c r="BM217" i="70" s="1"/>
  <c r="BI218" i="70"/>
  <c r="BJ218" i="70" s="1"/>
  <c r="BK218" i="70" s="1"/>
  <c r="BL218" i="70" s="1"/>
  <c r="BM218" i="70" s="1"/>
  <c r="BI219" i="70"/>
  <c r="BJ219" i="70" s="1"/>
  <c r="BK219" i="70" s="1"/>
  <c r="BL219" i="70" s="1"/>
  <c r="BM219" i="70" s="1"/>
  <c r="BI220" i="70"/>
  <c r="BJ220" i="70" s="1"/>
  <c r="BK220" i="70" s="1"/>
  <c r="BL220" i="70" s="1"/>
  <c r="BM220" i="70" s="1"/>
  <c r="BI221" i="70"/>
  <c r="BJ221" i="70" s="1"/>
  <c r="BK221" i="70" s="1"/>
  <c r="BL221" i="70" s="1"/>
  <c r="BM221" i="70" s="1"/>
  <c r="BI222" i="70"/>
  <c r="BJ222" i="70" s="1"/>
  <c r="BK222" i="70" s="1"/>
  <c r="BL222" i="70" s="1"/>
  <c r="BM222" i="70" s="1"/>
  <c r="BI223" i="70"/>
  <c r="BJ223" i="70" s="1"/>
  <c r="BK223" i="70" s="1"/>
  <c r="BL223" i="70" s="1"/>
  <c r="BM223" i="70" s="1"/>
  <c r="BI224" i="70"/>
  <c r="BJ224" i="70" s="1"/>
  <c r="BK224" i="70" s="1"/>
  <c r="BL224" i="70" s="1"/>
  <c r="BM224" i="70" s="1"/>
  <c r="BI225" i="70"/>
  <c r="BJ225" i="70" s="1"/>
  <c r="BK225" i="70" s="1"/>
  <c r="BL225" i="70" s="1"/>
  <c r="BI226" i="70"/>
  <c r="BJ226" i="70" s="1"/>
  <c r="BK226" i="70" s="1"/>
  <c r="BL226" i="70" s="1"/>
  <c r="BM226" i="70" s="1"/>
  <c r="BI227" i="70"/>
  <c r="BJ227" i="70" s="1"/>
  <c r="BK227" i="70" s="1"/>
  <c r="BL227" i="70" s="1"/>
  <c r="BM227" i="70" s="1"/>
  <c r="BI228" i="70"/>
  <c r="BJ228" i="70" s="1"/>
  <c r="BK228" i="70" s="1"/>
  <c r="BL228" i="70" s="1"/>
  <c r="BM228" i="70" s="1"/>
  <c r="BI229" i="70"/>
  <c r="BJ229" i="70" s="1"/>
  <c r="BK229" i="70" s="1"/>
  <c r="BL229" i="70" s="1"/>
  <c r="BM229" i="70" s="1"/>
  <c r="BI230" i="70"/>
  <c r="BJ230" i="70" s="1"/>
  <c r="BK230" i="70" s="1"/>
  <c r="BL230" i="70" s="1"/>
  <c r="BM230" i="70" s="1"/>
  <c r="BI231" i="70"/>
  <c r="BJ231" i="70" s="1"/>
  <c r="BK231" i="70" s="1"/>
  <c r="BL231" i="70" s="1"/>
  <c r="BM231" i="70" s="1"/>
  <c r="BI232" i="70"/>
  <c r="BJ232" i="70" s="1"/>
  <c r="BK232" i="70" s="1"/>
  <c r="BL232" i="70" s="1"/>
  <c r="BM232" i="70" s="1"/>
  <c r="BI233" i="70"/>
  <c r="BJ233" i="70" s="1"/>
  <c r="BK233" i="70" s="1"/>
  <c r="BL233" i="70" s="1"/>
  <c r="BM233" i="70" s="1"/>
  <c r="BI234" i="70"/>
  <c r="BJ234" i="70" s="1"/>
  <c r="BK234" i="70" s="1"/>
  <c r="BL234" i="70" s="1"/>
  <c r="BM234" i="70" s="1"/>
  <c r="BI235" i="70"/>
  <c r="BJ235" i="70" s="1"/>
  <c r="BK235" i="70" s="1"/>
  <c r="BL235" i="70" s="1"/>
  <c r="BM235" i="70" s="1"/>
  <c r="BI236" i="70"/>
  <c r="BJ236" i="70" s="1"/>
  <c r="BK236" i="70" s="1"/>
  <c r="BL236" i="70" s="1"/>
  <c r="BM236" i="70" s="1"/>
  <c r="BI237" i="70"/>
  <c r="BJ237" i="70" s="1"/>
  <c r="BK237" i="70" s="1"/>
  <c r="BL237" i="70" s="1"/>
  <c r="BM237" i="70" s="1"/>
  <c r="BI238" i="70"/>
  <c r="BJ238" i="70" s="1"/>
  <c r="BK238" i="70" s="1"/>
  <c r="BL238" i="70" s="1"/>
  <c r="BM238" i="70" s="1"/>
  <c r="BI239" i="70"/>
  <c r="BJ239" i="70" s="1"/>
  <c r="BK239" i="70" s="1"/>
  <c r="BL239" i="70" s="1"/>
  <c r="BM239" i="70" s="1"/>
  <c r="BI240" i="70"/>
  <c r="BJ240" i="70" s="1"/>
  <c r="BK240" i="70" s="1"/>
  <c r="BL240" i="70" s="1"/>
  <c r="BM240" i="70" s="1"/>
  <c r="BI241" i="70"/>
  <c r="BJ241" i="70" s="1"/>
  <c r="BK241" i="70" s="1"/>
  <c r="BL241" i="70" s="1"/>
  <c r="BM241" i="70" s="1"/>
  <c r="BI242" i="70"/>
  <c r="BJ242" i="70" s="1"/>
  <c r="BK242" i="70" s="1"/>
  <c r="BL242" i="70" s="1"/>
  <c r="BM242" i="70" s="1"/>
  <c r="BI243" i="70"/>
  <c r="BJ243" i="70" s="1"/>
  <c r="BK243" i="70" s="1"/>
  <c r="BL243" i="70" s="1"/>
  <c r="BM243" i="70" s="1"/>
  <c r="BI244" i="70"/>
  <c r="BJ244" i="70" s="1"/>
  <c r="BK244" i="70" s="1"/>
  <c r="BL244" i="70" s="1"/>
  <c r="BM244" i="70" s="1"/>
  <c r="BI245" i="70"/>
  <c r="BJ245" i="70" s="1"/>
  <c r="BK245" i="70" s="1"/>
  <c r="BL245" i="70" s="1"/>
  <c r="BM245" i="70" s="1"/>
  <c r="BI246" i="70"/>
  <c r="BJ246" i="70" s="1"/>
  <c r="BK246" i="70" s="1"/>
  <c r="BL246" i="70" s="1"/>
  <c r="BM246" i="70" s="1"/>
  <c r="BI247" i="70"/>
  <c r="BJ247" i="70" s="1"/>
  <c r="BK247" i="70" s="1"/>
  <c r="BL247" i="70" s="1"/>
  <c r="BI248" i="70"/>
  <c r="BJ248" i="70" s="1"/>
  <c r="BK248" i="70" s="1"/>
  <c r="BL248" i="70" s="1"/>
  <c r="BM248" i="70" s="1"/>
  <c r="BI249" i="70"/>
  <c r="BJ249" i="70" s="1"/>
  <c r="BK249" i="70" s="1"/>
  <c r="BL249" i="70" s="1"/>
  <c r="BM249" i="70" s="1"/>
  <c r="BI250" i="70"/>
  <c r="BJ250" i="70" s="1"/>
  <c r="BK250" i="70" s="1"/>
  <c r="BL250" i="70" s="1"/>
  <c r="BM250" i="70" s="1"/>
  <c r="BI251" i="70"/>
  <c r="BJ251" i="70" s="1"/>
  <c r="BK251" i="70" s="1"/>
  <c r="BL251" i="70" s="1"/>
  <c r="BM251" i="70" s="1"/>
  <c r="BI252" i="70"/>
  <c r="BJ252" i="70" s="1"/>
  <c r="BK252" i="70" s="1"/>
  <c r="BL252" i="70" s="1"/>
  <c r="BM252" i="70" s="1"/>
  <c r="BI253" i="70"/>
  <c r="BJ253" i="70" s="1"/>
  <c r="BK253" i="70" s="1"/>
  <c r="BL253" i="70" s="1"/>
  <c r="BM253" i="70" s="1"/>
  <c r="BI254" i="70"/>
  <c r="BJ254" i="70" s="1"/>
  <c r="BK254" i="70" s="1"/>
  <c r="BL254" i="70" s="1"/>
  <c r="BM254" i="70" s="1"/>
  <c r="BI255" i="70"/>
  <c r="BJ255" i="70" s="1"/>
  <c r="BK255" i="70" s="1"/>
  <c r="BL255" i="70" s="1"/>
  <c r="BM255" i="70" s="1"/>
  <c r="BI256" i="70"/>
  <c r="BJ256" i="70" s="1"/>
  <c r="BK256" i="70" s="1"/>
  <c r="BL256" i="70" s="1"/>
  <c r="BM256" i="70" s="1"/>
  <c r="BI257" i="70"/>
  <c r="BJ257" i="70" s="1"/>
  <c r="BK257" i="70" s="1"/>
  <c r="BL257" i="70" s="1"/>
  <c r="BI258" i="70"/>
  <c r="BJ258" i="70" s="1"/>
  <c r="BK258" i="70" s="1"/>
  <c r="BL258" i="70" s="1"/>
  <c r="BM258" i="70" s="1"/>
  <c r="BI259" i="70"/>
  <c r="BJ259" i="70" s="1"/>
  <c r="BK259" i="70" s="1"/>
  <c r="BL259" i="70" s="1"/>
  <c r="BM259" i="70" s="1"/>
  <c r="BI260" i="70"/>
  <c r="BJ260" i="70" s="1"/>
  <c r="BK260" i="70" s="1"/>
  <c r="BL260" i="70" s="1"/>
  <c r="BM260" i="70" s="1"/>
  <c r="BI261" i="70"/>
  <c r="BJ261" i="70" s="1"/>
  <c r="BK261" i="70" s="1"/>
  <c r="BL261" i="70" s="1"/>
  <c r="BM261" i="70" s="1"/>
  <c r="BI262" i="70"/>
  <c r="BJ262" i="70" s="1"/>
  <c r="BK262" i="70" s="1"/>
  <c r="BL262" i="70" s="1"/>
  <c r="BM262" i="70" s="1"/>
  <c r="BI263" i="70"/>
  <c r="BJ263" i="70" s="1"/>
  <c r="BK263" i="70" s="1"/>
  <c r="BL263" i="70" s="1"/>
  <c r="BI264" i="70"/>
  <c r="BJ264" i="70" s="1"/>
  <c r="BK264" i="70" s="1"/>
  <c r="BL264" i="70" s="1"/>
  <c r="BM264" i="70" s="1"/>
  <c r="BI265" i="70"/>
  <c r="BJ265" i="70" s="1"/>
  <c r="BK265" i="70" s="1"/>
  <c r="BL265" i="70" s="1"/>
  <c r="BM265" i="70" s="1"/>
  <c r="BI266" i="70"/>
  <c r="BJ266" i="70" s="1"/>
  <c r="BK266" i="70" s="1"/>
  <c r="BL266" i="70" s="1"/>
  <c r="BM266" i="70" s="1"/>
  <c r="BI267" i="70"/>
  <c r="BJ267" i="70" s="1"/>
  <c r="BK267" i="70" s="1"/>
  <c r="BL267" i="70" s="1"/>
  <c r="BM267" i="70" s="1"/>
  <c r="BI268" i="70"/>
  <c r="BJ268" i="70" s="1"/>
  <c r="BK268" i="70" s="1"/>
  <c r="BL268" i="70" s="1"/>
  <c r="BM268" i="70" s="1"/>
  <c r="BI269" i="70"/>
  <c r="BJ269" i="70" s="1"/>
  <c r="BK269" i="70" s="1"/>
  <c r="BL269" i="70" s="1"/>
  <c r="BM269" i="70" s="1"/>
  <c r="BI270" i="70"/>
  <c r="BJ270" i="70" s="1"/>
  <c r="BK270" i="70" s="1"/>
  <c r="BL270" i="70" s="1"/>
  <c r="BM270" i="70" s="1"/>
  <c r="BI271" i="70"/>
  <c r="BJ271" i="70" s="1"/>
  <c r="BK271" i="70" s="1"/>
  <c r="BL271" i="70" s="1"/>
  <c r="BI272" i="70"/>
  <c r="BJ272" i="70" s="1"/>
  <c r="BK272" i="70" s="1"/>
  <c r="BL272" i="70" s="1"/>
  <c r="BI273" i="70"/>
  <c r="BJ273" i="70" s="1"/>
  <c r="BK273" i="70" s="1"/>
  <c r="BL273" i="70" s="1"/>
  <c r="BI274" i="70"/>
  <c r="BJ274" i="70" s="1"/>
  <c r="BK274" i="70" s="1"/>
  <c r="BL274" i="70" s="1"/>
  <c r="BM274" i="70" s="1"/>
  <c r="BI275" i="70"/>
  <c r="BJ275" i="70" s="1"/>
  <c r="BK275" i="70" s="1"/>
  <c r="BL275" i="70" s="1"/>
  <c r="BM275" i="70" s="1"/>
  <c r="BI276" i="70"/>
  <c r="BJ276" i="70" s="1"/>
  <c r="BK276" i="70" s="1"/>
  <c r="BL276" i="70" s="1"/>
  <c r="BM276" i="70" s="1"/>
  <c r="BI277" i="70"/>
  <c r="BJ277" i="70" s="1"/>
  <c r="BK277" i="70" s="1"/>
  <c r="BL277" i="70" s="1"/>
  <c r="BM277" i="70" s="1"/>
  <c r="BI278" i="70"/>
  <c r="BJ278" i="70" s="1"/>
  <c r="BK278" i="70" s="1"/>
  <c r="BL278" i="70" s="1"/>
  <c r="BM278" i="70" s="1"/>
  <c r="BI279" i="70"/>
  <c r="BJ279" i="70" s="1"/>
  <c r="BK279" i="70" s="1"/>
  <c r="BL279" i="70" s="1"/>
  <c r="BI280" i="70"/>
  <c r="BJ280" i="70" s="1"/>
  <c r="BK280" i="70" s="1"/>
  <c r="BL280" i="70" s="1"/>
  <c r="BI281" i="70"/>
  <c r="BJ281" i="70" s="1"/>
  <c r="BK281" i="70" s="1"/>
  <c r="BL281" i="70" s="1"/>
  <c r="BI282" i="70"/>
  <c r="BJ282" i="70" s="1"/>
  <c r="BK282" i="70" s="1"/>
  <c r="BL282" i="70" s="1"/>
  <c r="BM282" i="70" s="1"/>
  <c r="BI283" i="70"/>
  <c r="BJ283" i="70" s="1"/>
  <c r="BK283" i="70" s="1"/>
  <c r="BL283" i="70" s="1"/>
  <c r="BM283" i="70" s="1"/>
  <c r="BI284" i="70"/>
  <c r="BJ284" i="70" s="1"/>
  <c r="BK284" i="70" s="1"/>
  <c r="BL284" i="70" s="1"/>
  <c r="BM284" i="70" s="1"/>
  <c r="BI285" i="70"/>
  <c r="BJ285" i="70" s="1"/>
  <c r="BK285" i="70" s="1"/>
  <c r="BL285" i="70" s="1"/>
  <c r="BM285" i="70" s="1"/>
  <c r="BI286" i="70"/>
  <c r="BJ286" i="70" s="1"/>
  <c r="BK286" i="70" s="1"/>
  <c r="BL286" i="70" s="1"/>
  <c r="BM286" i="70" s="1"/>
  <c r="BI287" i="70"/>
  <c r="BJ287" i="70" s="1"/>
  <c r="BK287" i="70" s="1"/>
  <c r="BL287" i="70" s="1"/>
  <c r="BM287" i="70" s="1"/>
  <c r="BI288" i="70"/>
  <c r="BJ288" i="70" s="1"/>
  <c r="BK288" i="70" s="1"/>
  <c r="BL288" i="70" s="1"/>
  <c r="BM288" i="70" s="1"/>
  <c r="BI289" i="70"/>
  <c r="BJ289" i="70" s="1"/>
  <c r="BK289" i="70" s="1"/>
  <c r="BL289" i="70" s="1"/>
  <c r="BI290" i="70"/>
  <c r="BJ290" i="70" s="1"/>
  <c r="BK290" i="70" s="1"/>
  <c r="BL290" i="70" s="1"/>
  <c r="BM290" i="70" s="1"/>
  <c r="BI291" i="70"/>
  <c r="BJ291" i="70" s="1"/>
  <c r="BK291" i="70" s="1"/>
  <c r="BL291" i="70" s="1"/>
  <c r="BM291" i="70" s="1"/>
  <c r="BI292" i="70"/>
  <c r="BJ292" i="70" s="1"/>
  <c r="BK292" i="70" s="1"/>
  <c r="BL292" i="70" s="1"/>
  <c r="BM292" i="70" s="1"/>
  <c r="BI293" i="70"/>
  <c r="BJ293" i="70" s="1"/>
  <c r="BK293" i="70" s="1"/>
  <c r="BL293" i="70" s="1"/>
  <c r="BM293" i="70" s="1"/>
  <c r="BI294" i="70"/>
  <c r="BJ294" i="70" s="1"/>
  <c r="BK294" i="70" s="1"/>
  <c r="BL294" i="70" s="1"/>
  <c r="BM294" i="70" s="1"/>
  <c r="BI295" i="70"/>
  <c r="BJ295" i="70" s="1"/>
  <c r="BK295" i="70" s="1"/>
  <c r="BL295" i="70" s="1"/>
  <c r="BM295" i="70" s="1"/>
  <c r="BI296" i="70"/>
  <c r="BJ296" i="70" s="1"/>
  <c r="BK296" i="70" s="1"/>
  <c r="BL296" i="70" s="1"/>
  <c r="BI297" i="70"/>
  <c r="BJ297" i="70" s="1"/>
  <c r="BK297" i="70" s="1"/>
  <c r="BL297" i="70" s="1"/>
  <c r="BI298" i="70"/>
  <c r="BJ298" i="70" s="1"/>
  <c r="BK298" i="70" s="1"/>
  <c r="BL298" i="70" s="1"/>
  <c r="BM298" i="70" s="1"/>
  <c r="BI299" i="70"/>
  <c r="BJ299" i="70" s="1"/>
  <c r="BK299" i="70" s="1"/>
  <c r="BL299" i="70" s="1"/>
  <c r="BM299" i="70" s="1"/>
  <c r="BI300" i="70"/>
  <c r="BJ300" i="70" s="1"/>
  <c r="BK300" i="70" s="1"/>
  <c r="BL300" i="70" s="1"/>
  <c r="BM300" i="70" s="1"/>
  <c r="BI301" i="70"/>
  <c r="BJ301" i="70" s="1"/>
  <c r="BK301" i="70" s="1"/>
  <c r="BL301" i="70" s="1"/>
  <c r="BM301" i="70" s="1"/>
  <c r="BI302" i="70"/>
  <c r="BJ302" i="70" s="1"/>
  <c r="BK302" i="70" s="1"/>
  <c r="BL302" i="70" s="1"/>
  <c r="BM302" i="70" s="1"/>
  <c r="BI303" i="70"/>
  <c r="BJ303" i="70" s="1"/>
  <c r="BK303" i="70" s="1"/>
  <c r="BL303" i="70" s="1"/>
  <c r="BM303" i="70" s="1"/>
  <c r="BI304" i="70"/>
  <c r="BJ304" i="70" s="1"/>
  <c r="BK304" i="70" s="1"/>
  <c r="BL304" i="70" s="1"/>
  <c r="BM304" i="70" s="1"/>
  <c r="BI305" i="70"/>
  <c r="BJ305" i="70" s="1"/>
  <c r="BK305" i="70" s="1"/>
  <c r="BL305" i="70" s="1"/>
  <c r="BI306" i="70"/>
  <c r="BJ306" i="70" s="1"/>
  <c r="BK306" i="70" s="1"/>
  <c r="BL306" i="70" s="1"/>
  <c r="BM306" i="70" s="1"/>
  <c r="BI307" i="70"/>
  <c r="BJ307" i="70" s="1"/>
  <c r="BK307" i="70" s="1"/>
  <c r="BL307" i="70" s="1"/>
  <c r="BM307" i="70" s="1"/>
  <c r="BI308" i="70"/>
  <c r="BJ308" i="70" s="1"/>
  <c r="BK308" i="70" s="1"/>
  <c r="BL308" i="70" s="1"/>
  <c r="BM308" i="70" s="1"/>
  <c r="BI309" i="70"/>
  <c r="BJ309" i="70" s="1"/>
  <c r="BK309" i="70" s="1"/>
  <c r="BL309" i="70" s="1"/>
  <c r="BM309" i="70" s="1"/>
  <c r="BI310" i="70"/>
  <c r="BJ310" i="70" s="1"/>
  <c r="BK310" i="70" s="1"/>
  <c r="BL310" i="70" s="1"/>
  <c r="BM310" i="70" s="1"/>
  <c r="BI311" i="70"/>
  <c r="BJ311" i="70" s="1"/>
  <c r="BK311" i="70" s="1"/>
  <c r="BL311" i="70" s="1"/>
  <c r="BI312" i="70"/>
  <c r="BJ312" i="70" s="1"/>
  <c r="BK312" i="70" s="1"/>
  <c r="BL312" i="70" s="1"/>
  <c r="BM312" i="70" s="1"/>
  <c r="BI313" i="70"/>
  <c r="BJ313" i="70" s="1"/>
  <c r="BK313" i="70" s="1"/>
  <c r="BL313" i="70" s="1"/>
  <c r="BM313" i="70" s="1"/>
  <c r="BI314" i="70"/>
  <c r="BJ314" i="70" s="1"/>
  <c r="BK314" i="70" s="1"/>
  <c r="BL314" i="70" s="1"/>
  <c r="BM314" i="70" s="1"/>
  <c r="BI315" i="70"/>
  <c r="BJ315" i="70" s="1"/>
  <c r="BK315" i="70" s="1"/>
  <c r="BL315" i="70" s="1"/>
  <c r="BM315" i="70" s="1"/>
  <c r="BI316" i="70"/>
  <c r="BJ316" i="70" s="1"/>
  <c r="BK316" i="70" s="1"/>
  <c r="BL316" i="70" s="1"/>
  <c r="BM316" i="70" s="1"/>
  <c r="BI317" i="70"/>
  <c r="BJ317" i="70" s="1"/>
  <c r="BK317" i="70" s="1"/>
  <c r="BL317" i="70" s="1"/>
  <c r="BM317" i="70" s="1"/>
  <c r="BI318" i="70"/>
  <c r="BJ318" i="70" s="1"/>
  <c r="BK318" i="70" s="1"/>
  <c r="BL318" i="70" s="1"/>
  <c r="BM318" i="70" s="1"/>
  <c r="BI319" i="70"/>
  <c r="BJ319" i="70" s="1"/>
  <c r="BK319" i="70" s="1"/>
  <c r="BL319" i="70" s="1"/>
  <c r="BI320" i="70"/>
  <c r="BJ320" i="70" s="1"/>
  <c r="BK320" i="70" s="1"/>
  <c r="BL320" i="70" s="1"/>
  <c r="BI321" i="70"/>
  <c r="BJ321" i="70" s="1"/>
  <c r="BK321" i="70" s="1"/>
  <c r="BL321" i="70" s="1"/>
  <c r="BI322" i="70"/>
  <c r="BJ322" i="70" s="1"/>
  <c r="BK322" i="70" s="1"/>
  <c r="BL322" i="70" s="1"/>
  <c r="BM322" i="70" s="1"/>
  <c r="BI323" i="70"/>
  <c r="BJ323" i="70" s="1"/>
  <c r="BK323" i="70" s="1"/>
  <c r="BL323" i="70" s="1"/>
  <c r="BM323" i="70" s="1"/>
  <c r="BI324" i="70"/>
  <c r="BJ324" i="70" s="1"/>
  <c r="BK324" i="70" s="1"/>
  <c r="BL324" i="70" s="1"/>
  <c r="BM324" i="70" s="1"/>
  <c r="BI325" i="70"/>
  <c r="BJ325" i="70" s="1"/>
  <c r="BK325" i="70" s="1"/>
  <c r="BL325" i="70" s="1"/>
  <c r="BM325" i="70" s="1"/>
  <c r="BI326" i="70"/>
  <c r="BJ326" i="70" s="1"/>
  <c r="BK326" i="70" s="1"/>
  <c r="BL326" i="70" s="1"/>
  <c r="BM326" i="70" s="1"/>
  <c r="BI327" i="70"/>
  <c r="BJ327" i="70" s="1"/>
  <c r="BK327" i="70" s="1"/>
  <c r="BL327" i="70" s="1"/>
  <c r="BM327" i="70" s="1"/>
  <c r="BI328" i="70"/>
  <c r="BJ328" i="70" s="1"/>
  <c r="BK328" i="70" s="1"/>
  <c r="BL328" i="70" s="1"/>
  <c r="BM328" i="70" s="1"/>
  <c r="BI329" i="70"/>
  <c r="BJ329" i="70" s="1"/>
  <c r="BK329" i="70" s="1"/>
  <c r="BL329" i="70" s="1"/>
  <c r="BI330" i="70"/>
  <c r="BJ330" i="70" s="1"/>
  <c r="BK330" i="70" s="1"/>
  <c r="BL330" i="70" s="1"/>
  <c r="BM330" i="70" s="1"/>
  <c r="BI331" i="70"/>
  <c r="BJ331" i="70" s="1"/>
  <c r="BK331" i="70" s="1"/>
  <c r="BL331" i="70" s="1"/>
  <c r="BM331" i="70" s="1"/>
  <c r="BI332" i="70"/>
  <c r="BJ332" i="70" s="1"/>
  <c r="BK332" i="70" s="1"/>
  <c r="BL332" i="70" s="1"/>
  <c r="BM332" i="70" s="1"/>
  <c r="BI333" i="70"/>
  <c r="BJ333" i="70" s="1"/>
  <c r="BK333" i="70" s="1"/>
  <c r="BL333" i="70" s="1"/>
  <c r="BM333" i="70" s="1"/>
  <c r="BI334" i="70"/>
  <c r="BJ334" i="70" s="1"/>
  <c r="BK334" i="70" s="1"/>
  <c r="BL334" i="70" s="1"/>
  <c r="BM334" i="70" s="1"/>
  <c r="BI335" i="70"/>
  <c r="BJ335" i="70" s="1"/>
  <c r="BK335" i="70" s="1"/>
  <c r="BL335" i="70" s="1"/>
  <c r="BM335" i="70" s="1"/>
  <c r="BI336" i="70"/>
  <c r="BJ336" i="70" s="1"/>
  <c r="BK336" i="70" s="1"/>
  <c r="BL336" i="70" s="1"/>
  <c r="BM336" i="70" s="1"/>
  <c r="BI337" i="70"/>
  <c r="BJ337" i="70" s="1"/>
  <c r="BK337" i="70" s="1"/>
  <c r="BL337" i="70" s="1"/>
  <c r="BM337" i="70" s="1"/>
  <c r="BI338" i="70"/>
  <c r="BJ338" i="70" s="1"/>
  <c r="BK338" i="70" s="1"/>
  <c r="BL338" i="70" s="1"/>
  <c r="BM338" i="70" s="1"/>
  <c r="BI339" i="70"/>
  <c r="BJ339" i="70" s="1"/>
  <c r="BK339" i="70" s="1"/>
  <c r="BL339" i="70" s="1"/>
  <c r="BM339" i="70" s="1"/>
  <c r="BI340" i="70"/>
  <c r="BJ340" i="70" s="1"/>
  <c r="BK340" i="70" s="1"/>
  <c r="BL340" i="70" s="1"/>
  <c r="BM340" i="70" s="1"/>
  <c r="BI341" i="70"/>
  <c r="BJ341" i="70" s="1"/>
  <c r="BK341" i="70" s="1"/>
  <c r="BL341" i="70" s="1"/>
  <c r="BM341" i="70" s="1"/>
  <c r="BI342" i="70"/>
  <c r="BJ342" i="70" s="1"/>
  <c r="BK342" i="70" s="1"/>
  <c r="BL342" i="70" s="1"/>
  <c r="BM342" i="70" s="1"/>
  <c r="BI343" i="70"/>
  <c r="BJ343" i="70" s="1"/>
  <c r="BK343" i="70" s="1"/>
  <c r="BL343" i="70" s="1"/>
  <c r="BM343" i="70" s="1"/>
  <c r="BI344" i="70"/>
  <c r="BJ344" i="70" s="1"/>
  <c r="BK344" i="70" s="1"/>
  <c r="BL344" i="70" s="1"/>
  <c r="BI345" i="70"/>
  <c r="BJ345" i="70" s="1"/>
  <c r="BK345" i="70" s="1"/>
  <c r="BL345" i="70" s="1"/>
  <c r="BI346" i="70"/>
  <c r="BJ346" i="70" s="1"/>
  <c r="BK346" i="70" s="1"/>
  <c r="BL346" i="70" s="1"/>
  <c r="BM346" i="70" s="1"/>
  <c r="BI347" i="70"/>
  <c r="BJ347" i="70" s="1"/>
  <c r="BK347" i="70" s="1"/>
  <c r="BL347" i="70" s="1"/>
  <c r="BM347" i="70" s="1"/>
  <c r="BI348" i="70"/>
  <c r="BJ348" i="70" s="1"/>
  <c r="BK348" i="70" s="1"/>
  <c r="BL348" i="70" s="1"/>
  <c r="BM348" i="70" s="1"/>
  <c r="BI349" i="70"/>
  <c r="BJ349" i="70" s="1"/>
  <c r="BK349" i="70" s="1"/>
  <c r="BL349" i="70" s="1"/>
  <c r="BM349" i="70" s="1"/>
  <c r="BI350" i="70"/>
  <c r="BJ350" i="70" s="1"/>
  <c r="BK350" i="70" s="1"/>
  <c r="BL350" i="70" s="1"/>
  <c r="BM350" i="70" s="1"/>
  <c r="BI351" i="70"/>
  <c r="BJ351" i="70" s="1"/>
  <c r="BK351" i="70" s="1"/>
  <c r="BL351" i="70" s="1"/>
  <c r="BM351" i="70" s="1"/>
  <c r="BI352" i="70"/>
  <c r="BJ352" i="70" s="1"/>
  <c r="BK352" i="70" s="1"/>
  <c r="BL352" i="70" s="1"/>
  <c r="BM352" i="70" s="1"/>
  <c r="BI353" i="70"/>
  <c r="BJ353" i="70" s="1"/>
  <c r="BK353" i="70" s="1"/>
  <c r="BL353" i="70" s="1"/>
  <c r="BM353" i="70" s="1"/>
  <c r="BI354" i="70"/>
  <c r="BJ354" i="70" s="1"/>
  <c r="BK354" i="70" s="1"/>
  <c r="BL354" i="70" s="1"/>
  <c r="BM354" i="70" s="1"/>
  <c r="BI355" i="70"/>
  <c r="BJ355" i="70" s="1"/>
  <c r="BK355" i="70" s="1"/>
  <c r="BL355" i="70" s="1"/>
  <c r="BM355" i="70" s="1"/>
  <c r="BI356" i="70"/>
  <c r="BJ356" i="70" s="1"/>
  <c r="BK356" i="70" s="1"/>
  <c r="BL356" i="70" s="1"/>
  <c r="BM356" i="70" s="1"/>
  <c r="BI357" i="70"/>
  <c r="BJ357" i="70" s="1"/>
  <c r="BK357" i="70" s="1"/>
  <c r="BL357" i="70" s="1"/>
  <c r="BM357" i="70" s="1"/>
  <c r="BI358" i="70"/>
  <c r="BJ358" i="70" s="1"/>
  <c r="BK358" i="70" s="1"/>
  <c r="BL358" i="70" s="1"/>
  <c r="BM358" i="70" s="1"/>
  <c r="BI359" i="70"/>
  <c r="BJ359" i="70" s="1"/>
  <c r="BK359" i="70" s="1"/>
  <c r="BL359" i="70" s="1"/>
  <c r="BM359" i="70" s="1"/>
  <c r="BI360" i="70"/>
  <c r="BJ360" i="70" s="1"/>
  <c r="BK360" i="70" s="1"/>
  <c r="BL360" i="70" s="1"/>
  <c r="BM360" i="70" s="1"/>
  <c r="BI361" i="70"/>
  <c r="BJ361" i="70" s="1"/>
  <c r="BK361" i="70" s="1"/>
  <c r="BL361" i="70" s="1"/>
  <c r="BI362" i="70"/>
  <c r="BJ362" i="70" s="1"/>
  <c r="BK362" i="70" s="1"/>
  <c r="BL362" i="70" s="1"/>
  <c r="BM362" i="70" s="1"/>
  <c r="BI363" i="70"/>
  <c r="BJ363" i="70" s="1"/>
  <c r="BK363" i="70" s="1"/>
  <c r="BL363" i="70" s="1"/>
  <c r="BM363" i="70" s="1"/>
  <c r="BI364" i="70"/>
  <c r="BJ364" i="70" s="1"/>
  <c r="BK364" i="70" s="1"/>
  <c r="BL364" i="70" s="1"/>
  <c r="BM364" i="70" s="1"/>
  <c r="BI365" i="70"/>
  <c r="BJ365" i="70" s="1"/>
  <c r="BK365" i="70" s="1"/>
  <c r="BL365" i="70" s="1"/>
  <c r="BM365" i="70" s="1"/>
  <c r="BI366" i="70"/>
  <c r="BJ366" i="70" s="1"/>
  <c r="BK366" i="70" s="1"/>
  <c r="BL366" i="70" s="1"/>
  <c r="BM366" i="70" s="1"/>
  <c r="BI367" i="70"/>
  <c r="BJ367" i="70" s="1"/>
  <c r="BK367" i="70" s="1"/>
  <c r="BL367" i="70" s="1"/>
  <c r="BM367" i="70" s="1"/>
  <c r="BI368" i="70"/>
  <c r="BJ368" i="70" s="1"/>
  <c r="BK368" i="70" s="1"/>
  <c r="BL368" i="70" s="1"/>
  <c r="BM368" i="70" s="1"/>
  <c r="BI369" i="70"/>
  <c r="BJ369" i="70" s="1"/>
  <c r="BK369" i="70" s="1"/>
  <c r="BL369" i="70" s="1"/>
  <c r="BI370" i="70"/>
  <c r="BJ370" i="70" s="1"/>
  <c r="BK370" i="70" s="1"/>
  <c r="BL370" i="70" s="1"/>
  <c r="BM370" i="70" s="1"/>
  <c r="BI371" i="70"/>
  <c r="BJ371" i="70" s="1"/>
  <c r="BK371" i="70" s="1"/>
  <c r="BL371" i="70" s="1"/>
  <c r="BM371" i="70" s="1"/>
  <c r="BI372" i="70"/>
  <c r="BJ372" i="70" s="1"/>
  <c r="BK372" i="70" s="1"/>
  <c r="BL372" i="70" s="1"/>
  <c r="BM372" i="70" s="1"/>
  <c r="BI373" i="70"/>
  <c r="BJ373" i="70" s="1"/>
  <c r="BK373" i="70" s="1"/>
  <c r="BL373" i="70" s="1"/>
  <c r="BM373" i="70" s="1"/>
  <c r="BI374" i="70"/>
  <c r="BJ374" i="70" s="1"/>
  <c r="BK374" i="70" s="1"/>
  <c r="BL374" i="70" s="1"/>
  <c r="BM374" i="70" s="1"/>
  <c r="BI375" i="70"/>
  <c r="BJ375" i="70" s="1"/>
  <c r="BK375" i="70" s="1"/>
  <c r="BL375" i="70" s="1"/>
  <c r="BI376" i="70"/>
  <c r="BJ376" i="70" s="1"/>
  <c r="BK376" i="70" s="1"/>
  <c r="BL376" i="70" s="1"/>
  <c r="BM376" i="70" s="1"/>
  <c r="BI377" i="70"/>
  <c r="BJ377" i="70" s="1"/>
  <c r="BK377" i="70" s="1"/>
  <c r="BL377" i="70" s="1"/>
  <c r="BM377" i="70" s="1"/>
  <c r="BI378" i="70"/>
  <c r="BJ378" i="70" s="1"/>
  <c r="BK378" i="70" s="1"/>
  <c r="BL378" i="70" s="1"/>
  <c r="BM378" i="70" s="1"/>
  <c r="BI379" i="70"/>
  <c r="BJ379" i="70" s="1"/>
  <c r="BK379" i="70" s="1"/>
  <c r="BL379" i="70" s="1"/>
  <c r="BM379" i="70" s="1"/>
  <c r="BI380" i="70"/>
  <c r="BJ380" i="70" s="1"/>
  <c r="BK380" i="70" s="1"/>
  <c r="BL380" i="70" s="1"/>
  <c r="BM380" i="70" s="1"/>
  <c r="BI381" i="70"/>
  <c r="BJ381" i="70" s="1"/>
  <c r="BK381" i="70" s="1"/>
  <c r="BL381" i="70" s="1"/>
  <c r="BM381" i="70" s="1"/>
  <c r="BI382" i="70"/>
  <c r="BJ382" i="70" s="1"/>
  <c r="BK382" i="70" s="1"/>
  <c r="BL382" i="70" s="1"/>
  <c r="BM382" i="70" s="1"/>
  <c r="BI383" i="70"/>
  <c r="BJ383" i="70" s="1"/>
  <c r="BK383" i="70" s="1"/>
  <c r="BL383" i="70" s="1"/>
  <c r="BI384" i="70"/>
  <c r="BJ384" i="70" s="1"/>
  <c r="BK384" i="70" s="1"/>
  <c r="BL384" i="70" s="1"/>
  <c r="BM384" i="70" s="1"/>
  <c r="BI385" i="70"/>
  <c r="BJ385" i="70" s="1"/>
  <c r="BK385" i="70" s="1"/>
  <c r="BL385" i="70" s="1"/>
  <c r="BM385" i="70" s="1"/>
  <c r="BI386" i="70"/>
  <c r="BJ386" i="70" s="1"/>
  <c r="BK386" i="70" s="1"/>
  <c r="BL386" i="70" s="1"/>
  <c r="BM386" i="70" s="1"/>
  <c r="BI387" i="70"/>
  <c r="BJ387" i="70" s="1"/>
  <c r="BK387" i="70" s="1"/>
  <c r="BL387" i="70" s="1"/>
  <c r="BM387" i="70" s="1"/>
  <c r="BI388" i="70"/>
  <c r="BJ388" i="70" s="1"/>
  <c r="BK388" i="70" s="1"/>
  <c r="BL388" i="70" s="1"/>
  <c r="BM388" i="70" s="1"/>
  <c r="BI389" i="70"/>
  <c r="BJ389" i="70" s="1"/>
  <c r="BK389" i="70" s="1"/>
  <c r="BL389" i="70" s="1"/>
  <c r="BM389" i="70" s="1"/>
  <c r="BI390" i="70"/>
  <c r="BJ390" i="70" s="1"/>
  <c r="BK390" i="70" s="1"/>
  <c r="BL390" i="70" s="1"/>
  <c r="BM390" i="70" s="1"/>
  <c r="BI391" i="70"/>
  <c r="BJ391" i="70" s="1"/>
  <c r="BK391" i="70" s="1"/>
  <c r="BL391" i="70" s="1"/>
  <c r="BM391" i="70" s="1"/>
  <c r="BI392" i="70"/>
  <c r="BJ392" i="70" s="1"/>
  <c r="BK392" i="70" s="1"/>
  <c r="BL392" i="70" s="1"/>
  <c r="BM392" i="70" s="1"/>
  <c r="BI393" i="70"/>
  <c r="BJ393" i="70" s="1"/>
  <c r="BK393" i="70" s="1"/>
  <c r="BL393" i="70" s="1"/>
  <c r="BM393" i="70" s="1"/>
  <c r="BI394" i="70"/>
  <c r="BJ394" i="70" s="1"/>
  <c r="BK394" i="70" s="1"/>
  <c r="BL394" i="70" s="1"/>
  <c r="BM394" i="70" s="1"/>
  <c r="BI395" i="70"/>
  <c r="BJ395" i="70" s="1"/>
  <c r="BK395" i="70" s="1"/>
  <c r="BL395" i="70" s="1"/>
  <c r="BM395" i="70" s="1"/>
  <c r="BI396" i="70"/>
  <c r="BJ396" i="70" s="1"/>
  <c r="BK396" i="70" s="1"/>
  <c r="BL396" i="70" s="1"/>
  <c r="BM396" i="70" s="1"/>
  <c r="BI397" i="70"/>
  <c r="BJ397" i="70" s="1"/>
  <c r="BK397" i="70" s="1"/>
  <c r="BL397" i="70" s="1"/>
  <c r="BM397" i="70" s="1"/>
  <c r="BI398" i="70"/>
  <c r="BJ398" i="70" s="1"/>
  <c r="BK398" i="70" s="1"/>
  <c r="BL398" i="70" s="1"/>
  <c r="BM398" i="70" s="1"/>
  <c r="BI399" i="70"/>
  <c r="BJ399" i="70" s="1"/>
  <c r="BK399" i="70" s="1"/>
  <c r="BL399" i="70" s="1"/>
  <c r="BM399" i="70" s="1"/>
  <c r="BI400" i="70"/>
  <c r="BJ400" i="70" s="1"/>
  <c r="BK400" i="70" s="1"/>
  <c r="BL400" i="70" s="1"/>
  <c r="BI401" i="70"/>
  <c r="BJ401" i="70" s="1"/>
  <c r="BK401" i="70" s="1"/>
  <c r="BL401" i="70" s="1"/>
  <c r="BI402" i="70"/>
  <c r="BJ402" i="70" s="1"/>
  <c r="BK402" i="70" s="1"/>
  <c r="BL402" i="70" s="1"/>
  <c r="BM402" i="70" s="1"/>
  <c r="BI403" i="70"/>
  <c r="BJ403" i="70" s="1"/>
  <c r="BK403" i="70" s="1"/>
  <c r="BL403" i="70" s="1"/>
  <c r="BM403" i="70" s="1"/>
  <c r="BI404" i="70"/>
  <c r="BJ404" i="70" s="1"/>
  <c r="BK404" i="70" s="1"/>
  <c r="BL404" i="70" s="1"/>
  <c r="BM404" i="70" s="1"/>
  <c r="BI405" i="70"/>
  <c r="BJ405" i="70" s="1"/>
  <c r="BK405" i="70" s="1"/>
  <c r="BL405" i="70" s="1"/>
  <c r="BM405" i="70" s="1"/>
  <c r="BI406" i="70"/>
  <c r="BJ406" i="70" s="1"/>
  <c r="BK406" i="70" s="1"/>
  <c r="BL406" i="70" s="1"/>
  <c r="BM406" i="70" s="1"/>
  <c r="BI407" i="70"/>
  <c r="BJ407" i="70" s="1"/>
  <c r="BK407" i="70" s="1"/>
  <c r="BL407" i="70" s="1"/>
  <c r="BM407" i="70" s="1"/>
  <c r="BI408" i="70"/>
  <c r="BJ408" i="70" s="1"/>
  <c r="BK408" i="70" s="1"/>
  <c r="BL408" i="70" s="1"/>
  <c r="BI409" i="70"/>
  <c r="BJ409" i="70" s="1"/>
  <c r="BK409" i="70" s="1"/>
  <c r="BL409" i="70" s="1"/>
  <c r="BI410" i="70"/>
  <c r="BJ410" i="70" s="1"/>
  <c r="BK410" i="70" s="1"/>
  <c r="BL410" i="70" s="1"/>
  <c r="BM410" i="70" s="1"/>
  <c r="BI411" i="70"/>
  <c r="BJ411" i="70" s="1"/>
  <c r="BK411" i="70" s="1"/>
  <c r="BL411" i="70" s="1"/>
  <c r="BM411" i="70" s="1"/>
  <c r="BI412" i="70"/>
  <c r="BJ412" i="70" s="1"/>
  <c r="BK412" i="70" s="1"/>
  <c r="BL412" i="70" s="1"/>
  <c r="BM412" i="70" s="1"/>
  <c r="BI413" i="70"/>
  <c r="BJ413" i="70" s="1"/>
  <c r="BK413" i="70" s="1"/>
  <c r="BL413" i="70" s="1"/>
  <c r="BM413" i="70" s="1"/>
  <c r="BI414" i="70"/>
  <c r="BJ414" i="70" s="1"/>
  <c r="BK414" i="70" s="1"/>
  <c r="BL414" i="70" s="1"/>
  <c r="BM414" i="70" s="1"/>
  <c r="BI415" i="70"/>
  <c r="BJ415" i="70" s="1"/>
  <c r="BK415" i="70" s="1"/>
  <c r="BL415" i="70" s="1"/>
  <c r="BM415" i="70" s="1"/>
  <c r="BI416" i="70"/>
  <c r="BJ416" i="70" s="1"/>
  <c r="BK416" i="70" s="1"/>
  <c r="BL416" i="70" s="1"/>
  <c r="BM416" i="70" s="1"/>
  <c r="BI417" i="70"/>
  <c r="BJ417" i="70" s="1"/>
  <c r="BK417" i="70" s="1"/>
  <c r="BL417" i="70" s="1"/>
  <c r="BM417" i="70" s="1"/>
  <c r="BI418" i="70"/>
  <c r="BJ418" i="70" s="1"/>
  <c r="BK418" i="70" s="1"/>
  <c r="BL418" i="70" s="1"/>
  <c r="BM418" i="70" s="1"/>
  <c r="BI419" i="70"/>
  <c r="BJ419" i="70" s="1"/>
  <c r="BK419" i="70" s="1"/>
  <c r="BL419" i="70" s="1"/>
  <c r="BM419" i="70" s="1"/>
  <c r="BI420" i="70"/>
  <c r="BJ420" i="70" s="1"/>
  <c r="BK420" i="70" s="1"/>
  <c r="BL420" i="70" s="1"/>
  <c r="BM420" i="70" s="1"/>
  <c r="BI421" i="70"/>
  <c r="BJ421" i="70" s="1"/>
  <c r="BK421" i="70" s="1"/>
  <c r="BL421" i="70" s="1"/>
  <c r="BM421" i="70" s="1"/>
  <c r="BI422" i="70"/>
  <c r="BJ422" i="70" s="1"/>
  <c r="BK422" i="70" s="1"/>
  <c r="BL422" i="70" s="1"/>
  <c r="BM422" i="70" s="1"/>
  <c r="BG18" i="70"/>
  <c r="BG26" i="70"/>
  <c r="BG34" i="70"/>
  <c r="BG42" i="70"/>
  <c r="BG50" i="70"/>
  <c r="BG58" i="70"/>
  <c r="BG66" i="70"/>
  <c r="BG74" i="70"/>
  <c r="BG82" i="70"/>
  <c r="BG90" i="70"/>
  <c r="BG98" i="70"/>
  <c r="BG106" i="70"/>
  <c r="BG114" i="70"/>
  <c r="BG122" i="70"/>
  <c r="BG130" i="70"/>
  <c r="BG138" i="70"/>
  <c r="BG146" i="70"/>
  <c r="BG154" i="70"/>
  <c r="BG162" i="70"/>
  <c r="BG170" i="70"/>
  <c r="BG178" i="70"/>
  <c r="BG186" i="70"/>
  <c r="BG194" i="70"/>
  <c r="BG202" i="70"/>
  <c r="BG210" i="70"/>
  <c r="BG218" i="70"/>
  <c r="BG226" i="70"/>
  <c r="BG234" i="70"/>
  <c r="BG242" i="70"/>
  <c r="BG250" i="70"/>
  <c r="BG258" i="70"/>
  <c r="BG266" i="70"/>
  <c r="BG274" i="70"/>
  <c r="BG282" i="70"/>
  <c r="BG290" i="70"/>
  <c r="BG298" i="70"/>
  <c r="BG306" i="70"/>
  <c r="BG314" i="70"/>
  <c r="BG322" i="70"/>
  <c r="BG330" i="70"/>
  <c r="BG338" i="70"/>
  <c r="BG346" i="70"/>
  <c r="BG354" i="70"/>
  <c r="BG362" i="70"/>
  <c r="BG370" i="70"/>
  <c r="BG378" i="70"/>
  <c r="BG386" i="70"/>
  <c r="BG394" i="70"/>
  <c r="BG402" i="70"/>
  <c r="BG410" i="70"/>
  <c r="BG418" i="70"/>
  <c r="BG19" i="70"/>
  <c r="BG28" i="70"/>
  <c r="BG37" i="70"/>
  <c r="BG46" i="70"/>
  <c r="BG55" i="70"/>
  <c r="BG83" i="70"/>
  <c r="BG92" i="70"/>
  <c r="BG101" i="70"/>
  <c r="BG110" i="70"/>
  <c r="BG119" i="70"/>
  <c r="BG128" i="70"/>
  <c r="BG137" i="70"/>
  <c r="BG147" i="70"/>
  <c r="BG156" i="70"/>
  <c r="BG165" i="70"/>
  <c r="BG174" i="70"/>
  <c r="BG211" i="70"/>
  <c r="BG220" i="70"/>
  <c r="BG229" i="70"/>
  <c r="BG238" i="70"/>
  <c r="BG256" i="70"/>
  <c r="BG265" i="70"/>
  <c r="BG275" i="70"/>
  <c r="BG284" i="70"/>
  <c r="BG293" i="70"/>
  <c r="BG302" i="70"/>
  <c r="BG339" i="70"/>
  <c r="BG348" i="70"/>
  <c r="BG357" i="70"/>
  <c r="BG366" i="70"/>
  <c r="BG384" i="70"/>
  <c r="BG393" i="70"/>
  <c r="BG403" i="70"/>
  <c r="BG412" i="70"/>
  <c r="BG421" i="70"/>
  <c r="BG24" i="70"/>
  <c r="BG43" i="70"/>
  <c r="BG52" i="70"/>
  <c r="BG61" i="70"/>
  <c r="BG70" i="70"/>
  <c r="BG79" i="70"/>
  <c r="BG97" i="70"/>
  <c r="BG107" i="70"/>
  <c r="BG116" i="70"/>
  <c r="BG125" i="70"/>
  <c r="BG134" i="70"/>
  <c r="BG171" i="70"/>
  <c r="BG180" i="70"/>
  <c r="BG189" i="70"/>
  <c r="BG198" i="70"/>
  <c r="BG207" i="70"/>
  <c r="BG216" i="70"/>
  <c r="BG235" i="70"/>
  <c r="BG244" i="70"/>
  <c r="BG253" i="70"/>
  <c r="BG262" i="70"/>
  <c r="BG299" i="70"/>
  <c r="BG308" i="70"/>
  <c r="BG317" i="70"/>
  <c r="BG326" i="70"/>
  <c r="BG335" i="70"/>
  <c r="BG353" i="70"/>
  <c r="BG363" i="70"/>
  <c r="BG372" i="70"/>
  <c r="BG381" i="70"/>
  <c r="BG390" i="70"/>
  <c r="BG399" i="70"/>
  <c r="BG417" i="70"/>
  <c r="BG20" i="70"/>
  <c r="BG31" i="70"/>
  <c r="BG44" i="70"/>
  <c r="BG68" i="70"/>
  <c r="BG80" i="70"/>
  <c r="BG93" i="70"/>
  <c r="BG104" i="70"/>
  <c r="BG117" i="70"/>
  <c r="BG141" i="70"/>
  <c r="BG166" i="70"/>
  <c r="BG190" i="70"/>
  <c r="BG203" i="70"/>
  <c r="BG214" i="70"/>
  <c r="BG227" i="70"/>
  <c r="BG239" i="70"/>
  <c r="BG251" i="70"/>
  <c r="BG276" i="70"/>
  <c r="BG287" i="70"/>
  <c r="BG300" i="70"/>
  <c r="BG312" i="70"/>
  <c r="BG324" i="70"/>
  <c r="BG336" i="70"/>
  <c r="BG349" i="70"/>
  <c r="BG360" i="70"/>
  <c r="BG373" i="70"/>
  <c r="BG385" i="70"/>
  <c r="BG397" i="70"/>
  <c r="BG422" i="70"/>
  <c r="BG21" i="70"/>
  <c r="BG32" i="70"/>
  <c r="BG45" i="70"/>
  <c r="BG57" i="70"/>
  <c r="BG69" i="70"/>
  <c r="BG81" i="70"/>
  <c r="BG94" i="70"/>
  <c r="BG118" i="70"/>
  <c r="BG131" i="70"/>
  <c r="BG142" i="70"/>
  <c r="BG155" i="70"/>
  <c r="BG167" i="70"/>
  <c r="BG179" i="70"/>
  <c r="BG191" i="70"/>
  <c r="BG204" i="70"/>
  <c r="BG228" i="70"/>
  <c r="BG240" i="70"/>
  <c r="BG252" i="70"/>
  <c r="BG264" i="70"/>
  <c r="BG277" i="70"/>
  <c r="BG288" i="70"/>
  <c r="BG301" i="70"/>
  <c r="BG313" i="70"/>
  <c r="BG325" i="70"/>
  <c r="BG337" i="70"/>
  <c r="BG23" i="70"/>
  <c r="BG36" i="70"/>
  <c r="BG48" i="70"/>
  <c r="BG60" i="70"/>
  <c r="BG85" i="70"/>
  <c r="BG96" i="70"/>
  <c r="BG109" i="70"/>
  <c r="BG133" i="70"/>
  <c r="BG145" i="70"/>
  <c r="BG158" i="70"/>
  <c r="BG182" i="70"/>
  <c r="BG195" i="70"/>
  <c r="BG206" i="70"/>
  <c r="BG219" i="70"/>
  <c r="BG231" i="70"/>
  <c r="BG243" i="70"/>
  <c r="BG255" i="70"/>
  <c r="BG268" i="70"/>
  <c r="BG292" i="70"/>
  <c r="BG304" i="70"/>
  <c r="BG316" i="70"/>
  <c r="BG328" i="70"/>
  <c r="BG341" i="70"/>
  <c r="BG352" i="70"/>
  <c r="BG365" i="70"/>
  <c r="BG377" i="70"/>
  <c r="BG389" i="70"/>
  <c r="BG414" i="70"/>
  <c r="BG27" i="70"/>
  <c r="BG39" i="70"/>
  <c r="BG51" i="70"/>
  <c r="BG63" i="70"/>
  <c r="BG76" i="70"/>
  <c r="BG87" i="70"/>
  <c r="BG100" i="70"/>
  <c r="BG112" i="70"/>
  <c r="BG124" i="70"/>
  <c r="BG136" i="70"/>
  <c r="BG149" i="70"/>
  <c r="BG160" i="70"/>
  <c r="BG173" i="70"/>
  <c r="BG197" i="70"/>
  <c r="BG222" i="70"/>
  <c r="BG233" i="70"/>
  <c r="BG246" i="70"/>
  <c r="BG259" i="70"/>
  <c r="BG270" i="70"/>
  <c r="BG283" i="70"/>
  <c r="BG295" i="70"/>
  <c r="BG307" i="70"/>
  <c r="BG332" i="70"/>
  <c r="BG343" i="70"/>
  <c r="BG356" i="70"/>
  <c r="BG368" i="70"/>
  <c r="BG380" i="70"/>
  <c r="BG392" i="70"/>
  <c r="BG405" i="70"/>
  <c r="BG416" i="70"/>
  <c r="BG22" i="70"/>
  <c r="BG120" i="70"/>
  <c r="BG144" i="70"/>
  <c r="BG168" i="70"/>
  <c r="BG217" i="70"/>
  <c r="BG241" i="70"/>
  <c r="BG267" i="70"/>
  <c r="BG291" i="70"/>
  <c r="BG315" i="70"/>
  <c r="BG340" i="70"/>
  <c r="BG359" i="70"/>
  <c r="BG379" i="70"/>
  <c r="BG398" i="70"/>
  <c r="BG419" i="70"/>
  <c r="BG75" i="70"/>
  <c r="BG99" i="70"/>
  <c r="BG123" i="70"/>
  <c r="BG148" i="70"/>
  <c r="BG172" i="70"/>
  <c r="BG196" i="70"/>
  <c r="BG221" i="70"/>
  <c r="BG245" i="70"/>
  <c r="BG269" i="70"/>
  <c r="BG294" i="70"/>
  <c r="BG318" i="70"/>
  <c r="BG342" i="70"/>
  <c r="BG382" i="70"/>
  <c r="BG420" i="70"/>
  <c r="BG30" i="70"/>
  <c r="BG54" i="70"/>
  <c r="BG78" i="70"/>
  <c r="BG103" i="70"/>
  <c r="BG127" i="70"/>
  <c r="BG151" i="70"/>
  <c r="BG176" i="70"/>
  <c r="BG200" i="70"/>
  <c r="BG224" i="70"/>
  <c r="BG249" i="70"/>
  <c r="BG323" i="70"/>
  <c r="BG347" i="70"/>
  <c r="BG367" i="70"/>
  <c r="BG387" i="70"/>
  <c r="BG406" i="70"/>
  <c r="BG38" i="70"/>
  <c r="BG62" i="70"/>
  <c r="BG86" i="70"/>
  <c r="BG135" i="70"/>
  <c r="BG184" i="70"/>
  <c r="BG208" i="70"/>
  <c r="BG232" i="70"/>
  <c r="BG331" i="70"/>
  <c r="BG351" i="70"/>
  <c r="BG371" i="70"/>
  <c r="BG391" i="70"/>
  <c r="BG411" i="70"/>
  <c r="BG29" i="70"/>
  <c r="BG77" i="70"/>
  <c r="BG126" i="70"/>
  <c r="BG175" i="70"/>
  <c r="BG223" i="70"/>
  <c r="BG364" i="70"/>
  <c r="BG404" i="70"/>
  <c r="BG35" i="70"/>
  <c r="BG84" i="70"/>
  <c r="BG132" i="70"/>
  <c r="BG181" i="70"/>
  <c r="BG230" i="70"/>
  <c r="BG278" i="70"/>
  <c r="BG327" i="70"/>
  <c r="BG407" i="70"/>
  <c r="BG40" i="70"/>
  <c r="BG89" i="70"/>
  <c r="BG139" i="70"/>
  <c r="BG187" i="70"/>
  <c r="BG236" i="70"/>
  <c r="BG285" i="70"/>
  <c r="BG333" i="70"/>
  <c r="BG374" i="70"/>
  <c r="BG413" i="70"/>
  <c r="BG53" i="70"/>
  <c r="BG102" i="70"/>
  <c r="BG150" i="70"/>
  <c r="BG248" i="70"/>
  <c r="BG91" i="70"/>
  <c r="BG140" i="70"/>
  <c r="BG188" i="70"/>
  <c r="BG237" i="70"/>
  <c r="BG286" i="70"/>
  <c r="BG334" i="70"/>
  <c r="BG376" i="70"/>
  <c r="BG415" i="70"/>
  <c r="BG59" i="70"/>
  <c r="BG164" i="70"/>
  <c r="BG309" i="70"/>
  <c r="BG395" i="70"/>
  <c r="BG205" i="70"/>
  <c r="BG310" i="70"/>
  <c r="BG396" i="70"/>
  <c r="BG67" i="70"/>
  <c r="BG212" i="70"/>
  <c r="BG108" i="70"/>
  <c r="BG213" i="70"/>
  <c r="BG350" i="70"/>
  <c r="BG254" i="70"/>
  <c r="BG355" i="70"/>
  <c r="BG16" i="70"/>
  <c r="BG157" i="70"/>
  <c r="BG261" i="70"/>
  <c r="BG115" i="70"/>
  <c r="BG260" i="70"/>
  <c r="BG358" i="70"/>
  <c r="BG163" i="70"/>
  <c r="BG303" i="70"/>
  <c r="BG388" i="70"/>
  <c r="BM408" i="70" l="1"/>
  <c r="BM296" i="70"/>
  <c r="BM56" i="70"/>
  <c r="BM409" i="70"/>
  <c r="BM361" i="70"/>
  <c r="BM321" i="70"/>
  <c r="BM297" i="70"/>
  <c r="BM273" i="70"/>
  <c r="BM225" i="70"/>
  <c r="BM201" i="70"/>
  <c r="BM177" i="70"/>
  <c r="BM153" i="70"/>
  <c r="BM121" i="70"/>
  <c r="BM65" i="70"/>
  <c r="BM33" i="70"/>
  <c r="BM344" i="70"/>
  <c r="BM272" i="70"/>
  <c r="BM152" i="70"/>
  <c r="BM88" i="70"/>
  <c r="BM72" i="70"/>
  <c r="BM401" i="70"/>
  <c r="BM345" i="70"/>
  <c r="BM305" i="70"/>
  <c r="BM281" i="70"/>
  <c r="BM193" i="70"/>
  <c r="BM169" i="70"/>
  <c r="BM113" i="70"/>
  <c r="BM73" i="70"/>
  <c r="BM17" i="70"/>
  <c r="BM320" i="70"/>
  <c r="BM192" i="70"/>
  <c r="BM375" i="70"/>
  <c r="BM183" i="70"/>
  <c r="BM383" i="70"/>
  <c r="BM319" i="70"/>
  <c r="BM279" i="70"/>
  <c r="BM263" i="70"/>
  <c r="BM215" i="70"/>
  <c r="BM159" i="70"/>
  <c r="BM280" i="70"/>
  <c r="BM271" i="70"/>
  <c r="BM111" i="70"/>
  <c r="BM199" i="70"/>
  <c r="BM64" i="70"/>
  <c r="BM311" i="70"/>
  <c r="BM247" i="70"/>
  <c r="BM143" i="70"/>
  <c r="BM47" i="70"/>
  <c r="BM71" i="70"/>
  <c r="BM41" i="70"/>
  <c r="BM369" i="70"/>
  <c r="BM329" i="70"/>
  <c r="BM289" i="70"/>
  <c r="BM257" i="70"/>
  <c r="BM209" i="70"/>
  <c r="BM185" i="70"/>
  <c r="BM161" i="70"/>
  <c r="BM129" i="70"/>
  <c r="BM105" i="70"/>
  <c r="BM49" i="70"/>
  <c r="BM25" i="70"/>
  <c r="BM95" i="70"/>
  <c r="BM400" i="70"/>
  <c r="M7" i="83"/>
  <c r="BG408" i="70"/>
  <c r="BG296" i="70"/>
  <c r="BG56" i="70"/>
  <c r="BG409" i="70"/>
  <c r="BG153" i="70"/>
  <c r="BG72" i="70"/>
  <c r="BG73" i="70"/>
  <c r="BG279" i="70"/>
  <c r="BG64" i="70"/>
  <c r="BG329" i="70"/>
  <c r="BG49" i="70"/>
  <c r="BG95" i="70"/>
  <c r="BG272" i="70"/>
  <c r="BG271" i="70"/>
  <c r="BG169" i="70"/>
  <c r="BG129" i="70"/>
  <c r="BG319" i="70"/>
  <c r="BG361" i="70"/>
  <c r="BG121" i="70"/>
  <c r="BG401" i="70"/>
  <c r="BG17" i="70"/>
  <c r="BG263" i="70"/>
  <c r="BG311" i="70"/>
  <c r="BG289" i="70"/>
  <c r="BG25" i="70"/>
  <c r="BG185" i="70"/>
  <c r="BG183" i="70"/>
  <c r="BG152" i="70"/>
  <c r="BG383" i="70"/>
  <c r="BG88" i="70"/>
  <c r="BG105" i="70"/>
  <c r="BG321" i="70"/>
  <c r="BG65" i="70"/>
  <c r="BG345" i="70"/>
  <c r="BG320" i="70"/>
  <c r="BG215" i="70"/>
  <c r="BG247" i="70"/>
  <c r="BG257" i="70"/>
  <c r="BG143" i="70"/>
  <c r="BG201" i="70"/>
  <c r="BG111" i="70"/>
  <c r="BG113" i="70"/>
  <c r="BG297" i="70"/>
  <c r="BG33" i="70"/>
  <c r="BG305" i="70"/>
  <c r="BG192" i="70"/>
  <c r="BG159" i="70"/>
  <c r="BG209" i="70"/>
  <c r="BG193" i="70"/>
  <c r="BG71" i="70"/>
  <c r="BG41" i="70"/>
  <c r="BG199" i="70"/>
  <c r="BG273" i="70"/>
  <c r="BG344" i="70"/>
  <c r="BG281" i="70"/>
  <c r="BG375" i="70"/>
  <c r="BG280" i="70"/>
  <c r="BG47" i="70"/>
  <c r="BG225" i="70"/>
  <c r="BG161" i="70"/>
  <c r="BG177" i="70"/>
  <c r="BG369" i="70"/>
  <c r="BG400" i="70"/>
  <c r="T15" i="83" l="1"/>
  <c r="T40" i="83"/>
  <c r="S45" i="83" l="1"/>
  <c r="S42" i="83"/>
  <c r="S43" i="83"/>
  <c r="S44" i="83"/>
  <c r="S41" i="83"/>
  <c r="T41" i="83" s="1"/>
  <c r="S21" i="83"/>
  <c r="S22" i="83"/>
  <c r="S23" i="83"/>
  <c r="S24" i="83"/>
  <c r="S25" i="83"/>
  <c r="S26" i="83"/>
  <c r="S27" i="83"/>
  <c r="S28" i="83"/>
  <c r="S29" i="83"/>
  <c r="S30" i="83"/>
  <c r="S31" i="83"/>
  <c r="S32" i="83"/>
  <c r="S33" i="83"/>
  <c r="S34" i="83"/>
  <c r="S35" i="83"/>
  <c r="S36" i="83"/>
  <c r="S37" i="83"/>
  <c r="S38" i="83"/>
  <c r="S39" i="83"/>
  <c r="S6" i="83"/>
  <c r="S7" i="83"/>
  <c r="S8" i="83"/>
  <c r="S9" i="83"/>
  <c r="S10" i="83"/>
  <c r="S11" i="83"/>
  <c r="S12" i="83"/>
  <c r="S13" i="83"/>
  <c r="T13" i="83" s="1"/>
  <c r="S14" i="83"/>
  <c r="S16" i="83"/>
  <c r="S17" i="83"/>
  <c r="S18" i="83"/>
  <c r="T18" i="83" s="1"/>
  <c r="S19" i="83"/>
  <c r="T19" i="83" s="1"/>
  <c r="S20" i="83"/>
  <c r="S5" i="83"/>
  <c r="T5" i="83" s="1"/>
  <c r="S4" i="83"/>
  <c r="T39" i="83" l="1"/>
  <c r="H36" i="83" s="1"/>
  <c r="T31" i="83"/>
  <c r="H26" i="83" s="1"/>
  <c r="T23" i="83"/>
  <c r="B41" i="83" s="1"/>
  <c r="T38" i="83"/>
  <c r="F36" i="83" s="1"/>
  <c r="T22" i="83"/>
  <c r="C46" i="83" s="1"/>
  <c r="T20" i="83"/>
  <c r="C18" i="83" s="1"/>
  <c r="T11" i="83"/>
  <c r="K18" i="83" s="1"/>
  <c r="T37" i="83"/>
  <c r="B36" i="83" s="1"/>
  <c r="T29" i="83"/>
  <c r="F27" i="83" s="1"/>
  <c r="T21" i="83"/>
  <c r="B46" i="83" s="1"/>
  <c r="T28" i="83"/>
  <c r="F26" i="83" s="1"/>
  <c r="T9" i="83"/>
  <c r="E13" i="83" s="1"/>
  <c r="T35" i="83"/>
  <c r="F33" i="83" s="1"/>
  <c r="T27" i="83"/>
  <c r="B26" i="83" s="1"/>
  <c r="T44" i="83"/>
  <c r="H53" i="83" s="1"/>
  <c r="T12" i="83"/>
  <c r="M18" i="83" s="1"/>
  <c r="T36" i="83"/>
  <c r="H31" i="83" s="1"/>
  <c r="T17" i="83"/>
  <c r="E18" i="83" s="1"/>
  <c r="T8" i="83"/>
  <c r="B13" i="83" s="1"/>
  <c r="T34" i="83"/>
  <c r="F32" i="83" s="1"/>
  <c r="T26" i="83"/>
  <c r="C21" i="83" s="1"/>
  <c r="T43" i="83"/>
  <c r="H52" i="83" s="1"/>
  <c r="B10" i="83"/>
  <c r="T4" i="83"/>
  <c r="T16" i="83"/>
  <c r="I18" i="83" s="1"/>
  <c r="T7" i="83"/>
  <c r="C13" i="83" s="1"/>
  <c r="T33" i="83"/>
  <c r="F31" i="83" s="1"/>
  <c r="T25" i="83"/>
  <c r="B21" i="83" s="1"/>
  <c r="T42" i="83"/>
  <c r="F52" i="83" s="1"/>
  <c r="T30" i="83"/>
  <c r="F28" i="83" s="1"/>
  <c r="T10" i="83"/>
  <c r="G10" i="83" s="1"/>
  <c r="T14" i="83"/>
  <c r="G18" i="83" s="1"/>
  <c r="T6" i="83"/>
  <c r="E10" i="83" s="1"/>
  <c r="T32" i="83"/>
  <c r="B31" i="83" s="1"/>
  <c r="T24" i="83"/>
  <c r="C41" i="83" s="1"/>
  <c r="T45" i="83"/>
  <c r="B52" i="83" s="1"/>
  <c r="B18" i="83"/>
  <c r="F18" i="83"/>
  <c r="C10" i="83"/>
  <c r="M10" i="83" l="1"/>
  <c r="M11" i="83"/>
  <c r="J9" i="70"/>
  <c r="I9" i="70"/>
  <c r="H9" i="70"/>
  <c r="G9" i="70"/>
  <c r="F9" i="70"/>
  <c r="B8" i="70"/>
  <c r="B7" i="70" s="1"/>
  <c r="AQ14" i="70"/>
  <c r="AR14" i="70"/>
  <c r="AS14" i="70"/>
  <c r="AT14" i="70"/>
  <c r="AU14" i="70"/>
  <c r="AV14" i="70"/>
  <c r="AW14" i="70"/>
  <c r="M14" i="70"/>
  <c r="L14" i="70"/>
  <c r="AD14" i="70"/>
  <c r="AE14" i="70"/>
  <c r="AF14" i="70"/>
  <c r="A8" i="70"/>
  <c r="A7" i="70" s="1"/>
  <c r="C14" i="70"/>
  <c r="E14" i="70"/>
  <c r="F14" i="70"/>
  <c r="G14" i="70"/>
  <c r="H14" i="70"/>
  <c r="I14" i="70"/>
  <c r="J14" i="70"/>
  <c r="K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C14" i="70"/>
  <c r="AG14" i="70"/>
  <c r="AH14" i="70"/>
  <c r="AI14" i="70"/>
  <c r="AJ14" i="70"/>
  <c r="AK14" i="70"/>
  <c r="AL14" i="70"/>
  <c r="AM14" i="70"/>
  <c r="AN14" i="70"/>
  <c r="AO14" i="70"/>
  <c r="AP14" i="70"/>
  <c r="B14" i="70"/>
  <c r="A4" i="70"/>
  <c r="K9" i="7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1D90E5-DE17-4CCC-8756-1D31BC697276}" keepAlive="1" name="Query - 05preva_view (3)" description="Connection to the '05preva_view (3)' query in the workbook." type="5" refreshedVersion="6" background="1" refreshOnLoad="1" saveData="1">
    <dbPr connection="Provider=Microsoft.Mashup.OleDb.1;Data Source=$Workbook$;Location=05preva_view (3);Extended Properties=&quot;&quot;" command="SELECT * FROM [05preva_view (3)]"/>
  </connection>
  <connection id="2" xr16:uid="{C7CC25B5-B268-4320-B4A3-A7F0D76A2226}" keepAlive="1" name="Query - Anchor_Tenant" description="Connection to the 'Anchor_Tenant' query in the workbook." type="5" refreshedVersion="6" background="1" saveData="1">
    <dbPr connection="Provider=Microsoft.Mashup.OleDb.1;Data Source=$Workbook$;Location=Anchor_Tenant;Extended Properties=&quot;&quot;" command="SELECT * FROM [Anchor_Tenant]"/>
  </connection>
</connections>
</file>

<file path=xl/sharedStrings.xml><?xml version="1.0" encoding="utf-8"?>
<sst xmlns="http://schemas.openxmlformats.org/spreadsheetml/2006/main" count="22525" uniqueCount="7697">
  <si>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</si>
  <si>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</si>
  <si>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</si>
  <si>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</si>
  <si>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</si>
  <si>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</si>
  <si>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</si>
  <si>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</si>
  <si>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</si>
  <si>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</si>
  <si>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</si>
  <si>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</si>
  <si>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</si>
  <si>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</si>
  <si>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</si>
  <si>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</si>
  <si>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</si>
  <si>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</si>
  <si>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</si>
  <si>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</si>
  <si>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</si>
  <si>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</si>
  <si>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</si>
  <si>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</si>
  <si>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</si>
  <si>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</si>
  <si>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</si>
  <si>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</si>
  <si>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</si>
  <si>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</si>
  <si>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</si>
  <si>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</si>
  <si>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</si>
  <si>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</si>
  <si>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Mytel</t>
  </si>
  <si>
    <t>MPT</t>
  </si>
  <si>
    <t>Legacy</t>
  </si>
  <si>
    <t>04Id_Project</t>
  </si>
  <si>
    <t>Telenor</t>
  </si>
  <si>
    <t>Site ID</t>
  </si>
  <si>
    <t>OML</t>
  </si>
  <si>
    <t>Amara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</si>
  <si>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</si>
  <si>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</si>
  <si>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</si>
  <si>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</si>
  <si>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</si>
  <si>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</si>
  <si>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</si>
  <si>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</si>
  <si>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</si>
  <si>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</si>
  <si>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</si>
  <si>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</si>
  <si>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</si>
  <si>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</si>
  <si>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</si>
  <si>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</si>
  <si>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</si>
  <si>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</si>
  <si>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</si>
  <si>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</si>
  <si>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 Remarks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</si>
  <si>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</si>
  <si>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</si>
  <si>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</si>
  <si>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</si>
  <si>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</si>
  <si>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</si>
  <si>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</si>
  <si>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</si>
  <si>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</si>
  <si>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</si>
  <si>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</si>
  <si>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</si>
  <si>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</si>
  <si>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</si>
  <si>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</si>
  <si>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</si>
  <si>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</si>
  <si>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Colo Application</t>
  </si>
  <si>
    <t>Folder Path1</t>
  </si>
  <si>
    <t>Folder Path2</t>
  </si>
  <si>
    <t>Folder Path3</t>
  </si>
  <si>
    <t>AM Remarks</t>
  </si>
  <si>
    <t>File Name</t>
  </si>
  <si>
    <t>File Path</t>
  </si>
  <si>
    <t>Find Process &amp; Database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</si>
  <si>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</si>
  <si>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</si>
  <si>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</si>
  <si>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</si>
  <si>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</si>
  <si>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</si>
  <si>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</si>
  <si>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</si>
  <si>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</si>
  <si>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</si>
  <si>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Prevalidation Leadtime</t>
  </si>
  <si>
    <t>Scope</t>
  </si>
  <si>
    <t>Count Validated</t>
  </si>
  <si>
    <t>Region</t>
  </si>
  <si>
    <t>tenant id</t>
  </si>
  <si>
    <t>Power Average</t>
  </si>
  <si>
    <t>Power Peak</t>
  </si>
  <si>
    <t>Power Forecast</t>
  </si>
  <si>
    <t>RM Review</t>
  </si>
  <si>
    <t>PM Forecast</t>
  </si>
  <si>
    <t>PM Review</t>
  </si>
  <si>
    <t>AM Review</t>
  </si>
  <si>
    <t>Tower Space Time</t>
  </si>
  <si>
    <t>Power Time</t>
  </si>
  <si>
    <t>Structural Time</t>
  </si>
  <si>
    <t>CW Time</t>
  </si>
  <si>
    <t>LandLord Time</t>
  </si>
  <si>
    <t>Community Time</t>
  </si>
  <si>
    <t>Apollo</t>
  </si>
  <si>
    <t>Central</t>
  </si>
  <si>
    <t>Colocation</t>
  </si>
  <si>
    <t>EPA</t>
  </si>
  <si>
    <t>OK</t>
  </si>
  <si>
    <t>04-Apr-18: Okay for TI installation,  Lease hike request may raise while TI installation</t>
  </si>
  <si>
    <t>47-50M</t>
  </si>
  <si>
    <t>No</t>
  </si>
  <si>
    <t>Proceed.  Order Eqpt &amp; U/G later - DG &amp; Batt UG 1200Ah</t>
  </si>
  <si>
    <t>Review</t>
  </si>
  <si>
    <t>ANKC_0015</t>
  </si>
  <si>
    <t>Northern</t>
  </si>
  <si>
    <t>KCN0160</t>
  </si>
  <si>
    <t>23-27M</t>
  </si>
  <si>
    <t>Need to provide new equipment slab</t>
  </si>
  <si>
    <t>Proceed.  Order Eqpt &amp; U/G later - Batt UG 1200AH</t>
  </si>
  <si>
    <t>ANMD_0065</t>
  </si>
  <si>
    <t>MDY0723</t>
  </si>
  <si>
    <t>Proceed.  Order Eqpt &amp; U/G later - DG &amp; Batt 1200Ah</t>
  </si>
  <si>
    <t>ANMD_0119</t>
  </si>
  <si>
    <t>MDY0093</t>
  </si>
  <si>
    <t>17-21M</t>
  </si>
  <si>
    <t>Ok with temporay height. EPA over desing need to check and strengthening Tower,</t>
  </si>
  <si>
    <t>Need to provide additional cable tray</t>
  </si>
  <si>
    <t>Proceed.  Order Eqpt &amp; U/G later - Flex24 &amp; Batt 1200Ah</t>
  </si>
  <si>
    <t>Rejected</t>
  </si>
  <si>
    <t>ANMD_0174</t>
  </si>
  <si>
    <t>MDY0004</t>
  </si>
  <si>
    <t>45-50M</t>
  </si>
  <si>
    <t>ANSG_0344</t>
  </si>
  <si>
    <t>SGG0260</t>
  </si>
  <si>
    <t>42-45</t>
  </si>
  <si>
    <t>ANSH_0006</t>
  </si>
  <si>
    <t>SHN0876</t>
  </si>
  <si>
    <t>RF-25M-30M//MW-can get higher</t>
  </si>
  <si>
    <t>Proceed. Swap existing 1200AH BB re order batteries for stock</t>
  </si>
  <si>
    <t>ASKA_0150</t>
  </si>
  <si>
    <t>Southern</t>
  </si>
  <si>
    <t>KYN0014</t>
  </si>
  <si>
    <t>RF &amp; MW-48-53M</t>
  </si>
  <si>
    <t xml:space="preserve">Proceed.  Order Eqpt &amp; U/G later </t>
  </si>
  <si>
    <t>ASMO_0275</t>
  </si>
  <si>
    <t>MON0306</t>
  </si>
  <si>
    <t>31-35</t>
  </si>
  <si>
    <t>Proceed.  Order Eqpt &amp; U/G later  - BB U/G 1200AH &amp; Grid Con</t>
  </si>
  <si>
    <t>AYYN_0121</t>
  </si>
  <si>
    <t>YGN1319</t>
  </si>
  <si>
    <t>25-28//Under 16M</t>
  </si>
  <si>
    <t>Yoyoyoyoyoo</t>
  </si>
  <si>
    <t>Proceed.  Order Eqpt &amp; U/G later - Swap to GP PE</t>
  </si>
  <si>
    <t>AYYN_0389</t>
  </si>
  <si>
    <t>YGN0167</t>
  </si>
  <si>
    <t>6m Pole + 22.2m (building ht)</t>
  </si>
  <si>
    <t>Need to build new pole at down floor</t>
  </si>
  <si>
    <t>No ETA</t>
  </si>
  <si>
    <t xml:space="preserve">Awaiting VISION Lio4 option to arrive no ETA </t>
  </si>
  <si>
    <t>AYYN_0396</t>
  </si>
  <si>
    <t>YGN0171</t>
  </si>
  <si>
    <t>6m Pole + 23.75m (Building ht)</t>
  </si>
  <si>
    <t>Need to build new slab</t>
  </si>
  <si>
    <t>AYYN_0583</t>
  </si>
  <si>
    <t>YGN1201</t>
  </si>
  <si>
    <t>23-26.5</t>
  </si>
  <si>
    <t>Proceed. Order Eqpt &amp; U/G later - 1200AH Swap.  30KVA DG</t>
  </si>
  <si>
    <t>ANMD_0273</t>
  </si>
  <si>
    <t>AYYN_0269</t>
  </si>
  <si>
    <t>YGNINSN052</t>
  </si>
  <si>
    <t>ACDB &amp; Smart meter installation planned for WK12</t>
  </si>
  <si>
    <t>AYYN_0171</t>
  </si>
  <si>
    <t>YGN01927</t>
  </si>
  <si>
    <t>Proceed</t>
  </si>
  <si>
    <t>ANSG_0355</t>
  </si>
  <si>
    <t>SGG01165</t>
  </si>
  <si>
    <t>BB to order</t>
  </si>
  <si>
    <t>AYYN_0099</t>
  </si>
  <si>
    <t>YGN02508</t>
  </si>
  <si>
    <t xml:space="preserve">24KW PE UG required </t>
  </si>
  <si>
    <t>AYYN_0251</t>
  </si>
  <si>
    <t>YGN01769</t>
  </si>
  <si>
    <t>Proceed. Order Eqpt &amp; U/G later - EOL Swap 600AH -  20KVA DG</t>
  </si>
  <si>
    <t>YGN02364</t>
  </si>
  <si>
    <t>Ok with easy Macro solution</t>
  </si>
  <si>
    <t>ANMD_0224</t>
  </si>
  <si>
    <t>MAW2259</t>
  </si>
  <si>
    <t>Already RFI</t>
  </si>
  <si>
    <t>Ready 28 March</t>
  </si>
  <si>
    <t>ASMO_0163</t>
  </si>
  <si>
    <t>MOW6065</t>
  </si>
  <si>
    <t xml:space="preserve">PE UG required - 30 March </t>
  </si>
  <si>
    <t>Review-EPA over desing need to check tower</t>
  </si>
  <si>
    <t>Yes</t>
  </si>
  <si>
    <t>90 Days</t>
  </si>
  <si>
    <t>BB DG</t>
  </si>
  <si>
    <t>AYYN_0611</t>
  </si>
  <si>
    <t>YAW4436</t>
  </si>
  <si>
    <t>BB DG+ Grid</t>
  </si>
  <si>
    <t>DG noise issue</t>
  </si>
  <si>
    <t>AYYN_0529</t>
  </si>
  <si>
    <t>ANSG_0380</t>
  </si>
  <si>
    <t>SAW0729</t>
  </si>
  <si>
    <t>OML need to put small RF 5.4m2</t>
  </si>
  <si>
    <t>Add Lio4 mods</t>
  </si>
  <si>
    <t>ANSG_0343</t>
  </si>
  <si>
    <t>SAW0697</t>
  </si>
  <si>
    <t>27</t>
  </si>
  <si>
    <t>32</t>
  </si>
  <si>
    <t>Normal Slab and need to extend</t>
  </si>
  <si>
    <t>Proceed. Order Eqpt &amp; U/G later - Swap &amp; Expand to 1200AH</t>
  </si>
  <si>
    <t>Already RFI. (Rent increase to be negotiated for operator)</t>
  </si>
  <si>
    <t>ANNP_0252</t>
  </si>
  <si>
    <t>NPW0260</t>
  </si>
  <si>
    <t>30</t>
  </si>
  <si>
    <t>35</t>
  </si>
  <si>
    <t>Ok</t>
  </si>
  <si>
    <t>FC WK19-20</t>
  </si>
  <si>
    <t xml:space="preserve">PE UG required. Need to re-order </t>
  </si>
  <si>
    <t>AYYN_0135</t>
  </si>
  <si>
    <t>YGN02071</t>
  </si>
  <si>
    <t>22</t>
  </si>
  <si>
    <t>22-27m</t>
  </si>
  <si>
    <t>READY</t>
  </si>
  <si>
    <t>Ready for Mytel 08 Nov 17</t>
  </si>
  <si>
    <t>ANKC_0017</t>
  </si>
  <si>
    <t>KCN0349</t>
  </si>
  <si>
    <t>45</t>
  </si>
  <si>
    <t>50</t>
  </si>
  <si>
    <t>Extension not required</t>
  </si>
  <si>
    <t>DG &amp; BB UG required need to re-order</t>
  </si>
  <si>
    <t>ANMD_0073</t>
  </si>
  <si>
    <t>MDY0002</t>
  </si>
  <si>
    <t>20</t>
  </si>
  <si>
    <t>25</t>
  </si>
  <si>
    <t>55</t>
  </si>
  <si>
    <t>60</t>
  </si>
  <si>
    <t>ANMG_0187</t>
  </si>
  <si>
    <t>MGY0444</t>
  </si>
  <si>
    <t>ANSH_0034</t>
  </si>
  <si>
    <t>ACBA_0052</t>
  </si>
  <si>
    <t>BGO0947</t>
  </si>
  <si>
    <t>3-Leg free(ABC)</t>
  </si>
  <si>
    <t xml:space="preserve">1 week </t>
  </si>
  <si>
    <t>Please confirm OML old request OK for MYTEL only</t>
  </si>
  <si>
    <t>ACBA_0118</t>
  </si>
  <si>
    <t>BGO0948</t>
  </si>
  <si>
    <t>3-Leg free(ABC), MW can get higher space</t>
  </si>
  <si>
    <t>Initially BB UG required PE sys UG later</t>
  </si>
  <si>
    <t>ACBA_0075</t>
  </si>
  <si>
    <t>BGO0949</t>
  </si>
  <si>
    <t>ACBA_0073</t>
  </si>
  <si>
    <t>BGO0950</t>
  </si>
  <si>
    <t>ACBA_0067</t>
  </si>
  <si>
    <t>BGO0965</t>
  </si>
  <si>
    <t>ACBA_0124</t>
  </si>
  <si>
    <t>BGO0970</t>
  </si>
  <si>
    <t>ANNP_0243</t>
  </si>
  <si>
    <t>NPW0263</t>
  </si>
  <si>
    <t>ANNP_0241</t>
  </si>
  <si>
    <t>NPW0264</t>
  </si>
  <si>
    <t>3-Leg free(ACD)</t>
  </si>
  <si>
    <t>Review-EPA almost over desing need to check tower and strengthening if need</t>
  </si>
  <si>
    <t>Need to provide additional normal equipment slab with S2 type Platform</t>
  </si>
  <si>
    <t>DG UG required</t>
  </si>
  <si>
    <t>Pan Asia</t>
  </si>
  <si>
    <t>16</t>
  </si>
  <si>
    <t>18</t>
  </si>
  <si>
    <t>23</t>
  </si>
  <si>
    <t>1 week after material arrives to date 4 wk delay</t>
  </si>
  <si>
    <t>ANMD_0166</t>
  </si>
  <si>
    <t>40</t>
  </si>
  <si>
    <t>ANMD_0080</t>
  </si>
  <si>
    <t>MDY0299</t>
  </si>
  <si>
    <t>DG &amp; BB upgrade required material in stock - to be re ordered</t>
  </si>
  <si>
    <t>ANMD_0004</t>
  </si>
  <si>
    <t>AYYN_0527</t>
  </si>
  <si>
    <t>YAW7098</t>
  </si>
  <si>
    <t>12</t>
  </si>
  <si>
    <t>17</t>
  </si>
  <si>
    <t>Need to add new pole, need to do building Analysis</t>
  </si>
  <si>
    <t>need to provide new pole, equipment slab and cable tray</t>
  </si>
  <si>
    <t>LiPO4</t>
  </si>
  <si>
    <t>ASKA_0137</t>
  </si>
  <si>
    <t>KNW6140</t>
  </si>
  <si>
    <t>18-May-18: Good to go for OML, lease hike is been cleared</t>
  </si>
  <si>
    <t>6</t>
  </si>
  <si>
    <t>TBA</t>
  </si>
  <si>
    <t>18-May-18: Good to go for OML, lease hike may raise while TI installation</t>
  </si>
  <si>
    <t>LEG ABD</t>
  </si>
  <si>
    <t>ACAY_0015</t>
  </si>
  <si>
    <t>AYW5549</t>
  </si>
  <si>
    <t>PE UG</t>
  </si>
  <si>
    <t>ASMO_0313</t>
  </si>
  <si>
    <t>MOW6298</t>
  </si>
  <si>
    <t>Flex UG BB DG</t>
  </si>
  <si>
    <t>ASMO_0201</t>
  </si>
  <si>
    <t>MOW6299</t>
  </si>
  <si>
    <t>BB UG - 12 hrs NS expect outages w/add colo</t>
  </si>
  <si>
    <t>ACBA_0255</t>
  </si>
  <si>
    <t>BAW5557</t>
  </si>
  <si>
    <t>AYYN_0244</t>
  </si>
  <si>
    <t>YAW7770</t>
  </si>
  <si>
    <t>LEG ACD</t>
  </si>
  <si>
    <t>AYYN_0517</t>
  </si>
  <si>
    <t>YAW7769</t>
  </si>
  <si>
    <t>23-May-18: Lease increase may raise while TI installtion.</t>
  </si>
  <si>
    <t>At this is ok after TSS will confirm available height</t>
  </si>
  <si>
    <t>RT site need TSSR</t>
  </si>
  <si>
    <t>ACBA_0094</t>
  </si>
  <si>
    <t>BAW5558</t>
  </si>
  <si>
    <t>LEG BCD</t>
  </si>
  <si>
    <t>for small RF</t>
  </si>
  <si>
    <t>ACBA_0056</t>
  </si>
  <si>
    <t>BAW5560</t>
  </si>
  <si>
    <t>ASMO_0267</t>
  </si>
  <si>
    <t>MOW6300</t>
  </si>
  <si>
    <t>DG 24/7 restricted - BB UG - expect outages with long grid outages</t>
  </si>
  <si>
    <t>OK for small RF</t>
  </si>
  <si>
    <t>AYYN_0306</t>
  </si>
  <si>
    <t>YAW7763</t>
  </si>
  <si>
    <t>23-May-18: Lease increase may raise while TI installtion.(No additional slab and pole )</t>
  </si>
  <si>
    <t>ASMO_0263</t>
  </si>
  <si>
    <t>MOW6303</t>
  </si>
  <si>
    <t xml:space="preserve">remaining EPA still can collocate </t>
  </si>
  <si>
    <t>23-May-18: Already 4 opertor are co-located on site, if go from structural Engg we can go ahead with negotation.</t>
  </si>
  <si>
    <t>Tower already strengthening without consider OML</t>
  </si>
  <si>
    <t>AYYN_0534</t>
  </si>
  <si>
    <t>YAW7825</t>
  </si>
  <si>
    <t>AYYN_0128</t>
  </si>
  <si>
    <t>YAW7818</t>
  </si>
  <si>
    <t>EPA almost over design</t>
  </si>
  <si>
    <t>Flex UG BB DG+ Grid</t>
  </si>
  <si>
    <t>AYYN_0104</t>
  </si>
  <si>
    <t>YAW7816</t>
  </si>
  <si>
    <t>AYYN_0580</t>
  </si>
  <si>
    <t>YAW7405</t>
  </si>
  <si>
    <t>5m</t>
  </si>
  <si>
    <t>AYYN_0576</t>
  </si>
  <si>
    <t>YAW7812</t>
  </si>
  <si>
    <t>PE UG - Batt DG &amp; DCDB - K10 kit from stock</t>
  </si>
  <si>
    <t>AYYN_0331</t>
  </si>
  <si>
    <t>YAW7807</t>
  </si>
  <si>
    <t>ACBA_0108</t>
  </si>
  <si>
    <t>BAW5569</t>
  </si>
  <si>
    <t>120 Days</t>
  </si>
  <si>
    <t>ASMO_0305</t>
  </si>
  <si>
    <t>MOW6308</t>
  </si>
  <si>
    <t>Need to provide additional equipment slab</t>
  </si>
  <si>
    <t>ASMO_0180</t>
  </si>
  <si>
    <t>MOW6311</t>
  </si>
  <si>
    <t>PE UG - Batt DG &amp; DCDB</t>
  </si>
  <si>
    <t>PE equipment TBO (To Be Ordered)</t>
  </si>
  <si>
    <t>AYYN_0536</t>
  </si>
  <si>
    <t>YAW7758</t>
  </si>
  <si>
    <t>36KW 2400 BB</t>
  </si>
  <si>
    <t>ACBA_0051</t>
  </si>
  <si>
    <t>BAW5574</t>
  </si>
  <si>
    <t>Leg ABC</t>
  </si>
  <si>
    <t>AYYN_0309</t>
  </si>
  <si>
    <t>YAW7787</t>
  </si>
  <si>
    <t>ACAY_0142</t>
  </si>
  <si>
    <t>AYW5565</t>
  </si>
  <si>
    <t>ACBA_0089</t>
  </si>
  <si>
    <t>BAW5581</t>
  </si>
  <si>
    <t>AYYN_0088</t>
  </si>
  <si>
    <t>YAW4651</t>
  </si>
  <si>
    <t>PE UG - Batt DG &amp; DCDB - K10 kit TBO</t>
  </si>
  <si>
    <t>PE equipment TBO (To Be Ordered)</t>
  </si>
  <si>
    <t>ACAY_0123</t>
  </si>
  <si>
    <t>AYW5569</t>
  </si>
  <si>
    <t>ACBA_0032</t>
  </si>
  <si>
    <t>BAW5234</t>
  </si>
  <si>
    <t>DG &amp; BB UG required need to re-order - site on grid</t>
  </si>
  <si>
    <t>ASMO_0162</t>
  </si>
  <si>
    <t>MOW6294</t>
  </si>
  <si>
    <t>ASMO_0166</t>
  </si>
  <si>
    <t>MOW6237</t>
  </si>
  <si>
    <t>ASMO_0165</t>
  </si>
  <si>
    <t>MOW6176</t>
  </si>
  <si>
    <t>Ok small RF (6m2 remaining) need strengthening</t>
  </si>
  <si>
    <t xml:space="preserve">DG &amp; BB UG </t>
  </si>
  <si>
    <t>ASMO_0171</t>
  </si>
  <si>
    <t>MOW6290</t>
  </si>
  <si>
    <t>23-May-18: Already 4 opertor are co-located on site, if go from structural Engg  &amp; Power &amp; Security we can go ahead with negotation.</t>
  </si>
  <si>
    <t>need to relocate DCDB pole</t>
  </si>
  <si>
    <t>DCDB</t>
  </si>
  <si>
    <t>LEG ABC</t>
  </si>
  <si>
    <t>ACBA_0196</t>
  </si>
  <si>
    <t>BAW5585</t>
  </si>
  <si>
    <t>ACBA_0038</t>
  </si>
  <si>
    <t>BAW5548</t>
  </si>
  <si>
    <t>ACBA_0030</t>
  </si>
  <si>
    <t>BAW5260</t>
  </si>
  <si>
    <t>RF Ok MW can get top height</t>
  </si>
  <si>
    <t>BB UG - DG can run only once grid long outage is confirmed</t>
  </si>
  <si>
    <t>ACBA_0028</t>
  </si>
  <si>
    <t>BAW5251</t>
  </si>
  <si>
    <t>ACBA_0033</t>
  </si>
  <si>
    <t>BAW5224</t>
  </si>
  <si>
    <t>OK - BB UG - later - site on grid</t>
  </si>
  <si>
    <t>ACBA_0185</t>
  </si>
  <si>
    <t>BAW5590</t>
  </si>
  <si>
    <t>ACAY_0022</t>
  </si>
  <si>
    <t>AYW5540</t>
  </si>
  <si>
    <t>ACAY_0017</t>
  </si>
  <si>
    <t>AYW5537</t>
  </si>
  <si>
    <t>Monitor PE perfomance - rect cap increase TBC</t>
  </si>
  <si>
    <t>Ok, small RF (6m2 remaining) need strengthening</t>
  </si>
  <si>
    <t>ANSG_0351</t>
  </si>
  <si>
    <t>SAW0721</t>
  </si>
  <si>
    <t>ANSG_0358</t>
  </si>
  <si>
    <t>SAW0716</t>
  </si>
  <si>
    <t>ANSG_0349</t>
  </si>
  <si>
    <t>SAW0714</t>
  </si>
  <si>
    <t>ANMD_0163</t>
  </si>
  <si>
    <t>MAW2983</t>
  </si>
  <si>
    <t xml:space="preserve">As per MDY team: can use existing 2 poles but yes, AT needed to do joint TSS with OML </t>
  </si>
  <si>
    <t xml:space="preserve">RT site </t>
  </si>
  <si>
    <t>ANMD_0171</t>
  </si>
  <si>
    <t>MAW2992</t>
  </si>
  <si>
    <t>ANMG_0052</t>
  </si>
  <si>
    <t>MWW3498</t>
  </si>
  <si>
    <t>ANMG_0006</t>
  </si>
  <si>
    <t>MWW3499</t>
  </si>
  <si>
    <t>ANMG_0026</t>
  </si>
  <si>
    <t>MWW3500</t>
  </si>
  <si>
    <t>ANSG_0381</t>
  </si>
  <si>
    <t>SAW0731</t>
  </si>
  <si>
    <t>ANMG_0167</t>
  </si>
  <si>
    <t>MWW3502</t>
  </si>
  <si>
    <t>ANSG_0361</t>
  </si>
  <si>
    <t>SAW0719</t>
  </si>
  <si>
    <t>ANMD_0118</t>
  </si>
  <si>
    <t>MAW2441</t>
  </si>
  <si>
    <t>PE UG - Batt &amp; DCDB - K10 kit TBO</t>
  </si>
  <si>
    <t>ANMD_0266</t>
  </si>
  <si>
    <t>MAW2985</t>
  </si>
  <si>
    <t>ANMD_0167</t>
  </si>
  <si>
    <t>MAW2984</t>
  </si>
  <si>
    <t>TN HUB - Offgrid (REJECT) or 1800AH &amp; 30Kva DG PE UG</t>
  </si>
  <si>
    <t>ANMG_0173</t>
  </si>
  <si>
    <t>MWW3508</t>
  </si>
  <si>
    <t>ANSH_0086</t>
  </si>
  <si>
    <t>SHW1908</t>
  </si>
  <si>
    <t xml:space="preserve">PE UG - DG 8hr NS </t>
  </si>
  <si>
    <t>ANSG_0379</t>
  </si>
  <si>
    <t>SAW0726</t>
  </si>
  <si>
    <t>ANSG_0347</t>
  </si>
  <si>
    <t>SAW0717</t>
  </si>
  <si>
    <t>ANMD_0164</t>
  </si>
  <si>
    <t>MAW2959</t>
  </si>
  <si>
    <t>LegBCD</t>
  </si>
  <si>
    <t xml:space="preserve">PE UG </t>
  </si>
  <si>
    <t>ANMG_0017</t>
  </si>
  <si>
    <t>MWW3484</t>
  </si>
  <si>
    <t>ANNP_0276</t>
  </si>
  <si>
    <t>Replacement_43</t>
  </si>
  <si>
    <t>Ok, small RF (8m2 remaining) need strengthening</t>
  </si>
  <si>
    <t>ANNP_0203</t>
  </si>
  <si>
    <t>Replacement_45</t>
  </si>
  <si>
    <t>OK - BB UG - Monitor PE - TN HUB</t>
  </si>
  <si>
    <t>ASKH_0019</t>
  </si>
  <si>
    <t>KYW6082</t>
  </si>
  <si>
    <t>QA Report not updated</t>
  </si>
  <si>
    <t>ASTN_0045</t>
  </si>
  <si>
    <t>TAW6250</t>
  </si>
  <si>
    <t>BB+ Grid</t>
  </si>
  <si>
    <t>ASTN_0035</t>
  </si>
  <si>
    <t>TAW6249</t>
  </si>
  <si>
    <t>ASMO_0295</t>
  </si>
  <si>
    <t>MOW6295</t>
  </si>
  <si>
    <t>36KW 1800 BB</t>
  </si>
  <si>
    <t>ACBA_0245</t>
  </si>
  <si>
    <t>BAW5555</t>
  </si>
  <si>
    <t>BB</t>
  </si>
  <si>
    <t>ACAY_0171</t>
  </si>
  <si>
    <t>AYW5539</t>
  </si>
  <si>
    <t>ANMG_0183</t>
  </si>
  <si>
    <t>MWW3494</t>
  </si>
  <si>
    <t>ANSG_0464</t>
  </si>
  <si>
    <t>SAW0732</t>
  </si>
  <si>
    <t>AYYN_0599</t>
  </si>
  <si>
    <t>YAW7859</t>
  </si>
  <si>
    <t>AYYN_0223</t>
  </si>
  <si>
    <t>YAW7853</t>
  </si>
  <si>
    <t xml:space="preserve">BB UG </t>
  </si>
  <si>
    <t>AYYN_0206</t>
  </si>
  <si>
    <t>YAW7848</t>
  </si>
  <si>
    <t>AYYN_0144</t>
  </si>
  <si>
    <t>YAW7846</t>
  </si>
  <si>
    <t>AYYN_0066</t>
  </si>
  <si>
    <t>YAW7843</t>
  </si>
  <si>
    <t>ACRK_0028</t>
  </si>
  <si>
    <t>RKE00512</t>
  </si>
  <si>
    <t>33</t>
  </si>
  <si>
    <t>38</t>
  </si>
  <si>
    <t>Good to go for TSS</t>
  </si>
  <si>
    <t xml:space="preserve">BB swap and DCDB </t>
  </si>
  <si>
    <t>BB TBO</t>
  </si>
  <si>
    <t>28-May-18: Good to go for Mytel, lease hike may raise while TI installation</t>
  </si>
  <si>
    <t>Rent increase to be negotiated for operator</t>
  </si>
  <si>
    <t>2 weeks</t>
  </si>
  <si>
    <t>ANNP_0391</t>
  </si>
  <si>
    <t>NPW0266</t>
  </si>
  <si>
    <t>2weeks</t>
  </si>
  <si>
    <t>BB &amp; DG UG required</t>
  </si>
  <si>
    <t>ANNP_0210</t>
  </si>
  <si>
    <t>ANSG_0373</t>
  </si>
  <si>
    <t>SGG0992</t>
  </si>
  <si>
    <t>PE UG NEEDED
PE UG material delivery pending  - WK31</t>
  </si>
  <si>
    <t>ANMD_0091</t>
  </si>
  <si>
    <t>MDYCMTN004</t>
  </si>
  <si>
    <t>21</t>
  </si>
  <si>
    <t>Colo Application already approved on 25th June</t>
  </si>
  <si>
    <t>31-May-18: Okay for TI installation,  Lease hike request may raise while TI installation</t>
  </si>
  <si>
    <t>ACDB installation only</t>
  </si>
  <si>
    <t>The owner only accepts 2 tenants</t>
  </si>
  <si>
    <t>ANMD_0105</t>
  </si>
  <si>
    <t>MDYCMTZ023</t>
  </si>
  <si>
    <t>24</t>
  </si>
  <si>
    <t>Colo Application already approved on 26-Jul-18</t>
  </si>
  <si>
    <t>Need to verify the power source AC / DC, Gurwinder : Lease Hike OK</t>
  </si>
  <si>
    <t>AYYN_0520</t>
  </si>
  <si>
    <t>YAM7610</t>
  </si>
  <si>
    <t>31-May-18: Good to go for TI installtion.</t>
  </si>
  <si>
    <t>AYYN_0110</t>
  </si>
  <si>
    <t>YAW7657</t>
  </si>
  <si>
    <t>Only Macro Solutions//Slim Tower</t>
  </si>
  <si>
    <t>NPW2259</t>
  </si>
  <si>
    <t>31-May-18:  Okay for TI installtion, lease hike may raise while TI installation</t>
  </si>
  <si>
    <t>ANSG_0364</t>
  </si>
  <si>
    <t>SAW0705</t>
  </si>
  <si>
    <t>2m x 1.5m</t>
  </si>
  <si>
    <t>ACAY_0102</t>
  </si>
  <si>
    <t>AYW5275</t>
  </si>
  <si>
    <t>ASKH_3000</t>
  </si>
  <si>
    <t>KYW6046</t>
  </si>
  <si>
    <t>ANSG_0348</t>
  </si>
  <si>
    <t>SAW0704</t>
  </si>
  <si>
    <t>1.5m x 1m</t>
  </si>
  <si>
    <t>ANMG_0011</t>
  </si>
  <si>
    <t>MWW3525</t>
  </si>
  <si>
    <t>10-July-18: Good to go for OML, lease hike may raise while TI installation</t>
  </si>
  <si>
    <t>1m x 1m</t>
  </si>
  <si>
    <t>ANMG_0113</t>
  </si>
  <si>
    <t>MWW3516</t>
  </si>
  <si>
    <t>ANMD_0089</t>
  </si>
  <si>
    <t>MDYCMTN019_2</t>
  </si>
  <si>
    <t>Colo Application already approved on 26th June</t>
  </si>
  <si>
    <t>7-June-18: Lease hike approved by ATF
31-May-18: Lease apprvoal pending at ATF
29-May-18: Leae hike approved by Amara.
12-Mar-18: Owner is asking lease hike.</t>
  </si>
  <si>
    <t>1 wk after site survey complete</t>
  </si>
  <si>
    <t>AC connect material in stock</t>
  </si>
  <si>
    <t>MDYMHAM042</t>
  </si>
  <si>
    <t>15.3</t>
  </si>
  <si>
    <t>20.3</t>
  </si>
  <si>
    <t>Colo Application already approved on 17th July</t>
  </si>
  <si>
    <t>21-June-18: Addtioanl lease hike forwarded to ACS
20-June-18: Owner is requesting addtioanl lease hike 
10-Apr-18: Need to build new pole and slab.</t>
  </si>
  <si>
    <t>ACAY_3003</t>
  </si>
  <si>
    <t>AYW5573</t>
  </si>
  <si>
    <t>10-July-18: Good to go for OML.</t>
  </si>
  <si>
    <t>ANMG_0027</t>
  </si>
  <si>
    <t>MWW3486</t>
  </si>
  <si>
    <t>ANSH_0013</t>
  </si>
  <si>
    <t>SHW1978</t>
  </si>
  <si>
    <t>AYYN_0419</t>
  </si>
  <si>
    <t>YGNKTDA015</t>
  </si>
  <si>
    <t>27.85</t>
  </si>
  <si>
    <t>32.85</t>
  </si>
  <si>
    <t>10-July-18: Lease hike approved, okay for TI installtion.</t>
  </si>
  <si>
    <t>Ok, For easy macro without cabinet</t>
  </si>
  <si>
    <t>ok, if they agree to install easy micro</t>
  </si>
  <si>
    <t>1 wk after site survey complete colo appl approved</t>
  </si>
  <si>
    <t>AC connect material in stock - pending all clear from site survey</t>
  </si>
  <si>
    <t>AYYN_0100</t>
  </si>
  <si>
    <t>YGN0496</t>
  </si>
  <si>
    <t>25-June-18: Lease hike request may come up while installtion of Mytel.</t>
  </si>
  <si>
    <t>add BB due to 24/7 DG restriction site on grid</t>
  </si>
  <si>
    <t>AYYN_0141</t>
  </si>
  <si>
    <t>YGNLTHA011</t>
  </si>
  <si>
    <t>24.5</t>
  </si>
  <si>
    <t>29.5</t>
  </si>
  <si>
    <t>MDYAMTZ023</t>
  </si>
  <si>
    <t>36.5</t>
  </si>
  <si>
    <t>39.5</t>
  </si>
  <si>
    <t>Colo Application already approved on 15th Aug.</t>
  </si>
  <si>
    <t>14-Aug-18: Owner agreed for Amara installtion on exisiting pole and space.</t>
  </si>
  <si>
    <t>Hotel rooftop - long DG outages non negotiable</t>
  </si>
  <si>
    <t>AYYN_0413</t>
  </si>
  <si>
    <t>YGNTKTA008</t>
  </si>
  <si>
    <t>12.77</t>
  </si>
  <si>
    <t>17.77</t>
  </si>
  <si>
    <t>need to provide additional cable tray</t>
  </si>
  <si>
    <t>DC connect - BB &amp; PE UG TBO</t>
  </si>
  <si>
    <t>17-July-18: Lease hike request may come up while installtion of OML.</t>
  </si>
  <si>
    <t>Flex SS1 K10 UG BB DG+ Grid</t>
  </si>
  <si>
    <t>ANSH_0044</t>
  </si>
  <si>
    <t>SHW1986</t>
  </si>
  <si>
    <t>MAW2380</t>
  </si>
  <si>
    <t>15</t>
  </si>
  <si>
    <t>15-Aug-18: Okay for TI installation,  Lease hike request may raise while TI installation</t>
  </si>
  <si>
    <t>RF Height - 15M-20M MW Height- 32M-35M (If there is LOS blockage)</t>
  </si>
  <si>
    <t>Not Required</t>
  </si>
  <si>
    <t>New extension slab (2m x 1m)</t>
  </si>
  <si>
    <t>AYYN_0021</t>
  </si>
  <si>
    <t>YGN0821</t>
  </si>
  <si>
    <t>Lease hike may raise</t>
  </si>
  <si>
    <t>Ok, if no extension</t>
  </si>
  <si>
    <t>1 week after approval DCDB only</t>
  </si>
  <si>
    <t>BB EOL swap needed</t>
  </si>
  <si>
    <t>AYYN_0530</t>
  </si>
  <si>
    <t>1-01-05018-005</t>
  </si>
  <si>
    <t>SGG0351</t>
  </si>
  <si>
    <t>Ok, If no extension</t>
  </si>
  <si>
    <t>AYYN_0323</t>
  </si>
  <si>
    <t>YGN1545</t>
  </si>
  <si>
    <t>26</t>
  </si>
  <si>
    <t>Review, need to change wind speed from 160kph to 195kph</t>
  </si>
  <si>
    <t>ANMG_0076</t>
  </si>
  <si>
    <t>MGY0061</t>
  </si>
  <si>
    <t>ANNP_0329</t>
  </si>
  <si>
    <t>NPW0281</t>
  </si>
  <si>
    <t>ANMD_0011</t>
  </si>
  <si>
    <t>MDYAMTZ017</t>
  </si>
  <si>
    <t>13.5</t>
  </si>
  <si>
    <t>16.5</t>
  </si>
  <si>
    <t>1 week</t>
  </si>
  <si>
    <t>AC connect?</t>
  </si>
  <si>
    <t>ANMD_0097</t>
  </si>
  <si>
    <t>MDYCMTZ034</t>
  </si>
  <si>
    <t>Colo Application already approved on 18th Sep.</t>
  </si>
  <si>
    <t>13-Sep-18: Okay for TI installation,  Lease hike request may raise while TI installation</t>
  </si>
  <si>
    <t>ACAY_0154</t>
  </si>
  <si>
    <t>AYW5603</t>
  </si>
  <si>
    <t>28</t>
  </si>
  <si>
    <t>NOTE: site has 24/7 DG run restriction</t>
  </si>
  <si>
    <t>ACAY_0056</t>
  </si>
  <si>
    <t>AYW5611</t>
  </si>
  <si>
    <t>BB EoL swap &amp; expansion + DG upgrade needed</t>
  </si>
  <si>
    <t>31</t>
  </si>
  <si>
    <t>ASMO_0161</t>
  </si>
  <si>
    <t>MOW6321</t>
  </si>
  <si>
    <t>36</t>
  </si>
  <si>
    <t>13-Sep-18: Okay for TI installation as owner is okay, Team has to be much quite while OML installation as ward and Nieghbour may raise concern.</t>
  </si>
  <si>
    <t>NOTE: site has 24/7 DG run restriction BB Eol swap &amp; expansion + DG UG</t>
  </si>
  <si>
    <t>ACBA_0104</t>
  </si>
  <si>
    <t>BAW5607</t>
  </si>
  <si>
    <t xml:space="preserve">monitor Grid &amp; battery performance - BB UG may be requiured </t>
  </si>
  <si>
    <t>ACBA_0099</t>
  </si>
  <si>
    <t>BAW5608</t>
  </si>
  <si>
    <t>2wee</t>
  </si>
  <si>
    <t>BB EoL swap - monitor grid performance - DG UG if poor grid</t>
  </si>
  <si>
    <t>ANSG_0483</t>
  </si>
  <si>
    <t>SGG00406</t>
  </si>
  <si>
    <t>Change Request</t>
  </si>
  <si>
    <t>1</t>
  </si>
  <si>
    <t>41</t>
  </si>
  <si>
    <t>Existing on tower - ( Assume ) Telenor with 5.65 EPA . MPT with 4.84 EPA - Mytel Colo Apps EPA -  6.914</t>
  </si>
  <si>
    <t>Comment below site duplicated</t>
  </si>
  <si>
    <t>Grid request on hold due to high VCC 10 million</t>
  </si>
  <si>
    <t>AYYN_0609</t>
  </si>
  <si>
    <t>BGE00472</t>
  </si>
  <si>
    <t>MPT Colocation</t>
  </si>
  <si>
    <t>Under Colo</t>
  </si>
  <si>
    <t>0</t>
  </si>
  <si>
    <t>Existing on tower - ( Assume ) Telenor with 5.83 EPA .OML with 11.13 EPA - Mytel with EPA -  3.90</t>
  </si>
  <si>
    <t xml:space="preserve">BB EoL swap </t>
  </si>
  <si>
    <t>community asking extra VCC (80lakhs) for MPT colo and OML, mytel as well. They received 30lakhs VCC when we connected a grid on site since 2017.</t>
  </si>
  <si>
    <t>YGN00500</t>
  </si>
  <si>
    <t xml:space="preserve">Existing on tower - ( Assume ) Telenor with 4.65 EPA .MPT with 4.70 EPA </t>
  </si>
  <si>
    <t>1-01-05027-002</t>
  </si>
  <si>
    <t>SGG00113</t>
  </si>
  <si>
    <t>MS_v1</t>
  </si>
  <si>
    <t>2</t>
  </si>
  <si>
    <t>SQM</t>
  </si>
  <si>
    <t>44.5</t>
  </si>
  <si>
    <t xml:space="preserve">Existing on tower actual - OML 10.58 sqm - No UE  / KSGM -2.97 sqm - No UE  ) - Requested SQM 5.242 -  Change MW and RF Azimuth as per the actual </t>
  </si>
  <si>
    <t>EXISTING TOWER(OP1+OP3(OLD+NEW)):  97.4 %
EXISTING TOWER(OP1+OP3(OLD)): 97.8 %</t>
  </si>
  <si>
    <t>1-01-16011-001</t>
  </si>
  <si>
    <t>SHE00089</t>
  </si>
  <si>
    <t xml:space="preserve">Colocation </t>
  </si>
  <si>
    <t>4</t>
  </si>
  <si>
    <t>48</t>
  </si>
  <si>
    <t>53</t>
  </si>
  <si>
    <t>Existing on tower actual - OML - 6.43 sqm - No UE  / KSGM - 5.57sqm - No UE TML 4.41sqm  )Requested SQM 4.546 -  Change RF dimension and add RRU</t>
  </si>
  <si>
    <t>Existing Tower(OML+TML+KSGM(OLD+NEW) =101.3%
Existing Tower(OML+TML+KSGM(OLD) =100.6%</t>
  </si>
  <si>
    <t>1-01-14003-002</t>
  </si>
  <si>
    <t>SHS00117</t>
  </si>
  <si>
    <t>Existing on tower actual - OML - 6.18 sqm - UE Down ( OML accupied area 55.35 - 52.66)  / KSGM - 3.21sqm no UE )Requested SQM 3.586 -  Change RF dimension and add RRU</t>
  </si>
  <si>
    <t>Existing Tower(OML+TML+KSGM(OLD+NEW) =96.6%
Existing Tower(OML+TML+KSGM(OLD) =96.2%</t>
  </si>
  <si>
    <t>1-01-14013-002</t>
  </si>
  <si>
    <t>SHS00185</t>
  </si>
  <si>
    <t>37</t>
  </si>
  <si>
    <t>42</t>
  </si>
  <si>
    <t>Existing on tower actual - OML - 6.63 sqm - No UE  / KSGM - 2.29 sqm no UE  / TML - 3.30 sqm- No UE / Mytel Colo Apps - 4.07sqm ) Requested SQM 3.374 - Change RF dimension and add RRU</t>
  </si>
  <si>
    <t>Strengthened Tower (Mytel Project - Install Completed) :
OML+TML+MYTEL+KSGM(NEW+OLD) = 94.5%
OML+TML+MYTEL+KSGM(OLD) = 89.5%</t>
  </si>
  <si>
    <t>1-01-06008-002</t>
  </si>
  <si>
    <t>TNY00033</t>
  </si>
  <si>
    <t>Existing on tower actual - OML - 7.35sqm - No UE  / KSGM - 4.10 sqm no UE  / TML - 4.64 sqm- No UE / Mytel Colo Apps - 4.07sqm )Requested SQM 4.314 - Change RF dimension and add RRU</t>
  </si>
  <si>
    <t>STR TOWER(OML+TML+MYTEL+KSGM(OLD+NEW)):  99.1%
STR TOWER(OML+TML+MYTEL+KSGM(OLD)): 97.5%</t>
  </si>
  <si>
    <t>1-01-01002-007</t>
  </si>
  <si>
    <t>KCN00293</t>
  </si>
  <si>
    <t>Existing on tower actual - OML - 8.70 sqm - No UE  / KSGM - 4.23 sqm no UE  / TML - 3.30 sqm- No UE )Requested SQM 4.254 -Change RF dimension and height, Changed RRU height</t>
  </si>
  <si>
    <t>Existing Tower(OML+TML+KSGM(OLD+NEW) =101.4%
Existing Tower(OML+TML+KSGM(OLD) =100.8%</t>
  </si>
  <si>
    <t>1-01-17019-003</t>
  </si>
  <si>
    <t>AWD00111</t>
  </si>
  <si>
    <t>Existing on tower actual - OML - 9.14 sqm - No UE  / KSGM - 3.78 sqm no UE  / TML - 3.35 sqm- No UE / Mytel Colo Apps 3.79sqm  )Requested SQM 4.968 - Change RF dimension and added RRU</t>
  </si>
  <si>
    <t>Existing Tower(OML+TML+MYTEL+KSGM(OLD+NEW) =103.3%
Existing Tower(OML+TML+MYTEL+KSGM(OLD) =102.7%</t>
  </si>
  <si>
    <t>1-01-05027-008</t>
  </si>
  <si>
    <t>SGG00158</t>
  </si>
  <si>
    <t>Existing on tower actual - OML -6.91 sqm - No UE  / KSGM - 2.83 sqm no UE   )Requested SQM 3.113 - Change MW cables size and ODU dimension/model</t>
  </si>
  <si>
    <t>Existing Tower(OML+ KSGM(OLD+NEW) = 62.4%
Existing Tower(OML+ KSGM(OLD) = 62.3%</t>
  </si>
  <si>
    <t>1-01-05011-006</t>
  </si>
  <si>
    <t>SGG00544</t>
  </si>
  <si>
    <t>3</t>
  </si>
  <si>
    <t xml:space="preserve">Existing on tower actual - OML -7.59 sqm - No UE  / KSGM - 4.16 sqm no UE / TML - 3.87  sqm no UE )Requested SQM 6.525 -add MW as per the actual and Add RF as new additional </t>
  </si>
  <si>
    <t>Existing Tower(OML+TML+KSGM(OLD+NEW) =102.1%
Existing Tower(OML+TML+KSGM(OLD) =99.2%</t>
  </si>
  <si>
    <t>1-01-14008-002</t>
  </si>
  <si>
    <t>SHS00382</t>
  </si>
  <si>
    <t>Existing on tower actual - OML Not Yet On Air / KSGM - 2.69 sqm no UE / TML - 3.87  sqm no UE )Requested SQM 1.744 -Change RF dimension and added RRU</t>
  </si>
  <si>
    <t>EXISTING TOWER(OML+TML+KSGM(OLD+NEW)):  90.5 %
EXISTING TOWER(OML+TML+KSGM(OLD)): 91.7%</t>
  </si>
  <si>
    <t>1-01-16001-003</t>
  </si>
  <si>
    <t>SHE00021</t>
  </si>
  <si>
    <t>Existing on tower actual - OML 7.76sqm / KSGM - 2.08 sqm no UE )Requested SQM 3.024 -Change RF /RRU dimension</t>
  </si>
  <si>
    <t>STR TOWER(OP1+OP3(OLD+NEW)): 79.3%
STR TOWER(OP1+OP3(OLD)): 76.6%</t>
  </si>
  <si>
    <t>1-01-14001-019</t>
  </si>
  <si>
    <t>SHS00259</t>
  </si>
  <si>
    <t>34.5</t>
  </si>
  <si>
    <t>Existing on tower actual - OML 7.24 sqm / KSGM - 2.29 sqm  / Mytel - 1.46  sqm no UE )Requested SQM 5.988 -Change RF dimension and added RRU</t>
  </si>
  <si>
    <t>Approved by Pasky (8/11/2018) by hard copy
STR TOWER(OML+MYTEL+KSGM(OLD+NEW)): 101.09%
STR TOWER(OML+MYTEL+KSGM(OLD)): 98.23  %
EXISTING TOWER(OML+MYTEL+KSGM(OLD+NEW)):  114.2%
EXISTING TOWER(OML+MYTEL+KSGM(OLD)): 111%</t>
  </si>
  <si>
    <t>1-01-15010-002</t>
  </si>
  <si>
    <t>SHN00092</t>
  </si>
  <si>
    <t xml:space="preserve">Existing on tower actual - OML 8.67 sqm / KSGM - 4.34 sqm  / TML colo apps  - 4.41 sqm )Requested SQM 7.458 -Added RF as new additional </t>
  </si>
  <si>
    <t>EXISTING TOWER(OML+TML+KSGM(OLD+NEW)):  101 %
EXISTING TOWER(OML+TML+KSGM(OLD)): 97.2%</t>
  </si>
  <si>
    <t>1-01-08002-005</t>
  </si>
  <si>
    <t>BGW00115</t>
  </si>
  <si>
    <t>30.5</t>
  </si>
  <si>
    <t>35.5</t>
  </si>
  <si>
    <t>Existing on tower actual - OML 7.16 sqm / KSGM - 3.08 sqm no UE ) Requested SQM 2.752 -Change RF dimension and add RRU</t>
  </si>
  <si>
    <t>Existing Tower(OML+KSGM(OLD+NEW) = 80.1%
Existing Tower(OML+KSGM(OLD) = 80.7%</t>
  </si>
  <si>
    <t>1-01-11009-003</t>
  </si>
  <si>
    <t>MON00160</t>
  </si>
  <si>
    <t>52</t>
  </si>
  <si>
    <t>57</t>
  </si>
  <si>
    <t>Existing on tower actual - OML 8.09 sqm / KSGM - 2.29 sqm no UE, Mytel colo apps  4.50 sqm  )Requested SQM 4.454- Change RF dimension and add RRU</t>
  </si>
  <si>
    <t>Strengthened Tower (Mytel Project - Install Completed) :
OML+MYTEL+KSGM(NEW+OLD) = 99.7%
OML+MYTEL+KSGM(OLD) = 92.2%</t>
  </si>
  <si>
    <t>1-01-14005-005</t>
  </si>
  <si>
    <t>SHS00349</t>
  </si>
  <si>
    <t>Existing on tower actual - OML 8.89 sqm / KSGM - 2.97 sqm no UE, TML  4.36 sqm - no UE  )Requested SQM 3.946- Change RF dimension and add RRU</t>
  </si>
  <si>
    <t>EXISTING TOWER(OML+TML+KSGM(OLD+NEW)): 99.5 %
EXISTING TOWER(OML+TML+KSGM(OLD)): 97.8 %</t>
  </si>
  <si>
    <t>1-01-17016-004</t>
  </si>
  <si>
    <t>AWD00498</t>
  </si>
  <si>
    <t>42.5</t>
  </si>
  <si>
    <t>47.5</t>
  </si>
  <si>
    <t>Existing on tower actual - OML 9.15 sqm / KSGM - 3.43 sqm no UE, TML  5.00 sqm - no UE  )Requested SQM 3.575- Change RF dimension and add MW</t>
  </si>
  <si>
    <t>Strengthened Tower(OML+TML+KSGM(OLD+NEW)): 101.87%
Strengthened Tower(OML+TML+KSGM(OLD)): 101.92%</t>
  </si>
  <si>
    <t>1-01-13004-002</t>
  </si>
  <si>
    <t>YGN00555</t>
  </si>
  <si>
    <t>Existing on tower actual - OML 7.49 sqm / KSGM - 3.25 sqm no UE,   )Requested SQM 3.515- Change RF dimension and add MW</t>
  </si>
  <si>
    <t>EXISTING TOWER(OML+KSGM(OLD+NEW)):  80.2 %
EXISTING TOWER(OML+KSGM(OLD)): 80 %</t>
  </si>
  <si>
    <t>1-01-17009-002</t>
  </si>
  <si>
    <t>AWD00481</t>
  </si>
  <si>
    <t xml:space="preserve">Tower Share </t>
  </si>
  <si>
    <t>Existing on tower actual - OML 7.72 sqm / KSGM - 3.42 sqm no UE, TML - 4.94 sqm )Requested SQM 2.887 - Change RF dimension and add MW</t>
  </si>
  <si>
    <t>Existing Tower(OP1+OP4+OP3(OLD+NEW) =103%
Existing Tower(OP1+OP4+OP3(OLD) =103.9%</t>
  </si>
  <si>
    <t>1-01-17008-022</t>
  </si>
  <si>
    <t>AWD00548</t>
  </si>
  <si>
    <t>29</t>
  </si>
  <si>
    <t xml:space="preserve">Existing on tower actual - OML 6.71 sqm / KSGM - 2.50 sqm no UE, TML - 4.01 sqm )Requested SQM 2.912 - Change existing Antenna height </t>
  </si>
  <si>
    <t>Existing Tower(OML+TML+KSGM(OLD+NEW) = 91.7%
Existing Tower(OML+TML+KSGM(OLD) = 91.8%</t>
  </si>
  <si>
    <t>1-01-05027-009</t>
  </si>
  <si>
    <t>SGG00227</t>
  </si>
  <si>
    <t>MS</t>
  </si>
  <si>
    <t>Existing on tower actual - OML 9.18 sqm / KSGM - 2.69 sqm no UE, TML Colo Apps  - 3.20 sqm )Requested SQM 3.312 sqm - Change RF dimension and add RRU</t>
  </si>
  <si>
    <t>Existing Tower(OML+TML+KSGM(OLD+NEW) = 104.15%
Existing Tower(OML+TML+KSGM(OLD) = 95.13%</t>
  </si>
  <si>
    <t>1-01-14001-005</t>
  </si>
  <si>
    <t>SHS00183</t>
  </si>
  <si>
    <t>LTE</t>
  </si>
  <si>
    <t>Existing on tower actual - OML 12.07 sqm / KSGM - 2.51sqm no UE, TML  - 3.87 sqm - No UE )Requested SQM 4.186 sqm - Change RF dimension and add RRU</t>
  </si>
  <si>
    <t>Existing Tower(OML+TML+KSGM(OLD) =104%
Existing Tower(OML+TML+KSGM(OLD+NEW) =105%</t>
  </si>
  <si>
    <t>1-01-01009-013</t>
  </si>
  <si>
    <t>KCN00152</t>
  </si>
  <si>
    <t xml:space="preserve">Colo Prevalidation Completed by Cover Sheet and Colo application approved on 15 Nov 2018 . </t>
  </si>
  <si>
    <t>1-01-11003-002</t>
  </si>
  <si>
    <t>MON00212</t>
  </si>
  <si>
    <t>UPG</t>
  </si>
  <si>
    <t>43</t>
  </si>
  <si>
    <t>Existing on tower actual - OML 8.85 sqm ( UE Down (59.00 - 53.50 / 38.80 - 37.60) / KSGM - 2.51sqm no UE, Mytel  - 4.08 sqm - No UE ) - Change RF dimension and add RRU</t>
  </si>
  <si>
    <t>Strengthened Tower(OML+MYTEL+KSGM(OLD+NEW)): 103.3%
Strengthened Tower(OML+MYTEL+KSGM(OLD)): 104.5%</t>
  </si>
  <si>
    <t>1-01-14001-015</t>
  </si>
  <si>
    <t>SHS00057</t>
  </si>
  <si>
    <t>Existing on tower actual - OML 9.84 sqm no UE  / KSGM 2.47 sqm  No UE /TML - 3.00 sqm no UE/ Mytel  - 1.53 sqm - No UE ) - Change RF dimension and add RRU</t>
  </si>
  <si>
    <t>Strengthened Tower(OML+TML+MYTEL+KSGM(OLD+NEW)): 99.5% 
Strengthened Tower(OML+TML+MYTEL+KSGM(OLD)): 97.2%</t>
  </si>
  <si>
    <t>1-01-06002-003</t>
  </si>
  <si>
    <t>TNY00206</t>
  </si>
  <si>
    <t>44</t>
  </si>
  <si>
    <t>49</t>
  </si>
  <si>
    <t>Existing on tower actual - OML 7.16 sqm no UE  /Mytel  - 1.47 sqm - No UE ) - Change RF dimension and add RRU</t>
  </si>
  <si>
    <t>Existing Tower(OML+MYTEL+KSGM(OLD) =94.7%
Existing Tower(OML+MYTEL+KSGM(OLD+NEW) =94.1%</t>
  </si>
  <si>
    <t>ANMD_0132</t>
  </si>
  <si>
    <t>MDY00422</t>
  </si>
  <si>
    <t>TS</t>
  </si>
  <si>
    <t>Existing on tower - ( Assume ) TML with 6.19 EPA / OML with 12.24 EPA / MPT with 3.86 EPA - ( Remove MW and ODU and change RF ,RRU height )</t>
  </si>
  <si>
    <t>Existing Tower: OML+TML+KSGM : 99.49%</t>
  </si>
  <si>
    <t xml:space="preserve">TML HUB 3 tenant site high load. PE SYS Upgrade </t>
  </si>
  <si>
    <t>SGG00692</t>
  </si>
  <si>
    <t>Existing on tower - ( Assume ) TML with 3.93 EPA / MPT with 3.58 EPA /Mytel Colo apps loading 3.354 EPA - ( Remove MW , Add RRU and change RF dimension  )</t>
  </si>
  <si>
    <t>Existing Tower: OML+TML+KSGM+MYTEL : 104.41%</t>
  </si>
  <si>
    <t xml:space="preserve">monitor DG, capacity upgrade possible, grid availability dependant </t>
  </si>
  <si>
    <t>1-01-09008-001</t>
  </si>
  <si>
    <t>MGW00412</t>
  </si>
  <si>
    <t>Existing on tower actual - OML 7.72 sqm no UE  /MPT  - 3.52 sqm - No UE ) - Change RFModel and Change MW leg and add RRU/ ODU</t>
  </si>
  <si>
    <t>EXISTING TOWER(OML+KSGM(OLD+NEW)):  87.6%
EXISTING TOWER(OML+KSGM(OLD)): 87.3%</t>
  </si>
  <si>
    <t>ANSG_0454</t>
  </si>
  <si>
    <t>SGG00785</t>
  </si>
  <si>
    <t/>
  </si>
  <si>
    <t xml:space="preserve">Existing on tower - ( Assume ) TML with 7.55 EPA/MPT with 4.20 EPA - ( change RF height , add MW and ODU  ) </t>
  </si>
  <si>
    <t>Existing Tower: TML+KSGM : 60.57%</t>
  </si>
  <si>
    <t>comes with risk - site on 10 hours NS mode daily.</t>
  </si>
  <si>
    <t>1-01-13004-003</t>
  </si>
  <si>
    <t>YGN02146</t>
  </si>
  <si>
    <t xml:space="preserve">Existing on tower actual - OML 8.34 sqm no UE  /MPT prev Colo Apps - 2.08sqm , TML 3.30sqm  ) - Change Auzimuth </t>
  </si>
  <si>
    <t xml:space="preserve">Site data required - PE swap a possibility </t>
  </si>
  <si>
    <t>ACBA_0053</t>
  </si>
  <si>
    <t>YGN00594</t>
  </si>
  <si>
    <t xml:space="preserve">Existing on tower - ( Assume ) TML with 6.73 EPA/MPT with 3.51 EPA - ( Add RF and add RRU ) </t>
  </si>
  <si>
    <t>Existing tower: TML + KSGM (OLD+NEW) = 91.82% (New wind zone 130 kph)</t>
  </si>
  <si>
    <t>PE UG - full K10 upagrade</t>
  </si>
  <si>
    <t>ANSG_0463</t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</si>
  <si>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</si>
  <si>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</si>
  <si>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</si>
  <si>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</si>
  <si>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</si>
  <si>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</si>
  <si>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</si>
  <si>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</si>
  <si>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 xml:space="preserve">Site has 10 hours DG NS or Grid connect/UG PE/Take the risk-outages </t>
  </si>
  <si>
    <t>Existing on tower - ( Assume ) TML with 4.29 EPA/ MPT with 5.65 EPA (add MW and RRU, ODU )</t>
  </si>
  <si>
    <t>Existing Tower: TML+KSGM+Mytel : 78.47%</t>
  </si>
  <si>
    <t xml:space="preserve">1 week  </t>
  </si>
  <si>
    <t>BB SOH so UG can be verified</t>
  </si>
  <si>
    <t>1-01-05018-006</t>
  </si>
  <si>
    <t>SGG00198</t>
  </si>
  <si>
    <t>TS_v1</t>
  </si>
  <si>
    <t>46.5</t>
  </si>
  <si>
    <t>51.5</t>
  </si>
  <si>
    <t xml:space="preserve">Existing on tower actual - OML 7.84 sqm no UE  /MPT - 3.88sqm , TML 3.79sqm  ) - Change Antenna Height as par actual </t>
  </si>
  <si>
    <t>EXISTING TOWER(OML+TML+KSGM(OLD+NEW)):  96.8%
EXISTING TOWER(OML+TML+KSGM(OLD)): 96.1%</t>
  </si>
  <si>
    <t>1-01-14007-007</t>
  </si>
  <si>
    <t>SHS00221</t>
  </si>
  <si>
    <t>UPG_v1</t>
  </si>
  <si>
    <t xml:space="preserve">Existing on tower actual - OML 7.03 sqm (UE Down 58.60-52.53 )  /MPT - 2.61sqm / TML 3.51sqm  ) - Change RF Dimension and add RRU </t>
  </si>
  <si>
    <t>EXISTING TOWER(OML+TML+KSGM(OLD+NEW)):  104.1%
EXISTING TOWER(OML+TML+KSGM(OLD)): 104.4%</t>
  </si>
  <si>
    <t>AYYN_0086</t>
  </si>
  <si>
    <t>YGN00788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</si>
  <si>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</si>
  <si>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</si>
  <si>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</si>
  <si>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</si>
  <si>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1-01-14001-026</t>
  </si>
  <si>
    <t>SHS00070</t>
  </si>
  <si>
    <t>UPG _ v1</t>
  </si>
  <si>
    <t xml:space="preserve">Existing on tower actual - OML 7.88 sqm /MPT - 2.66sqm )- Change RF Dimension and add RRU </t>
  </si>
  <si>
    <t>STR TOWER(OP1+OP3(OLD+NEW)):90.88 %
STR TOWER(OP1+OP3(OLD)): 91.4%</t>
  </si>
  <si>
    <t>1-01-04007-009</t>
  </si>
  <si>
    <t>CHN00225</t>
  </si>
  <si>
    <t>New Colocation</t>
  </si>
  <si>
    <t>Relo-TS</t>
  </si>
  <si>
    <t xml:space="preserve">Existing on tower actual - OML 6.58 sqm /TML - 2.89sqm )- New Colo Application </t>
  </si>
  <si>
    <t>Strengthened Tower: OML+TML+KSGM (OLD+NEW) = 89.7%
Strengthened Tower: OML+TML+KSGM (OLD) = 80.67%</t>
  </si>
  <si>
    <t xml:space="preserve">Existing on tower actual - OML 7.72 sqm /MPT - 3.42 sqm / TML - 4.50 sqm )- Add ODU </t>
  </si>
  <si>
    <t>Existing Tower; OML + TML + KSGM (OLD+NEW) = 99.4%
Existing Tower; OML + TML + KSGM (OLD) = 99.4%</t>
  </si>
  <si>
    <t xml:space="preserve">Existing on tower actual - OML 10.58 sqm ( UE Down - OML Occupied Area 54.90 - 49.46 )/MPT - 2.97 sqm  )- Add RRU and Change RF Dimension </t>
  </si>
  <si>
    <t>EXISTING TOWER(OP1+OP3(OLD+NEW)): 104.5  %
EXISTING TOWER(OP1+OP3(OLD)): 97.4%</t>
  </si>
  <si>
    <t>MS _ v1</t>
  </si>
  <si>
    <t xml:space="preserve">Existing on tower actual - OML 7.76 sqm /MPT - 2.61 sqm - Add RRU and Change RF Dimension </t>
  </si>
  <si>
    <t>STR TOWER(OP1+OP3(OLD+NEW)): 80.5%
STR TOWER(OP1+OP3(OLD)): 79.3%</t>
  </si>
  <si>
    <t>1-01-10015-003</t>
  </si>
  <si>
    <t>MDY00347</t>
  </si>
  <si>
    <t xml:space="preserve">Existing on tower actual - OML 8.34 sqm /MPT - 4.16 sqm - Add RRU and Change RF Dimension </t>
  </si>
  <si>
    <t>EXISTING TOWER(OP1+OP3(OLD+NEW)): 96.2  %
EXISTING TOWER(OP1+OP3(OLD)): 94.1%</t>
  </si>
  <si>
    <t>1-01-05027-006</t>
  </si>
  <si>
    <t>SGG00225</t>
  </si>
  <si>
    <t xml:space="preserve">Existing on tower actual - OML 8.91 sqm /MPT - 5.29 sqm / TML - 3.51 sqm )- Add RRU and Change RF Dimension </t>
  </si>
  <si>
    <t>EXISTING TOWER(OP1+OP4+OP3(OLD+NEW)):  99.9%
EXISTING TOWER(OP1+OP4+OP3(OLD)): 99%</t>
  </si>
  <si>
    <t xml:space="preserve">Existing on tower actual - OML 7.84 sqm ( UE Down 58.00 - 52.43 ) /MPT - 3.88 sqm / TML - 3.79 sqm )- Added RRU and Change RF Dimension </t>
  </si>
  <si>
    <t>EXISTING TOWER(OP1+OP4+OP3(OLD+NEW)):  97.5%
EXISTING TOWER(OP1+OP4+OP3(OLD)): 96.8%</t>
  </si>
  <si>
    <t>1-01-05030-010</t>
  </si>
  <si>
    <t>SGG00149</t>
  </si>
  <si>
    <t xml:space="preserve">Existing on tower actual - OML 9.75 sqm /MPT - 5.82 sqm / Mytel - 1.74 sqm  )- Added RRU and Change RF Dimension </t>
  </si>
  <si>
    <t>1-2 weeks</t>
  </si>
  <si>
    <t>DCDB for MPT tapping from OML integrated cabinet</t>
  </si>
  <si>
    <t>1-01-17023-009</t>
  </si>
  <si>
    <t>AWD01309</t>
  </si>
  <si>
    <t xml:space="preserve">Existing on tower actual - OML 11.02 sqm / TML - 2.97 sqm )- New Colo Application </t>
  </si>
  <si>
    <t>Existing Tower: OML+TML+KSGM (OLD+NEW) = 102.4%
Existing Tower: OML+TML+KSGM (OLD) = 90.8%</t>
  </si>
  <si>
    <t>1-01-04004-007</t>
  </si>
  <si>
    <t>CHN00118</t>
  </si>
  <si>
    <t xml:space="preserve">Existing on tower actual - OML 6.38 sqm / MPT - 4.26 sqm )- Change RF Dimension and add RRU </t>
  </si>
  <si>
    <t>STRENGTHENED TOWER(OP1+OP3(OLD+NEW)): 99.5%
STRENGTHENED  TOWER(OP1+OP3(OLD)): 98.3%</t>
  </si>
  <si>
    <t>1-01-05005-006</t>
  </si>
  <si>
    <t>SGG00246</t>
  </si>
  <si>
    <t xml:space="preserve">Existing on tower actual - OML 14.21 sqm / MPT - 6.37 sqm )- Change RF Dimension and add RRU </t>
  </si>
  <si>
    <t>Existing Tower: OML+1.2MW(UE)+KSGM (OLD+NEW) = 102.0%
Existing Tower: OML+1.2MW(UE)+KSGM (OLD) = 95.1%</t>
  </si>
  <si>
    <t>1-01-14001-033</t>
  </si>
  <si>
    <t>SHS00466</t>
  </si>
  <si>
    <t>EXC</t>
  </si>
  <si>
    <t>Existing on tower actual - OML 9.85 sqm / MPT - 2.86 sqm / Mytel - 2.69sqm )- Change MW Dimension</t>
  </si>
  <si>
    <t>Strengthened Tower: OML+MYTEL+KSGM (OLD+NEW) = 77.9%
Strengthened Tower: OML+MYTEL+KSGM (OLD) = 77.5%</t>
  </si>
  <si>
    <t xml:space="preserve">
MS _v1</t>
  </si>
  <si>
    <t xml:space="preserve">Existing on tower actual - OML 6.91 sqm / MPT - 3.11 sqm )- Add ODU and RRU </t>
  </si>
  <si>
    <t>Existing Tower: OML+KSGM (OLD+NEW) = 62.9%
Existing Tower: OML+KSGM (OLD) = 62.9</t>
  </si>
  <si>
    <t>1-01-15011-001</t>
  </si>
  <si>
    <t>SHN00043</t>
  </si>
  <si>
    <t>TS _v1</t>
  </si>
  <si>
    <t xml:space="preserve">Existing on tower actual - OML 6.29 sqm / MPT - 2.71 sqm )- change MW height to 33.5 - Same loading as before </t>
  </si>
  <si>
    <t>EXISTING TOWER(OP1+OP3(OLD+NEW)):     77%
EXISTING TOWER(OP1+OP3(OLD)):  77 %</t>
  </si>
  <si>
    <t>1-01-01002-008</t>
  </si>
  <si>
    <t>KCN00372</t>
  </si>
  <si>
    <t>TS  _ v1</t>
  </si>
  <si>
    <t xml:space="preserve">Existing on tower actual - OML 13.53 sqm ( UE Down 59.60 - 48.60 ) /MPT - 3.07 sqm / Mytel - 1.74 sqm  )- Changed Model name </t>
  </si>
  <si>
    <t xml:space="preserve">No action needed </t>
  </si>
  <si>
    <t>120 days min</t>
  </si>
  <si>
    <t xml:space="preserve">PE upgrade required </t>
  </si>
  <si>
    <t>1-01-15012-002</t>
  </si>
  <si>
    <t>SHN00218</t>
  </si>
  <si>
    <t>Rental increase was granted sometime in August 2016, which doubled the initial agreed rate; LL/Lessor recently asking for 100k/month on top of the current rate of 400k/month</t>
  </si>
  <si>
    <t>Existing on tower actual - OML 7.20 sqm  /MPT - 2.50 sqm / TML 3.47 / Mytel - 1.53 sqm  )- Add 1 MW ( 0.6 ) and add 1 ODU .</t>
  </si>
  <si>
    <t>STR TOWER(OP1+OP4+OP5+OP3(OLD+NEW)): 104.84%
STR TOWER(OP1+OP4+OP5+OP3(OLD)):104.02%</t>
  </si>
  <si>
    <t>YGNSPTR021</t>
  </si>
  <si>
    <t>r-remove</t>
  </si>
  <si>
    <t>Existing on tower - ( Assume ) TML with 4.48 EPA/ OML with 7.13 EPA / MPT with 1.02 EPA /Mytel with 2.09 EPA/ Amara with 3.52 EPA  ( Remove MW )</t>
  </si>
  <si>
    <t>Existing Tower(TML+OML+MPT+MYTEL+AMARA) : 102.44%</t>
  </si>
  <si>
    <t>AYYN_0264</t>
  </si>
  <si>
    <t>YGNINSN003</t>
  </si>
  <si>
    <t>Remove Equipment</t>
  </si>
  <si>
    <t>Existing on tower - ( Assume ) TML with 4.93 EPA/ OML with 10.14 EPA / Mytel with 2.55 EPA/ Amara with 2.97 EPA  ( Remove MW )</t>
  </si>
  <si>
    <t>Strengthened Tower : OML+TML+MYTEL+AMARA (OLD+NEW) =  206.4%
GTL did not consider underground water in design strengthening calculation since this site has flood history that is the reason why the foundation is failing.</t>
  </si>
  <si>
    <t>AYYN_0334</t>
  </si>
  <si>
    <t>YGNMYGE005</t>
  </si>
  <si>
    <t>17.4</t>
  </si>
  <si>
    <t>22.4</t>
  </si>
  <si>
    <t>Existing on tower - ( Assume ) TML with 4.02 EPA/  Amara Colo Apps with  EPA 3.19  ( Remove MW )</t>
  </si>
  <si>
    <t>AYYN_0579</t>
  </si>
  <si>
    <t>YGNSPTR024</t>
  </si>
  <si>
    <t>Existing on tower - ( Assume ) TML with 4.96 EPA/ OML with 11.43 /   Amara Colo Apps with 3.35 EPA  ( Remove MW )</t>
  </si>
  <si>
    <t>AYYN_0553</t>
  </si>
  <si>
    <t>YGNTKTA010</t>
  </si>
  <si>
    <t>4.5</t>
  </si>
  <si>
    <t>Existing on tower - ( Assume ) TML with 4.96 EPA/ OML with 11.43 /   Amara Colo Apps with 2.97 EPA  ( Remove MW )</t>
  </si>
  <si>
    <t>54</t>
  </si>
  <si>
    <t xml:space="preserve">Can use the existing slab - Space to reconfirm base on TSS </t>
  </si>
  <si>
    <t>10</t>
  </si>
  <si>
    <t>19-Nov-18: If structural team is okay then can go with easy micro soultion
6-July-17: Structural issue cant go for any co-location.</t>
  </si>
  <si>
    <t>Requested OML EPA - 3.78 EPA ( Require Colo Apps for more details ) -  Existing on tower ( assume ) TML - 3.02 EPA</t>
  </si>
  <si>
    <t>DCDB only</t>
  </si>
  <si>
    <t>Other</t>
  </si>
  <si>
    <t xml:space="preserve">Existing on tower actual - OML 9.18 sqm /MPT - 2.69 sqm / TML - 3.20 sqm  ) change 1 RF to smaller dimension </t>
  </si>
  <si>
    <t>EXISTING TOWER(OP1+OP4+OP3(OLD+NEW)):    102.93%
EXISTING TOWER(OP1+OP4+OP3(OLD)):  103.77%</t>
  </si>
  <si>
    <t xml:space="preserve">Existing on tower actual - OML 6.29 sqm /MPT - 2.71 sqm  )- Increase 3 RF dimension and add RRU </t>
  </si>
  <si>
    <t>EXISTING TOWER(OP1+OP3(OLD+NEW)):     78%
EXISTING TOWER(OP1+OP3(OLD)):  77 %</t>
  </si>
  <si>
    <t>Existing on tower - ( Assume ) TML with 6.19 EPA/ OML with  12.24 EPA /   MPT with 3.86 EPA  ( Change 1 RF Bigger Dimension and add RRU )</t>
  </si>
  <si>
    <t>EXISTING TOWER(OML+TML+KSGM (OLD+NEW)): 89.26%</t>
  </si>
  <si>
    <t>N/A</t>
  </si>
  <si>
    <t>Monitor PE poss candiate for PE upgrade</t>
  </si>
  <si>
    <t>1-01-05010-002</t>
  </si>
  <si>
    <t>SGG00209</t>
  </si>
  <si>
    <t>TS _ v1</t>
  </si>
  <si>
    <t>Based on history, no issues noted</t>
  </si>
  <si>
    <t xml:space="preserve">Existing on tower actual - OML - 7.23 Sqm / MPT - 3.70Sqm / TML Colo Apps - 3.90 Sqm  change RF and RRU height 51 to 51.5 as per actual </t>
  </si>
  <si>
    <t>Existing Tower: OML+TML+KSGM (OLD+NEW) = 88.3%
Existing Tower: OML+TML+KSGM (OLD) = 88.2%</t>
  </si>
  <si>
    <t xml:space="preserve">Monitor BB confirm EoL swap </t>
  </si>
  <si>
    <t>1-01-05010-006</t>
  </si>
  <si>
    <t>SGG00232</t>
  </si>
  <si>
    <t>45.5</t>
  </si>
  <si>
    <t>53.5</t>
  </si>
  <si>
    <t xml:space="preserve">Existing on tower actual -  OML 10.25 Sqm / MPT - 9.25 Sqm  - Add MW ( 2x0.6) and change RF and RRU height </t>
  </si>
  <si>
    <t>1-01-05009-003</t>
  </si>
  <si>
    <t>SGG00236</t>
  </si>
  <si>
    <t>46</t>
  </si>
  <si>
    <t>51</t>
  </si>
  <si>
    <t>There should be no rental increase as PAT already granted rental increase sometime in Feb-17</t>
  </si>
  <si>
    <t>Existing on tower actual -  OML 7.72 Sqm / MPT - 4.67 actual   - Removed 1.8 MW ( the actual on tower )</t>
  </si>
  <si>
    <t>1-01-14007-014</t>
  </si>
  <si>
    <t>SHN00080</t>
  </si>
  <si>
    <t>Existing on tower actual -   OML - 7.03sqm / KSGM -  3.72 sqm - Change RF and RRU height from 51 - 51.5</t>
  </si>
  <si>
    <t>1-01-15013-007</t>
  </si>
  <si>
    <t>SHN00086</t>
  </si>
  <si>
    <t>Existing on tower actual -   OML - 11.02sqm ( UE Split -59.50 - 54.00 / 48.00 - 46.00 ) / KSGM -  3.80 sqm / TML 3.51 - Add RRU</t>
  </si>
  <si>
    <t>PE system upgrade</t>
  </si>
  <si>
    <t>1-01-14007-002</t>
  </si>
  <si>
    <t>SHS00093</t>
  </si>
  <si>
    <t>Exchange</t>
  </si>
  <si>
    <t>There should be no rental increase as PAT already granted rental increase sometime in Nov-17</t>
  </si>
  <si>
    <t xml:space="preserve">Existing on tower actual -   OML - 11.02sqm ( UE Split -60.00 - 53.50 / 47.50 - 45.50 ) / KSGM -  4.36 sqm - Add MW ( 2 x 1.2 ) &amp; add RRU and ODU </t>
  </si>
  <si>
    <t>1-01-05011-004</t>
  </si>
  <si>
    <t>SGG00215</t>
  </si>
  <si>
    <t>There should be no rental increase as PAT already granted rental increase sometime in Nov-14</t>
  </si>
  <si>
    <t xml:space="preserve">Existing on tower actual - OML - 9.75 Sqm / MPT - 3.68 Sqm / TML - 4.78 Sqm  - Increase RF dimension and Add MW and ODU , RRU </t>
  </si>
  <si>
    <t>1-01-05010-004</t>
  </si>
  <si>
    <t>SGG00233</t>
  </si>
  <si>
    <t xml:space="preserve">Existing on tower actual - OML - 9.49 Sqm / MPT - 2.69 Sqm / Mytel Colo Apps - 5.20Sqm  - add one RRU </t>
  </si>
  <si>
    <t xml:space="preserve">Existing on tower actual - OML - 13.53 Sqm ( UE Top and Down - OML area 59.60 - 48 .60 )  / MPT - 3.07 Sqm / Mytel -1.74 Sqm  - Increase RF dimension and add RRU </t>
  </si>
  <si>
    <t>1-01-11007-003</t>
  </si>
  <si>
    <t>MON00275</t>
  </si>
  <si>
    <t xml:space="preserve">Existing on tower actual - OML - 9.33sqm  / MPT - 4.69 Sqm  - Decrease RF dimension and add RRU </t>
  </si>
  <si>
    <t xml:space="preserve">Existing on tower actual - OML - 7.76sqm  / MPT - 2.61 Sqm  - Increase RF dimension and add RRU </t>
  </si>
  <si>
    <t xml:space="preserve">Existing on tower actual - OML - 7.20sqm  / MPT - 2.61 Sqm  - Increase RF dimension and add RRU </t>
  </si>
  <si>
    <t>5</t>
  </si>
  <si>
    <t xml:space="preserve">Existing on tower actual - OML - 7.35sqm  / MPT - 4.10 Sqm / TML 4.64 Sqm / Mytel - 2.33 sqm - Increase RF dimension and add RRU </t>
  </si>
  <si>
    <t>ANSG_0393</t>
  </si>
  <si>
    <t>SGG00203</t>
  </si>
  <si>
    <t xml:space="preserve">Existing on tower ( Assume ) - TML - 5.92 EPA  / MPT - 3.34 EPA / TML 4.64 Sqm / Mytel -5.47 EPA  - Increase RF dimension and add MW and RRU </t>
  </si>
  <si>
    <t>ANMD_3001</t>
  </si>
  <si>
    <t>MDY01695</t>
  </si>
  <si>
    <t>BTS</t>
  </si>
  <si>
    <t xml:space="preserve">MPT BTS New Colo Application - For Regional Team - RF Pole to install and MW pole not require </t>
  </si>
  <si>
    <t xml:space="preserve">Required to construct the Slab </t>
  </si>
  <si>
    <t>Prevalidation Tracker Read Only</t>
  </si>
  <si>
    <t>Crossover</t>
  </si>
  <si>
    <t>Waiting for review BA report</t>
  </si>
  <si>
    <t>Undoable due to high VCC</t>
  </si>
  <si>
    <t>Strengthened Tower(TML+OML+MYTEL+AMARA+KSGM(OLD+NEW)): 104.4.%</t>
  </si>
  <si>
    <t>New Tenant</t>
  </si>
  <si>
    <t>Existing Tower: OML+TML+KSGM (OLD+NEW) = 114.3% (Estimate strengthening weight = 646 kg)
Existing Tower: OML+TML+KSGM (OLD) = 114.3%
** ROI is provided  with STR first, tower need to be strengthening befor KSGM antenna install**</t>
  </si>
  <si>
    <t>Strengthened Tower : OML+TML+MYTEL+AMARA (OLD+NEW) = 88.2%
(FDN Retrofitting but it was not installed yet. However, it was considered in the analysis already)</t>
  </si>
  <si>
    <t>Existing Tower: OML+KSGM (OLD+NEW) = 100.7%
Existing Tower: OML+KSGM (OLD) = 101.0%</t>
  </si>
  <si>
    <t>Existing Tower: OML+KSGM (OLD+NEW) = 87.6%
Existing Tower: OML+KSGM (OLD) = 87.9%</t>
  </si>
  <si>
    <t>EXISTING TOWER(OP1+OP3(OLD+NEW)):   93.2%
EXISTING TOWER(OP1+OP3(OLD)):   93.2%</t>
  </si>
  <si>
    <t>EXISTING TOWER(OP1+OP4+OP3(OLD+NEW)):  100.6%
EXISTING TOWER(OP1+OP4+OP3(OLD)):  100.6%</t>
  </si>
  <si>
    <t>EXISTING TOWER(OP1+OP4+OP3(OLD+NEW)):    107.1%
EXISTING TOWER(OP1+OP4+OP3(OLD)):  104.3%</t>
  </si>
  <si>
    <t>EXISTING TOWER(OP1+OP4+OP3(OLD+NEW)):    98.5%
EXISTING TOWER(OP1+OP4+OP3(OLD)):  97.1%</t>
  </si>
  <si>
    <t>EXISTING TOWER(OP1+OP3(OLD+NEW)):   93.7%
EXISTING TOWER(OP1+OP3(OLD)):   93.7%</t>
  </si>
  <si>
    <t>STR TOWER(OP1+OP5+OP3(OLD+NEW)): 95.95%
STR TOWER(OP1+OP5+OP3(OLD)):  91.6 %</t>
  </si>
  <si>
    <t>EXISTING TOWER(OP1+OP3(OLD+NEW)):   90.9%
EXISTING TOWER(OP1+OP3(OLD)):   91.3%</t>
  </si>
  <si>
    <t>STR TOWER(OP1+OP3(OLD+NEW)): 84.8%
STR TOWER(OP1+OP3(OLD)): 80.5%</t>
  </si>
  <si>
    <t>Site will require PE system capacity increase adding load will max current system, BB cap increase required</t>
  </si>
  <si>
    <t>Strengthened Tower: OML+TML+MYTEL+KSGM (OLD+NEW) = 100.6%
Strengthened Tower: OML+TML+MYTEL+KSGM (OLD) = 90.8%</t>
  </si>
  <si>
    <t>Strengthened Tower: OML+TML+MYTEL+KSGM (OLD+NEW) = 98.1%
Strengthened Tower: OML+TML+MYTEL+KSGM (OLD) = 100.5%</t>
  </si>
  <si>
    <t>Based on records, no issues noted</t>
  </si>
  <si>
    <t>Existing Tower: TML+MYTEL+KSGM (OLD+NEW) = 68.6%</t>
  </si>
  <si>
    <t>Existing Tower: KSGM (NEW) = 93.4%</t>
  </si>
  <si>
    <t>1-01-05007-011</t>
  </si>
  <si>
    <t>SG1093</t>
  </si>
  <si>
    <t>Move Equipment</t>
  </si>
  <si>
    <t xml:space="preserve">Existing on tower actual - OML - 8.92sqm  / MPT - 4.49 Sqm / TML 3.23 Sqm / Decrease MW dimension </t>
  </si>
  <si>
    <t>EXISTING TOWER(OP1+OP3+OP4(OLD+NEW)):    103.5%
EXISTING TOWER(OP1+OP3+OP4(OLD)):  102.2%</t>
  </si>
  <si>
    <t>1-01-15013-004</t>
  </si>
  <si>
    <t>SHN00327</t>
  </si>
  <si>
    <t xml:space="preserve">Existing on tower actual - OML - 11.75 sqm  / MPT - 3.56 Sqm / Change RF Height 49.5 to 50 m </t>
  </si>
  <si>
    <t>Strengthened Tower(OP1+OP3(OLD+NEW)): 95.1%
Strengthened Tower(OP1+OP3(OLD)): 95.1 %</t>
  </si>
  <si>
    <t>Site on grid - DG capacity UG to be confirmed grid avail to be monitored</t>
  </si>
  <si>
    <t>1-01-11009-002</t>
  </si>
  <si>
    <t>MON00311</t>
  </si>
  <si>
    <t>LTE _ v1</t>
  </si>
  <si>
    <t>9</t>
  </si>
  <si>
    <t>Existing on tower actual - OML - 8.01 sqm  / MPT - 2.56 Sqm / Increase RF dimension and add RRU .</t>
  </si>
  <si>
    <t>EXISTING TOWER(OP1+OP4+OP3(OLD+NEW)):    97%
EXISTING TOWER(OP1+OP4+OP3(OLD)):  94.4%</t>
  </si>
  <si>
    <t>PE capacity increase needed</t>
  </si>
  <si>
    <t xml:space="preserve">Existing on tower actual - OML - 9.84 sqm  / MPT - 3.50 Sqm / TML - 3.00Sqm / Mytel Actual 1.73 - Colo apps 4.73 Sqm Increase RF dimension </t>
  </si>
  <si>
    <t>Strengthened Tower(OP1+OP4+OP5+OP3(OLD+NEW)): 99.4%
Strengthened Tower(OP1+OP4+OP5+OP3(OLD)): 99.5%</t>
  </si>
  <si>
    <t>Existing on tower actual - OML - 7.99 sqm  / MPT - 2.61 Sqm / Increase RF dimension and add RRU</t>
  </si>
  <si>
    <t>Strengthened Tower: OML+KSGM (OLD+NEW) = 100.3%
Strengthened Tower: OML+KSGM (OLD) = 95.8%</t>
  </si>
  <si>
    <t xml:space="preserve">existing load slpit 1.5KW </t>
  </si>
  <si>
    <t>Existing on tower actual - OML - 7.16 sqm  / MPT - 3.14 Sqm / Mytel -1.47 actual . 4.07 Colo Apps - Increase RF Dimension and add RRU</t>
  </si>
  <si>
    <t>Existing Tower: OML+MYTEL+KSGM (OLD+NEW) = 96.0%
Existing Tower: OML+MYTEL+KSGM (OLD) = 91.5%</t>
  </si>
  <si>
    <t>1-01-06001-002</t>
  </si>
  <si>
    <t>TNY00288</t>
  </si>
  <si>
    <t xml:space="preserve">Existing on tower actual - OML - 6.00 sqm  / MPT - 2.90 Sqm - Add RRU </t>
  </si>
  <si>
    <t>Existing Tower: OML+KSGM (OLD+NEW) = 53.7%
Existing Tower: OML+KSGM (OLD) = 51.9%</t>
  </si>
  <si>
    <t>1-01-13004-006</t>
  </si>
  <si>
    <t>YGN00927</t>
  </si>
  <si>
    <t>Existing on tower actual - OML - 7.44 sqm  / MPT - 2.56 Sqm / TML -3.30 actual -Increase RF Dimension and add  RRU .</t>
  </si>
  <si>
    <t>Existing Tower: OML+TML+KSGM (OLD+NEW) = 65.5%
Existing Tower: OML+TML+KSGM (OLD) = 62.0%</t>
  </si>
  <si>
    <t>1-01-04002-004</t>
  </si>
  <si>
    <t>CHN00147</t>
  </si>
  <si>
    <t>MW Exp</t>
  </si>
  <si>
    <t xml:space="preserve">Existing on tower actual - OML - 6.63 sqm  / MPT - 2.41 Sqm actual and 3.18sqm for Colo Apps  /Decrease MW Dimension </t>
  </si>
  <si>
    <t>Strengthened Tower(OP1+OP3(OLD+NEW)): 92.4%
Strengthened Tower(OP1+OP3(OLD)): 95.1 %</t>
  </si>
  <si>
    <t>1-01-08009-002</t>
  </si>
  <si>
    <t>MGW00400</t>
  </si>
  <si>
    <t>41.5</t>
  </si>
  <si>
    <t xml:space="preserve">Existing on tower actual - OML - 8.34 sqm  / MPT - 3.59 Sqm / Change MW and RF height </t>
  </si>
  <si>
    <t>EXISTING TOWER(OP1+OP3(OLD+NEW)):   83.1%
EXISTING TOWER(OP1+OP3(OLD)):    83.1 %</t>
  </si>
  <si>
    <t>Add Rect mods, increase BB cap, DG UG</t>
  </si>
  <si>
    <t>1-01-09017-004</t>
  </si>
  <si>
    <t>MGW00413</t>
  </si>
  <si>
    <t xml:space="preserve">Existing on tower actual - OML - 8.34 sqm  / MPT - 3.52 Sqm / change MW and ODU height </t>
  </si>
  <si>
    <t>EXISTING TOWER(OP1+OP3(OLD+NEW)):   88.7%
EXISTING TOWER(OP1+OP3(OLD)):   89.1%</t>
  </si>
  <si>
    <t xml:space="preserve">Existing on tower actual - OML - 7.23 sqm  / MPT - 3.70 Sqm / Increase RF dimension and add RRU </t>
  </si>
  <si>
    <t>EXISTING TOWER(OP1+OP4+OP3(OLD+NEW)):   92.7%
EXISTING TOWER(OP1+OP4+OP3(OLD)):   91.4 %</t>
  </si>
  <si>
    <t>Wk52</t>
  </si>
  <si>
    <t xml:space="preserve">Add rectifier modules, Swap DG, BB SOH check </t>
  </si>
  <si>
    <t>1-01-05005-002</t>
  </si>
  <si>
    <t>SGG00219</t>
  </si>
  <si>
    <t xml:space="preserve">Existing on tower actual - OML - 7.72 sqm  / MPT - 4.16 Sqm / TML 2.83 /  Change RF and MW height </t>
  </si>
  <si>
    <t>EXISTING TOWER(OP1+OP4+OP3(OLD+NEW)):   102.3%
EXISTING TOWER(OP1+OP4+OP3(OLD)):   102.5 %</t>
  </si>
  <si>
    <t xml:space="preserve">Existing on tower actual - OML - 10.25 sqm  / MPT - 9.26 Sqm / Increase RF Dimension and </t>
  </si>
  <si>
    <t>EXISTING TOWER(OP1+OP3(OLD+NEW)):   103.1%
EXISTING TOWER(OP1+OP3(OLD)):  102.8%</t>
  </si>
  <si>
    <t xml:space="preserve">Add rectifier modules, BB SOH check </t>
  </si>
  <si>
    <t>1-01-05007-006</t>
  </si>
  <si>
    <t>SGG00780</t>
  </si>
  <si>
    <t xml:space="preserve">Existing on tower actual - OML - 10.25 sqm  / MPT - 3.56 Sqm / TML - 3.90 sqm- Change RF and MW height </t>
  </si>
  <si>
    <t>EXISTING TOWER(OP1+OP4+OP3(OLD+NEW)):   99.5%
EXISTING TOWER(OP1+OP4+OP3(OLD)):    92   %</t>
  </si>
  <si>
    <t>1-01-15009-006</t>
  </si>
  <si>
    <t>SHN00051</t>
  </si>
  <si>
    <t xml:space="preserve">Existing on tower actual - OML - 6.46 sqm  / MPT - 3.56 Sqm / TML - 3.51 sqm . Change RF and MW height </t>
  </si>
  <si>
    <t>EXISTING TOWER(OP1+OP4+OP3(OLD+NEW)):   93.7%
EXISTING TOWER(OP1+OP4+OP3(OLD)):    93.8  %</t>
  </si>
  <si>
    <t>Add rectifier modules, BB SOH check, monitor DG performance</t>
  </si>
  <si>
    <t>1-01-15012-004</t>
  </si>
  <si>
    <t>SHN00053</t>
  </si>
  <si>
    <t xml:space="preserve">Existing on tower actual - OML - 11.16 sqm  / MPT - 3.52 Sqm Actual and 5.42 ( Colo Apps ) / Increase RF Dimension </t>
  </si>
  <si>
    <t>Strengthened Tower(OP1+OP3(OLD+NEW)): 95.3%
Strengthened Tower(OP1+OP3(OLD)): 99.9 %</t>
  </si>
  <si>
    <t>ANMD_0069</t>
  </si>
  <si>
    <t>MDYAMPR004</t>
  </si>
  <si>
    <t>Amara Colocation</t>
  </si>
  <si>
    <t>4-Dec-18: Considering this site as GBT okay to go ahead.</t>
  </si>
  <si>
    <t xml:space="preserve">Existing on tower - ( Assume ) TML with 8.18 EPA </t>
  </si>
  <si>
    <t>Total EPA is 8.18+3 =11.18 &lt; 25 EPA Design - OK (Preliminaly Tower Assessment), Amara 3.0EPA Required</t>
  </si>
  <si>
    <t>WK50</t>
  </si>
  <si>
    <t>AC connect</t>
  </si>
  <si>
    <t xml:space="preserve">sharing on the existing slab </t>
  </si>
  <si>
    <t>ANMD_0066</t>
  </si>
  <si>
    <t>MDYAMPR011</t>
  </si>
  <si>
    <t xml:space="preserve">Existing on tower - ( Assume ) TML with 4.20 EPA </t>
  </si>
  <si>
    <t>Total EPA is 4.2+3 =7.2 &lt; 25 EPA Design - OK (Preliminaly Tower Assessment), Amara 3.0EPA Required</t>
  </si>
  <si>
    <t>ANMD_0067</t>
  </si>
  <si>
    <t>MDYAMPR012</t>
  </si>
  <si>
    <t xml:space="preserve">Existing on tower - ( Assume ) TML with 4.26 EPA </t>
  </si>
  <si>
    <t>Total EPA is 4.26+3 =7.26 &lt; 18 EPA Design - OK (Preliminaly Tower Assessment), Amara 3.0EPA Required</t>
  </si>
  <si>
    <t xml:space="preserve">AC connect </t>
  </si>
  <si>
    <t>ANMD_0070</t>
  </si>
  <si>
    <t>MDYAMPR013</t>
  </si>
  <si>
    <t>4-Dec-18: Considering this site as GBT okay to go ahead. But lese hike may raise while TI installation as already 3 opco exisiting on site.</t>
  </si>
  <si>
    <t>Existing on tower - ( Assume ) TML with 4.38 EPA ,OML with 11.43 EPA , MPT with 1.02EPA</t>
  </si>
  <si>
    <t>Total EPA is 16.82+3 =19.82 &lt; 25 EPA Design - OK (Preliminaly Tower Assessment), Amara 3.0EPA Required</t>
  </si>
  <si>
    <t>ANMD_0071</t>
  </si>
  <si>
    <t>MDYAMPR014</t>
  </si>
  <si>
    <t xml:space="preserve">Existing on tower - ( Assume ) TML with 4.38 EPA ,OML with 11.07 EPA </t>
  </si>
  <si>
    <t>Total EPA is 15.45+3 =18.45 &lt; 25 EPA Design - OK (Preliminaly Tower Assessment), Amara 3.0EPA Required</t>
  </si>
  <si>
    <t>ANMD_0077</t>
  </si>
  <si>
    <t>MDYAMPR015</t>
  </si>
  <si>
    <t>Existing on tower - ( Assume ) TML with 6.29 EPA ,OML with 9.22 EPA , Mytel 5.47 EPA</t>
  </si>
  <si>
    <t>Total EPA is 15.51+3 =18.51 &lt; 25 EPA Design - OK (Preliminaly Tower Assessment), Amara 3.0EPA Required</t>
  </si>
  <si>
    <t>MDYPGTG020</t>
  </si>
  <si>
    <t>34</t>
  </si>
  <si>
    <t xml:space="preserve">Existing on tower - ( Assume ) TML with 3.93 EPA </t>
  </si>
  <si>
    <t>Total EPA is 3.93+3 =6.93 &lt; 25 EPA Design - OK (Preliminaly Tower Assessment), Amara 3.0EPA Required</t>
  </si>
  <si>
    <t>ANMD_0165</t>
  </si>
  <si>
    <t>MDYPGTG033</t>
  </si>
  <si>
    <t>19</t>
  </si>
  <si>
    <t xml:space="preserve">Existing on tower - ( Assume ) TML with 4.56 EPA </t>
  </si>
  <si>
    <t>Total EPA is 4.56+3 =7.56 &lt; 18 EPA Design - OK (Preliminaly Tower Assessment), Amara 3.0EPA Required</t>
  </si>
  <si>
    <t>MDYPGTG036</t>
  </si>
  <si>
    <t xml:space="preserve">Existing on tower - ( Assume ) TML with 6.77 EPA </t>
  </si>
  <si>
    <t>Total EPA is 6.77+3 =9.77 &lt; 18 EPA Design - OK (Preliminaly Tower Assessment), Amara 3.0EPA Required</t>
  </si>
  <si>
    <t>ANMD_0172</t>
  </si>
  <si>
    <t>MDYPGTG039</t>
  </si>
  <si>
    <t>14</t>
  </si>
  <si>
    <t xml:space="preserve">Existing on tower - ( Assume ) TML with 5.10 EPA </t>
  </si>
  <si>
    <t>Total EPA is 8.69+5 =13.69 &lt; 18 EPA Design - OK (Preliminaly Tower Assessment), Amara 5.0EPA Required</t>
  </si>
  <si>
    <t>ACAY_0122</t>
  </si>
  <si>
    <t>AWD00530</t>
  </si>
  <si>
    <t>12-Dec-18: Okay for MPT upgrdation program as we don’t have any issue any site.
4-Dec-18: MPT is already on air from 27-Feb-17, then why again its repeated for pre-validation</t>
  </si>
  <si>
    <t xml:space="preserve">Existing on tower - ( Assume ) TML with 5.74 EPA / OML with 9.87 EPA / MPT with 4.69 EPA - add ODU as per the actual on tower </t>
  </si>
  <si>
    <t>ANMD_0153</t>
  </si>
  <si>
    <t>MDYPTGI008</t>
  </si>
  <si>
    <t>4-Dec-18: Has to reverifiy with owner and lease area and space.
27-June-18: Lease hike approved by ATF by Managment for Mytel only
4-June-18: No reduction..the difficulty here is its a phase 1 site on which we have very little litigation leverage.
16-May-18: owner on three occasions but he is adamant and resists any form of contract or mandate explanation. He demands an additional 300,000 MMK/M for Mytel only</t>
  </si>
  <si>
    <t xml:space="preserve">Existing on tower - ( Assume ) TML with 6.55 EPA </t>
  </si>
  <si>
    <t>Total EPA is 6.55+3 =9.55 &lt; 18 EPA Design - OK (Preliminaly Tower Assessment), Amara 3.0EPA Required</t>
  </si>
  <si>
    <t>1-01-05012-001</t>
  </si>
  <si>
    <t>SGG00200</t>
  </si>
  <si>
    <t>46.5-48.5</t>
  </si>
  <si>
    <t>53-56</t>
  </si>
  <si>
    <t>Existing on tower actual - OML - 8.63 sqm  / MPT - 4.73 Sqm / TML - 3.51 Sqm /  / Added 1 RRU</t>
  </si>
  <si>
    <t>Strengthened Tower(OP1+OP4+OP3(OLD+NEW)): 100.6%
Strengthened Tower(OP1+OP4+OP3(OLD)): 98.6 %</t>
  </si>
  <si>
    <t xml:space="preserve">Existing on tower actual - OML - 7.72 sqm  / MPT - 4.67 Sqm actual and 7.24 sqm on previous colo apps  - Added RRU . </t>
  </si>
  <si>
    <t>EXISTING TOWER(OP1+OP3(OLD+NEW)):   89.1%
EXISTING TOWER(OP1+OP3(OLD)): 89.2  %</t>
  </si>
  <si>
    <t>PE capacity expansion</t>
  </si>
  <si>
    <t>MDYAMTZ010</t>
  </si>
  <si>
    <t xml:space="preserve">Existing on tower - ( Assume ) TML with 4.10 EPA </t>
  </si>
  <si>
    <t>Total EPA is 4.10+3 =7.10 &lt; 10.5 EPA Design - OK (Preliminaly Tower Assessment), Amara 3.0EPA Required</t>
  </si>
  <si>
    <t>ANMD_0173</t>
  </si>
  <si>
    <t>MDYPGTG007</t>
  </si>
  <si>
    <t>Existing on tower - ( Assume ) TML with 4.83 EPA , OML with 9.22 EPA , MPT with 3.48 EPA ,Mytel with 5.467 EPA</t>
  </si>
  <si>
    <t>Total EPA is 17.53+3 =20.53 &lt; 25 EPA Design - OK (Preliminaly Tower Assessment), Amara 3.0EPA Required</t>
  </si>
  <si>
    <t>MDYPGTG010</t>
  </si>
  <si>
    <t xml:space="preserve">Existing on tower - ( Assume ) TML with 4.74 EPA </t>
  </si>
  <si>
    <t>Total EPA is 4.74+3 =7.74 &lt; 18 EPA Design - OK (Preliminaly Tower Assessment), Amara 3.0EPA Required</t>
  </si>
  <si>
    <t>1-01-10006-004</t>
  </si>
  <si>
    <t>MDYAMPR005</t>
  </si>
  <si>
    <t xml:space="preserve">Existing on tower actual - OML - 6.70 sqm </t>
  </si>
  <si>
    <t>EXISTING TOWER(OP1+OP6(NEW)):   71.8%</t>
  </si>
  <si>
    <t xml:space="preserve">Need new slab </t>
  </si>
  <si>
    <t>AYYN_0225</t>
  </si>
  <si>
    <t>YGN00526</t>
  </si>
  <si>
    <t>39</t>
  </si>
  <si>
    <t xml:space="preserve">Existing on tower - ( Assume ) TML with 4.73 EPA , MPT with 5.34EPA , Mytel with 2.55EPA ( Decrease MW Dimension ) </t>
  </si>
  <si>
    <t>Total EPA is 4.86+2.55+4.73 =12.09 &lt; 25 EPA Design - OK (Preliminaly Tower Assessment), MPT is 4.86EPA Required</t>
  </si>
  <si>
    <t xml:space="preserve">Capacity available </t>
  </si>
  <si>
    <t>1-01-17019-002</t>
  </si>
  <si>
    <t>AWD00413</t>
  </si>
  <si>
    <t>PE capacity expansion PE system to be re ordered</t>
  </si>
  <si>
    <t>1-01-17011-006</t>
  </si>
  <si>
    <t>AWD00287</t>
  </si>
  <si>
    <t>1-03-06008-014</t>
  </si>
  <si>
    <t>TNY00361</t>
  </si>
  <si>
    <t xml:space="preserve">Needs PE system none installed  on site </t>
  </si>
  <si>
    <t>1-01-01010-012</t>
  </si>
  <si>
    <t>KCN00455</t>
  </si>
  <si>
    <t>upgrade DG to 20Kva</t>
  </si>
  <si>
    <t>1-01-17003-008</t>
  </si>
  <si>
    <t>AY0830</t>
  </si>
  <si>
    <t>Add Equipment</t>
  </si>
  <si>
    <t xml:space="preserve">Existing on tower actual - OML - 9.82 sqm / TML - 4.50 Sqm - Decrease MW dimension </t>
  </si>
  <si>
    <t>Strengthened Tower(OP1+OP4(OLD+NEW)):   94.75%
Strengthened Tower(OP1+OP4(OLD)): 95.8  %</t>
  </si>
  <si>
    <t>1-01-01010-013</t>
  </si>
  <si>
    <t>KCN00442</t>
  </si>
  <si>
    <t>Add rectifier modules upgrade DG to 20Kva</t>
  </si>
  <si>
    <t>ANMD_0169</t>
  </si>
  <si>
    <t>MDYPGTG007ML</t>
  </si>
  <si>
    <t xml:space="preserve">Existing on tower - ( Assume ) TML with 4.96 EPA , OML with 8.95 EPA , MPT with 1.02 EPA , Mytel colo apps 4.07 EPA </t>
  </si>
  <si>
    <t>EXISTING TOWER: TML+OML+KSGM+MYTEL+Amara(NEW)):  86.79%</t>
  </si>
  <si>
    <t xml:space="preserve">If Amara can share the existing slab , no need to construct new slab- Space to reconfirm base on TSS </t>
  </si>
  <si>
    <t>1-01-01009-002</t>
  </si>
  <si>
    <t>KCN00139</t>
  </si>
  <si>
    <t>ANMD_0195</t>
  </si>
  <si>
    <t>MDY00607</t>
  </si>
  <si>
    <t>Refarming UL2100</t>
  </si>
  <si>
    <t xml:space="preserve">Existing on tower - ( Assume ) TML with 5.75 EPA , MPT with 3.74 EPA , MPT with 1.02 EPA - Add RRU </t>
  </si>
  <si>
    <t>Existing Tower: TML+KSGM (OLD+NEW) = 90.2%</t>
  </si>
  <si>
    <t>Monitor battery back up,  BB @ EoL swap</t>
  </si>
  <si>
    <t>ANMD_0022</t>
  </si>
  <si>
    <t>MDY00913</t>
  </si>
  <si>
    <t>Existing on tower - ( Assume ) TML with 4.80 EPA , OML with 11.81 EPA , MPT with 3.58 EPA - Add RRU</t>
  </si>
  <si>
    <t>EXISTING TOWER: TML+OML+KSGM(OLD+NEW)):   86.85 %</t>
  </si>
  <si>
    <t>Existing on tower - ( Assume ) TML with 7.55 EPA , MPT with 4.20 EPA - Add RRU</t>
  </si>
  <si>
    <t>Existing Tower: TML+KSGM (OLD+NEW) = 64.0%</t>
  </si>
  <si>
    <t>1-01-09022-005</t>
  </si>
  <si>
    <t>MGW00780</t>
  </si>
  <si>
    <t>Existing on tower - ( Assume ) TML with 5.65 EPA , MPT with 4.84 EPA - Add RRUand ODU</t>
  </si>
  <si>
    <t>AYYN_0300</t>
  </si>
  <si>
    <t>YGN00953</t>
  </si>
  <si>
    <t>Existing on tower - ( Assume ) TML with 5.67 EPA , OML with 9.80 EPA , MPT with 6.13 EPA -, Mytel with 2.91 EPA  , Amara  with 2.88 EPA ( Increase RF dimension and add RRU )</t>
  </si>
  <si>
    <t>Close Date</t>
  </si>
  <si>
    <t>1-01-17007-005</t>
  </si>
  <si>
    <t>AWD00484</t>
  </si>
  <si>
    <t>Refarmaing_UL2100</t>
  </si>
  <si>
    <t>1-01-02003-003</t>
  </si>
  <si>
    <t>KYH00055</t>
  </si>
  <si>
    <t>1-01-03001-001</t>
  </si>
  <si>
    <t>KYN00267</t>
  </si>
  <si>
    <t>1-01-09001-003</t>
  </si>
  <si>
    <t>MGW00148</t>
  </si>
  <si>
    <t>1-01-05009-001</t>
  </si>
  <si>
    <t>SGG00235</t>
  </si>
  <si>
    <t>1-01-05015-004</t>
  </si>
  <si>
    <t>SGG00765</t>
  </si>
  <si>
    <t>1-01-15013-008</t>
  </si>
  <si>
    <t>SHN00087</t>
  </si>
  <si>
    <t>1-01-17016-011</t>
  </si>
  <si>
    <t>AWD00293</t>
  </si>
  <si>
    <t>1-01-17017-001</t>
  </si>
  <si>
    <t>AWD00871</t>
  </si>
  <si>
    <t>1-01-01014-005</t>
  </si>
  <si>
    <t>KCN00119</t>
  </si>
  <si>
    <t>Expansion_L2100</t>
  </si>
  <si>
    <t>Existing Tower: TML+MYTEL+KSGM (OLD+NEW) = 74.9%</t>
  </si>
  <si>
    <t>EXISTING TOWER: TML+OML+KSGM+MYTEL+Amara(NEW)):  69.33%</t>
  </si>
  <si>
    <t>Total EPA is 3.02+6 =9.02&lt; 18 EPA Design - OK (Preliminaly Tower Assessment), OML 6.0EPA Required</t>
  </si>
  <si>
    <t>Mytel Phase 1a Colo</t>
  </si>
  <si>
    <t>On Air</t>
  </si>
  <si>
    <t>Amara Phase 1</t>
  </si>
  <si>
    <t>MPT  Phase 1a Colo</t>
  </si>
  <si>
    <t>OML Phase 1 Colo</t>
  </si>
  <si>
    <t>OML Phase 2 Colo</t>
  </si>
  <si>
    <t>RFI</t>
  </si>
  <si>
    <t>Mytel Phase 1b Colo</t>
  </si>
  <si>
    <t>MPT  Phase 1b Colo</t>
  </si>
  <si>
    <t>MPT Phase 2 Colo</t>
  </si>
  <si>
    <t>MPT  Phase 1a B2S</t>
  </si>
  <si>
    <t>TML Phase 1 Colo</t>
  </si>
  <si>
    <t xml:space="preserve">Existing on tower Actual - OML - 10.60 Sqm / MPT - 2.61 Sqm / Mytel 1.75 Sqm - Add MW and ODU </t>
  </si>
  <si>
    <t>PE UG - BB, DG</t>
  </si>
  <si>
    <t xml:space="preserve">Existing on tower Actual - OML - 8.44 Sqm / MPT latest Colo Apps - 4.09 Sqm /TML Colo Apps - 4.05 sqm/ Mytel  Colo Apps 4.07 Sqm - Add 3 RRU </t>
  </si>
  <si>
    <t>BB &amp; DG swaps/upgrade</t>
  </si>
  <si>
    <t xml:space="preserve">Existing on tower Actual - OML - 7.02 Sqm / MPT latest Colo Apps - 3.99 Sqm /TML  - 2.67 sqm/ - Increase RF Dimension </t>
  </si>
  <si>
    <t xml:space="preserve">Existing on tower Actual - OML - 8.34 Sqm / MPT  - 4.69 Sqm - Add  MW and ODU as per actual </t>
  </si>
  <si>
    <t xml:space="preserve">add rect modules - PE UG later </t>
  </si>
  <si>
    <t xml:space="preserve">add rectifer modules UG DG </t>
  </si>
  <si>
    <t>Okay short term DG 12Hrs NS, DG&amp;BB capacity increase required</t>
  </si>
  <si>
    <t>PE system upgrade - Dep on new PE ordered Dec18 - adjust FC accord</t>
  </si>
  <si>
    <t>PE cap incr BB UG - Dep on new PE ordered Dec18 - adjust FC accord</t>
  </si>
  <si>
    <t>Strengthened Tower: OML+MYTEL+KSGM (OLD+NEW) = 96.1%
Strengthened Tower: OML+MYTEL+KSGM (OLD) = 95.6%</t>
  </si>
  <si>
    <t>Strengthened Tower: OML+TML+MYTEL+KSGM (OLD+NEW) = 104.4%
Strengthened Tower: OML+TML+MYTEL+KSGM (OLD) = 104.4%</t>
  </si>
  <si>
    <t>Existing Tower: OML+TML+KSGM (OLD+NEW) = 102.9%
Existing Tower: OML+TML+KSGM (OLD) = 101.4%</t>
  </si>
  <si>
    <t>EXISTING TOWER(OP1+OP3(OLD+NEW)):   93.8%
EXISTING TOWER(OP1+OP3(OLD)):   92.63%</t>
  </si>
  <si>
    <t xml:space="preserve">Existing on tower Actual - OML - 8.34 Sqm / MPT Colo Apps - 4.29 Sqm - Add MW and ODU </t>
  </si>
  <si>
    <t>EXISTING TOWER(OP1+OP3(OLD+NEW)):   89.1%
EXISTING TOWER(OP1+OP3(OLD)):   85.7%</t>
  </si>
  <si>
    <t xml:space="preserve">Existing on tower Actual - OML - 9.26 Sqm / MPT Colo Apps - 2.29 Sqm - Add MW and ODU </t>
  </si>
  <si>
    <t>Strengthened Tower(OP1+OP5+OP3(OLD+NEW)): 91.4%
Strengthened Tower(OP1+OP5+OP3(OLD)): 90.6 %</t>
  </si>
  <si>
    <t xml:space="preserve">Existing on tower Actual - OML - 6.18 Sqm / MPT - 2.71 Sqm / TML 3.51 sqm  - Add 1 RRU </t>
  </si>
  <si>
    <t>Existing on tower Actual - OML - 6.43 Sqm / MPT prev colo apps - 4.55 Sqm / TML 3.23sqm  - NO Data Changed - Only need to checkwith  power team</t>
  </si>
  <si>
    <t>Existing Tower (OML+TML+KSGM(OLD)) = 101.3%</t>
  </si>
  <si>
    <t xml:space="preserve">Existing on tower Actual - OML - 11.46 Sqm / MPT prev colo apps - 5.42 Sqm /Decrease RF Dimension and add MW and Odu </t>
  </si>
  <si>
    <t>Existing on tower Actual - OML - 14.06 Sqm / MPT prev colo apps - 8.15 Sqm / TML 4.93 sqm / Decrease RF and MW Dimension , add RRU and ODU .</t>
  </si>
  <si>
    <t xml:space="preserve">Existing on tower Actual - OML - 7.56 Sqm / MPT - 2.86 Sqm / TML- 3.87sqm / Increase RF Dimension and add RRU </t>
  </si>
  <si>
    <t xml:space="preserve">Existing on tower Actual - OML - 10.88 Sqm / MPT Colo Apps  - 2.35 Sqm / Mytel - 6.13 sqm / Increase RF Dimension and add RRU </t>
  </si>
  <si>
    <t>Strengthened Tower: OML+MYTEL+KSGM (OLD+NEW) = 100.4%
Strengthened Tower: OML+MYTEL+KSGM (OLD) = 97.9%</t>
  </si>
  <si>
    <t xml:space="preserve">Existing on tower Actual - OML - 8.43 Sqm / MPT  - 3.03 Sqm / Mytel - 4.99 sqm / add RRU </t>
  </si>
  <si>
    <t xml:space="preserve">Existing on tower Actual - OML - 8.43 Sqm / MPT  - 3.03 Sqm / Mytel - 4.99 sqm / Add 1 RRU </t>
  </si>
  <si>
    <t>ASKH_0007</t>
  </si>
  <si>
    <t>KYH00181</t>
  </si>
  <si>
    <t>Tower Share</t>
  </si>
  <si>
    <t>Active</t>
  </si>
  <si>
    <t xml:space="preserve">Existing on tower (Assume ) - TML 5.47 EPA / OML 12.22 EPA  /  New Colo Apps Submission </t>
  </si>
  <si>
    <t>ANNP_0222</t>
  </si>
  <si>
    <t>NPT00514</t>
  </si>
  <si>
    <t xml:space="preserve">Existing on tower (Assume ) - TML 4.29 EPA /New Colo Apps Submission </t>
  </si>
  <si>
    <t>3-00-01014-003</t>
  </si>
  <si>
    <t>KCN00120</t>
  </si>
  <si>
    <t xml:space="preserve">Existing on tower actual - MPT 3.52 Sqm - Add MW and RRU/ODU </t>
  </si>
  <si>
    <t>EXISTING TOWER(KSGM(OLD+NEW)):  82.9%
EXISTING TOWER(KSGM(OLD)):    79 %</t>
  </si>
  <si>
    <t>3-00-01014-002</t>
  </si>
  <si>
    <t>KCN00121</t>
  </si>
  <si>
    <t>Existing on tower actual - MPT 4.16 Sqm / Mytel Colo Apps - 4.43 sqm -Add MW and Odu</t>
  </si>
  <si>
    <t>1-01-05015-002</t>
  </si>
  <si>
    <t>SGG00199</t>
  </si>
  <si>
    <t xml:space="preserve">Existing on tower actual - OML - 10.81 Sqm / MPT 3.07 Sqm  /Op2 - 3.87 sqm-Add MW </t>
  </si>
  <si>
    <t>LTE_ v1</t>
  </si>
  <si>
    <t xml:space="preserve">Existing on tower actual - OML - 8.70 Sqm / MPT - 4.25 Sqm / TML - 3.30 sqm -Add RRU and ODU </t>
  </si>
  <si>
    <t>1-01-17008-014</t>
  </si>
  <si>
    <t>AYY0016</t>
  </si>
  <si>
    <t xml:space="preserve">Existing on tower actual - OML - 6.88 Sqm / MYTEL - 3.39 Sqm - </t>
  </si>
  <si>
    <t>1-01-17019-006</t>
  </si>
  <si>
    <t>AYY0333</t>
  </si>
  <si>
    <t xml:space="preserve">Existing on tower actual - OML - 11.73 Sqm / MPT - 3.33Sqm / TML - 3.02 Sqm / MYTEL - 4.07 Sqm - </t>
  </si>
  <si>
    <t>1-01-01008-016</t>
  </si>
  <si>
    <t>KCN0033</t>
  </si>
  <si>
    <t xml:space="preserve">Existing on tower actual - OML - 7.52 Sqm / MYTEL - 3.79 Sqm - </t>
  </si>
  <si>
    <t>1-01-10030-007</t>
  </si>
  <si>
    <t>MDY0162</t>
  </si>
  <si>
    <t xml:space="preserve">Existing on tower actual - OML - 6.63 Sqm / TML - 3.41 sqm / MYTEL - 4.07 Sqm - </t>
  </si>
  <si>
    <t>1-01-10024-004</t>
  </si>
  <si>
    <t>MDY0379</t>
  </si>
  <si>
    <t xml:space="preserve">Existing on tower actual - OML - 8.44 Sqm / TML - 4.83 sqm / MYTEL - 4.07 Sqm - </t>
  </si>
  <si>
    <t>1-01-01001-018</t>
  </si>
  <si>
    <t>KCN0063</t>
  </si>
  <si>
    <t>ANMG_0037</t>
  </si>
  <si>
    <t>MGW00580</t>
  </si>
  <si>
    <t>6-Jan-17: MPT on-air, okay for upgrdation</t>
  </si>
  <si>
    <t xml:space="preserve">Existing on tower (Assume ) -TML-8.01 EPA , Mytel 4.24 EPA , Amara - 3.42 EPA  , MPT 1.32 EPA - Need only power confirmation </t>
  </si>
  <si>
    <t>EXISTING TOWER: TML+OML+KSGM(NEW)):  86.79%</t>
  </si>
  <si>
    <t>26-Dec-18: Okay for TI installtion</t>
  </si>
  <si>
    <t xml:space="preserve">Existing on tower actual -TML- 3.54 EPA , MPT - 1.32 EPA , Mytel - 4.24 EPA ,Amara - 3.42 EPA - Need Power Confirmation </t>
  </si>
  <si>
    <t>EXISTING TOWER: TML+Mytel+Amara+KSGM(OLD+NEW)):  104.2%</t>
  </si>
  <si>
    <t>ANMD_0176</t>
  </si>
  <si>
    <t>MDY00350</t>
  </si>
  <si>
    <t>26-Dec-18: Site on air from 30-Sep-15 no issue for any upgradation.</t>
  </si>
  <si>
    <t xml:space="preserve">Existing on tower Assume -TML- 9.82 EPA , OML - 5.85 EPA , MPT - 3.40 EPA , Mytel - 2.81 EPA -Increase RF dimension and add RRU / ODU </t>
  </si>
  <si>
    <t>26-Dec-18: Site on air from 28-Dec-16 no issue for any upgradation.</t>
  </si>
  <si>
    <t>Existing on tower (Assume ) -TMl - 9.82 EPA / OML - 5.85 EPA / MPT - 3.40 EPA / Mytel 2.81 EPA -  Increase RF Dimension and Add RRU</t>
  </si>
  <si>
    <t>ASTN_0023</t>
  </si>
  <si>
    <t>TNY00315</t>
  </si>
  <si>
    <t>39.5-42.5</t>
  </si>
  <si>
    <t>45.5-47.5</t>
  </si>
  <si>
    <t>26-Dec-18: Site on air from 30-Apr-16 no issue for any upgradation.</t>
  </si>
  <si>
    <t xml:space="preserve">Existing on tower (Assume ) - TML 4.29 EPA / MPT - 4.60 EPA /Add 1  Odu </t>
  </si>
  <si>
    <t>1-01-01004-001</t>
  </si>
  <si>
    <t>KCN00148</t>
  </si>
  <si>
    <t xml:space="preserve">Existing on tower actual - OML - 7.31sqm , MPT 5.99 Sqm - add MW and add RRU / ODU </t>
  </si>
  <si>
    <t>EXISTING TOWER(OML+KSGM(OLD+NEW)):   96.2 %
EXISTING TOWER(OML+KSGM(OLD)):  92.2 %</t>
  </si>
  <si>
    <t>1-01-15013-001</t>
  </si>
  <si>
    <t>SHN00055</t>
  </si>
  <si>
    <t>Previously, Gov Road construction department stopped tower due to our site is located at the road boundary area since long time ago.No More complain now and still alive tower.</t>
  </si>
  <si>
    <t xml:space="preserve">Existing on tower actual - OML - 7.03sqm , MPT actual on tower 3.03 / previous Colo Apps  5.61 Sqm  , Add RRU and ODU </t>
  </si>
  <si>
    <t>EXISTING TOWER(OML+KSGM(OLD+NEW)):   94.3 %
EXISTING TOWER(OML+KSGM(OLD)):92.3 %</t>
  </si>
  <si>
    <t>1-01-14007-016</t>
  </si>
  <si>
    <t>SHN00079</t>
  </si>
  <si>
    <t xml:space="preserve">Existing on tower actual - OML - 8.09 sqm , MPT 4.97 Sqm , TML -2.87 sqm -Add 1 Odu </t>
  </si>
  <si>
    <t>EXISTING TOWER(OML+TML+KSGM(OLD+NEW)):  97%
EXISTING TOWER(OML+TML+KSGM(OLD)): 96.8  %</t>
  </si>
  <si>
    <t>1-01-10029-005</t>
  </si>
  <si>
    <t>MDY0382</t>
  </si>
  <si>
    <t>1-01-03005-004</t>
  </si>
  <si>
    <t>KYN0185</t>
  </si>
  <si>
    <t>1-01-17026-003</t>
  </si>
  <si>
    <t>AYY0879</t>
  </si>
  <si>
    <t>1-01-17004-007</t>
  </si>
  <si>
    <t>AYY0207</t>
  </si>
  <si>
    <t>Refarming _ UL2100</t>
  </si>
  <si>
    <t xml:space="preserve">Existing on tower - ( Assume ) TML with 5.74 EPA , OML with 9.87 EPA , MPT with 4.69 EPA - Add RRU </t>
  </si>
  <si>
    <t>Existing Tower: OML+TML+KSGM (OLD+NEW) = FDN Unstale due to soil condition is submerged
(Estimate volume of concrete = 16 cb.m;  extend pad of foundation to 9.6m)</t>
  </si>
  <si>
    <t>ANMD_0136</t>
  </si>
  <si>
    <t>MDY01437</t>
  </si>
  <si>
    <t>26-Dec-18: Okay for survey and TI installtion</t>
  </si>
  <si>
    <t>Existing on tower - ( Assume ) TML with 7.74 EPA - Add 2 RRU</t>
  </si>
  <si>
    <t>Existing Tower: TML+KSGM (OLD+NEW) = 76.4%</t>
  </si>
  <si>
    <t>1-01-01010-003</t>
  </si>
  <si>
    <t>KCN00441</t>
  </si>
  <si>
    <t xml:space="preserve">Existing on tower Actual -9.17Sqm /  MPT prev colo apps - 5.32 Sqm / TML - 5.00 Sqm / Mytel 5.28 Sqm . Add 1 RRU </t>
  </si>
  <si>
    <t>Strengthened Tower(OML+TML+Mytel+KSGM(OLD+NEW)):  97.51 %
Strengthened Tower(OML+TML+Mytel+KSGM(OLD)): 97.51 %</t>
  </si>
  <si>
    <t>KCN00564</t>
  </si>
  <si>
    <t xml:space="preserve">TS </t>
  </si>
  <si>
    <t>Existing on tower - ( Assume ) TML with 3.84 EPA - MPT previous Colo Apps 3.924 EPA - Mytel Colo Apps - 5.46 EPA  - Add 2 RRU</t>
  </si>
  <si>
    <t>EXISTING TOWER: TML+MYTEL+KSGM(OLD+NEW)):  57.69%</t>
  </si>
  <si>
    <t>1-01-14001-010</t>
  </si>
  <si>
    <t>SHS00100</t>
  </si>
  <si>
    <t xml:space="preserve">Existing on tower Actual - OML - 8.44 Sqm / MPT - 7.68 Sqm  - Increase Rf Dimension add RRU / Change MW dimesion and add ODU </t>
  </si>
  <si>
    <t>Strengthened Tower: OML+KSGM (OLD+NEW) = 97.2%
Strengthened Tower: OML+KSGM (OLD) = 91.1%</t>
  </si>
  <si>
    <t>31-Jan-19</t>
  </si>
  <si>
    <t>ready</t>
  </si>
  <si>
    <t>1-01-10009-003</t>
  </si>
  <si>
    <t>MDY01362</t>
  </si>
  <si>
    <t>2019-01-30</t>
  </si>
  <si>
    <t>DG &amp; BB upgrade</t>
  </si>
  <si>
    <t xml:space="preserve">Existing on tower Actual - OML - 8.09 Sqm / MPT - 4.97 Sqm / TML 2.87 sqm  - Same loading as before - Change height only </t>
  </si>
  <si>
    <t>EXISTING TOWER(OML+TML+KSGM(OLD+NEW)):  96.9%
EXISTING TOWER(OML+TML+KSGM(OLD)): 96.9  %</t>
  </si>
  <si>
    <t>2019-04-05</t>
  </si>
  <si>
    <t>2018-12-27</t>
  </si>
  <si>
    <t>2019-01-18</t>
  </si>
  <si>
    <t>2019-04-07</t>
  </si>
  <si>
    <t>2019-04-08</t>
  </si>
  <si>
    <t>EXISTING TOWER(OP1+OP4+OP3(OLD+NEW)):   81.6 %
EXISTING TOWER(OP1+OP4+OP3(OLD)):  82%</t>
  </si>
  <si>
    <t>2018-12-23</t>
  </si>
  <si>
    <t>Strengthened Tower(OP1+OP3(OLD+NEW)): 91.3 %
Strengthened Tower(OP1+OP3(OLD)): 85.04 %</t>
  </si>
  <si>
    <t>2019-04-09</t>
  </si>
  <si>
    <t>Strengthened Tower: OML+TML+KSGM (OLD+NEW) = 103.3%
Strengthened Tower: OML+TML+KSGM (OLD) = 104.2%</t>
  </si>
  <si>
    <t>2018-12-28</t>
  </si>
  <si>
    <t>Strengthened Tower: OML+TML+KSGM (OLD+NEW) = 94 %
Strengthened Tower: OML+TML+KSGM (OLD) = 92.6%</t>
  </si>
  <si>
    <t>2019-04-10</t>
  </si>
  <si>
    <t>2019-04-11</t>
  </si>
  <si>
    <t>Strengthened Tower: OML+MYTEL+KSGM (OLD+NEW) = 92.4%
Strengthened Tower: OML+MYTEL+KSGM (OLD) = 91.7%</t>
  </si>
  <si>
    <t>Strengthened Tower: OML+MYTEL+KSGM (OLD+NEW) = 92.5%
Strengthened Tower: OML+MYTEL+KSGM (OLD) = 92.4</t>
  </si>
  <si>
    <t xml:space="preserve">26-Dec-18: Already 4 opco at site (TN/MPT/OML/Mytel) possible for lease hike during TI installtion </t>
  </si>
  <si>
    <t>2019-01-12</t>
  </si>
  <si>
    <t>26-Dec-18: Re-negotation has to be done with owner as we have to install new slab for Amara. Note: Mytel is already present on the same roof.</t>
  </si>
  <si>
    <t>Existing Tower: OML+TML+KSGM (OLD+NEW) = FDN Unstale due to soil condition is submerged (Estimate volume of concrete = 16 cb.m;  exten pad of foundation to 9.6m)
Approved By Rudy per email on 17-Dec-2018.</t>
  </si>
  <si>
    <t>2018-12-31</t>
  </si>
  <si>
    <t>2019-04-17</t>
  </si>
  <si>
    <t>2019-01-10</t>
  </si>
  <si>
    <t>2019-04-14</t>
  </si>
  <si>
    <t>2019-04-18</t>
  </si>
  <si>
    <t>2019-04-20</t>
  </si>
  <si>
    <t>2019-04-15</t>
  </si>
  <si>
    <t>2019-01-20</t>
  </si>
  <si>
    <t>2019-01-07</t>
  </si>
  <si>
    <t>2019-01-08</t>
  </si>
  <si>
    <t>2019-01-21</t>
  </si>
  <si>
    <t>2019-04-01</t>
  </si>
  <si>
    <t>2019-01-23</t>
  </si>
  <si>
    <t>2019-01-24</t>
  </si>
  <si>
    <t>2018-12-29</t>
  </si>
  <si>
    <t xml:space="preserve">Existing on tower (Assume ) - TML 4.29 EPA / MPT - 4.60 EPA /   Increase RF Dimension and add RRU . </t>
  </si>
  <si>
    <t xml:space="preserve">Existing on tower actual - OML - 6.64 Sqm / MPT - 2.71 Sqm  / TML - 2.74 sqm / MYTEL - 2.03 Sqm - increase RF Dimension , Add RRU and ODU </t>
  </si>
  <si>
    <t>ASMO_0155</t>
  </si>
  <si>
    <t>MON00618</t>
  </si>
  <si>
    <t xml:space="preserve">MPT Phase 2 Colo </t>
  </si>
  <si>
    <t xml:space="preserve">Existing on tower (Assume ) - TML 9.08 EPA /  New Colo Apps Submission </t>
  </si>
  <si>
    <t>Strengthened Tower(OML+MYTEL+KSGM(OLD+NEW)): 103.67 %
Strengthened Tower(OML+MYTEL+KSGM(OLD)): 100.84 %</t>
  </si>
  <si>
    <t>Strengthened Tower(OML+OP2+KSGM(OLD+NEW)): 89.7 %
Strengthened Tower(OML+OP2+KSGM(OLD)): 91 %</t>
  </si>
  <si>
    <t>EXISTING TOWER(OML+TML+KSGM(OLD+NEW)):  99.2%
EXISTING TOWER(OML+TML+KSGM(OLD)): 99.2%</t>
  </si>
  <si>
    <t>47</t>
  </si>
  <si>
    <t>1-01-14013-003</t>
  </si>
  <si>
    <t>SHS00383</t>
  </si>
  <si>
    <t>52.5</t>
  </si>
  <si>
    <t xml:space="preserve">Existing on tower actual - OML - 9.23 Sqm / MPT -3.93 Sqm  / TML - 2.74 sqm / MYTEL - 5.00 Sqm - Increase RF Dimension , Add RRU </t>
  </si>
  <si>
    <t>1-01-03007-002</t>
  </si>
  <si>
    <t>KA3411</t>
  </si>
  <si>
    <t>Existing on tower actual - OML - 8.67 Sqm / MYTEL -4.07 Sqm - New Colocation</t>
  </si>
  <si>
    <t>Required New Slab</t>
  </si>
  <si>
    <t>1-03-01014-017</t>
  </si>
  <si>
    <t>KC0459</t>
  </si>
  <si>
    <t>Existing on tower actual - MPT- 3.56 Sqm - New Colocation</t>
  </si>
  <si>
    <t>SH4020</t>
  </si>
  <si>
    <t>Existing on tower actual - OML - 7.03Sqm / MPT - 3.72 Sqm - New Colocation</t>
  </si>
  <si>
    <t>1-01-01015-020</t>
  </si>
  <si>
    <t>KC0091</t>
  </si>
  <si>
    <t>Existing on tower actual - OML - 8.10 Sqm / - New Colocation</t>
  </si>
  <si>
    <t>EXISTING TOWER(OML+Mytel(NEW)):  99 %</t>
  </si>
  <si>
    <t>Strengthened Tower(OML+TML+KSGM+Mytel(NEW)):  103.1 %</t>
  </si>
  <si>
    <t>EXISTING TOWER(OML+Mytel(NEW)):  93.5 %</t>
  </si>
  <si>
    <t>EXISTING TOWER: TML+KSGM(OLD+NEW)):  56.22%</t>
  </si>
  <si>
    <t>1-01-12016-011</t>
  </si>
  <si>
    <t>RA0021</t>
  </si>
  <si>
    <t xml:space="preserve">Existing on tower actual - OML - 8.69 Sqm / TML on tower 2.32 Or TML previous Colo Apps 4.41 Sqm - Add 1 ODU </t>
  </si>
  <si>
    <t>MDYAMPR003</t>
  </si>
  <si>
    <t>ANMG_0034</t>
  </si>
  <si>
    <t>MGW00303</t>
  </si>
  <si>
    <t>ANKC_0024</t>
  </si>
  <si>
    <t>KCN00341</t>
  </si>
  <si>
    <t xml:space="preserve">Existing on tower (Assume ) - TML 6.73 EPA / MPT - 4.82 EPA /Mytel 8.09 EPA - Decrease RF Dimension and add RRU </t>
  </si>
  <si>
    <t>1-01-10013-005</t>
  </si>
  <si>
    <t>MDY01364</t>
  </si>
  <si>
    <t xml:space="preserve">Existing on tower actual - OML - 7.76 Sqm / MPT - 3.08 Sqm /TML 3.52 sqm /- Add 2 RRU </t>
  </si>
  <si>
    <t>ANSG_0466</t>
  </si>
  <si>
    <t>SGG00230</t>
  </si>
  <si>
    <t xml:space="preserve">Existing on tower (Assume ) - TML 5.28 EPA / MPT - 4.82 EPA  - Remove MW and add RRU </t>
  </si>
  <si>
    <t>YGNDMNH014</t>
  </si>
  <si>
    <t>Require Colo Apps to update in prevalidation -  Existing on tower (Assume ) - TML 3.56 EPA / Amara previous Colo Apps 3.35 EPA  - Remove 1 MW (0.3 ) and Odu</t>
  </si>
  <si>
    <t>AYYN_0620</t>
  </si>
  <si>
    <t>YGNDMSH008</t>
  </si>
  <si>
    <t>Require Colo Apps to update in prevalidation -  Existing on tower (Assume ) - TML 4.11 EPA / OML - 12.15 EPA / MPT - 3.24 EPA / Mytel Colo Apps - 5.68 EPA /Amara previous Colo Apps 3.48 EPA  - Remove 2 MW (0.3 ) and Odu</t>
  </si>
  <si>
    <t xml:space="preserve">Existing on tower actual - OML - 6.46 Sqm / MPT - 3.52 Sqm /TML 3.56 sqm / Decrease Dimension and add RRU </t>
  </si>
  <si>
    <t>1-01-15002-002</t>
  </si>
  <si>
    <t>SHN00062</t>
  </si>
  <si>
    <t xml:space="preserve">Existing on tower actual - OML - 8.09 Sqm / MPT - 3.07 Sqm /TML 4.50 sqm / Decrease Dimension and add RRU </t>
  </si>
  <si>
    <t>1-01-14007-013</t>
  </si>
  <si>
    <t>SHN00081</t>
  </si>
  <si>
    <t>45-48</t>
  </si>
  <si>
    <t>52-54</t>
  </si>
  <si>
    <t xml:space="preserve">Existing on tower actual - OML - 7.90 Sqm / MPT - 2.69 Sqm /Mytel actual - 2.97 sqm - Mytel  colo apps 4.07 sqm / Decrease Dimension and add RRU </t>
  </si>
  <si>
    <t>AYYN_0284</t>
  </si>
  <si>
    <t>YGNINSN005</t>
  </si>
  <si>
    <t>Require Colo Apps to update in prevalidation -  Existing on tower (Assume ) - TML -5.40 EPA/ Amara Previous Colo Apps 3.35 EPA  - Remove 2 MW (0.3 ) and Odu</t>
  </si>
  <si>
    <t>AYYN_0575</t>
  </si>
  <si>
    <t>YGNSPTR001</t>
  </si>
  <si>
    <t>Require Colo Apps to update in prevalidation -  Existing on tower (Assume ) - TML -2.57 EPA/ Amara Previous Colo Apps 3.40 EPA  - Remove 1 MW (0.6 ) and Odu</t>
  </si>
  <si>
    <t>AYYN_0403</t>
  </si>
  <si>
    <t>YGNTKTA002</t>
  </si>
  <si>
    <t>Require Colo Apps to update in prevalidation -  Existing on tower (Assume ) - TML -2.57 EPA/ Amara Previous Colo Apps 3.09 EPA  - Remove 1 MW (0.3 ) and Odu</t>
  </si>
  <si>
    <t>AYYN_0570</t>
  </si>
  <si>
    <t>YGNSPTR022</t>
  </si>
  <si>
    <t>Require Colo Apps to update in prevalidation -  Existing on tower (Assume ) - TML -5.79 EPA/ MPT - 4.85 EPA / Mytel 5.68 EPA / Amara Previous Colo Apps 3.36 EPA  - Remove 1 MW (0.6 ) and Odu</t>
  </si>
  <si>
    <t>Existing Tower: TML+KSGM (OLD+NEW) = 129.2%
(Estimate modification steel weight = 1500 kg)
Existing Tower: TML+KSGM (OLD) = 124.7%</t>
  </si>
  <si>
    <t>EXISTING TOWER(OML+TML+Mytel+KSGM(OLD+NEW)):  87.4 %
EXISTING TOWER(OML+TML+Mytel+KSGM(OLD)): 85.75 %</t>
  </si>
  <si>
    <t>EXISTING TOWER: TML+KSGM(OLD+NEW)):  96.4%</t>
  </si>
  <si>
    <t>Existing Tower: TML+KSGM (OLD+NEW) = 62.7%</t>
  </si>
  <si>
    <t>Existing Tower: OML+TML+MYTEL (OLD+NEW) = 88.9%
Existing Tower: OML+TML+MYTEL (OLD) = 82.1%</t>
  </si>
  <si>
    <t>Existing Tower: OML+TML+MYTEL (OLD+NEW) = 99.0%</t>
  </si>
  <si>
    <t>Strengthened Tower: OML+TML+MYTEL+KSGM (OLD+NEW) = 198.7% (Estimate steel weight 1700 kg)
Strengthened Tower: OML+MYTEL+KSGM (OLD) = 193.0%</t>
  </si>
  <si>
    <t>Existing Tower: TML+KSGM (OLD+NEW) = 124.7%
(Estimate modification steel weight = 1500 kg)
Existing Tower: TML+KSGM (OLD) = 124.7%</t>
  </si>
  <si>
    <t>Approved by Management</t>
  </si>
  <si>
    <t>Kitcha agreed on 26 Dec 18 to proceed and accepted the BA report.</t>
  </si>
  <si>
    <t>10-Jan-19: Okay for TI installation as GBT site and single opco.</t>
  </si>
  <si>
    <t>1-01-10018-001</t>
  </si>
  <si>
    <t>MDY00339</t>
  </si>
  <si>
    <t>1-01-15013-009</t>
  </si>
  <si>
    <t>SHN00040</t>
  </si>
  <si>
    <t>10-Jan-19: Okay for upgrdation as MPT is already on-air from 23-Dec-15</t>
  </si>
  <si>
    <t xml:space="preserve">Existing on tower (Assume ) - TML 5.68 EPA / OML - 10.61 EPA / MPT - 3.75 EPA  - Increase RF Dimension and add RRU </t>
  </si>
  <si>
    <t>10-Jan-19: Okay for upgrdation as MPT is already on-air from 23-Mar-16</t>
  </si>
  <si>
    <t>Existing Tower: TML+MYTEL+KSGM (OLD+NEW) = 62.3%</t>
  </si>
  <si>
    <t>Existing Tower: OML+TML+KSGM (OLD+NEW) = 97.0%
Existing Tower: OML+TML+KSGM (OLD) = 97.0%</t>
  </si>
  <si>
    <t>10-Jan-19: Okay for upgrdation as MPT is already on-air from 27-May-16</t>
  </si>
  <si>
    <t>Existing Tower: TML+KSGM (OLD+NEW) = 47.1%</t>
  </si>
  <si>
    <t>10-Jan-19: Okay for upgrdation as Amara is already on-air from 29-Mar-18</t>
  </si>
  <si>
    <t>STR OK for MW0.6m removal</t>
  </si>
  <si>
    <t>removing equiptments so not require power comment</t>
  </si>
  <si>
    <t>10-Jan-19: Okay for upgrdation as Amara is already on-air from 09-Feb-18</t>
  </si>
  <si>
    <t>10-Jan-19: Okay for upgrdation as Amara is already on-air from 08-Mar-18</t>
  </si>
  <si>
    <t>10-Jan-19: Okay for upgrdation as Amara is already on-air from 13-Mar-18</t>
  </si>
  <si>
    <t>10-Jan-19: Okay for upgrdation as Amara is already on-air from 06-Mar-18</t>
  </si>
  <si>
    <t>10-Jan-19: Okay for upgrdation as Amara is already on-air from 22-Jun-18</t>
  </si>
  <si>
    <t>Strengthened Tower(OML+TML+KSGM(OLD+NEW)): 92.4 %
Strengthened Tower(OML+TML+KSGM(OLD)): 84.7 %</t>
  </si>
  <si>
    <t>EXISTING TOWER(OML+TML(NEW)):  91.7 % (old wind zone)
EXISTING TOWER(OML+TML(NEW)):  137.4 % (new wind zone)_STR later</t>
  </si>
  <si>
    <t>OK to proceed, community will provide the feedback on 11 Jan 2019</t>
  </si>
  <si>
    <t>EXISTING TOWER(OML+KSGM+TML(NEW)):  98.30 %</t>
  </si>
  <si>
    <t>EXISTING TOWER(OML+TML(NEW)):  98.61 %</t>
  </si>
  <si>
    <t>1-01-08008-001</t>
  </si>
  <si>
    <t>BGW00539</t>
  </si>
  <si>
    <t xml:space="preserve">Existing on tower (Assume ) - TML 5.74 EPA - New Colocation </t>
  </si>
  <si>
    <t xml:space="preserve">Existing on tower (Actual) - OML with 15.69 sqm , MPT  - 3.09 Sqm , TML with 3.40 Sqm   - MW height change as per actual </t>
  </si>
  <si>
    <t xml:space="preserve">Existing on tower (Actual) - OML with 10.64 sqm , MPT  - 2.71 Sqm , TML with 3.51 Sqm   - Add MW </t>
  </si>
  <si>
    <t xml:space="preserve">Existing on tower (Actual) - OML with 11.76 sqm , MPT  - 3.56 Sqm    - Add 1 RRU </t>
  </si>
  <si>
    <t>EXISTING TOWER(OML+TML(OLD+NEW)):  103.8 %
EXISTING TOWER(OML+TML(OLD)): 98.8 %</t>
  </si>
  <si>
    <t>STRENGTHENED TOWER(KSGM+MYTEL+TML(NEW)):  99.27 %</t>
  </si>
  <si>
    <t>Existing Tower: OML+TML+KSGM(NEW) = 59.5%</t>
  </si>
  <si>
    <t>1-01-09018-009</t>
  </si>
  <si>
    <t>MGW00506</t>
  </si>
  <si>
    <t xml:space="preserve">Existing on tower (Actual) - OML with 15.69 sqm/ MPT actual on tower -2.96 sqm - MPT previous colo apps - 3.09 Sqm  / TML - 3.47 sqm / Add 1 RRU </t>
  </si>
  <si>
    <t>1-01-10029-006</t>
  </si>
  <si>
    <t>MDY00358</t>
  </si>
  <si>
    <t xml:space="preserve">Existing on tower (Actual) - OML with7.41 sqm/ MPT-4.97 Sqm  - Add 1 RRU </t>
  </si>
  <si>
    <t>04-Feb-19</t>
  </si>
  <si>
    <t>DG cap expansion</t>
  </si>
  <si>
    <t>1-01-09022-002</t>
  </si>
  <si>
    <t>MGW00204</t>
  </si>
  <si>
    <t>Require to inform Ei Shwe Zin (NPT) before site visit.</t>
  </si>
  <si>
    <t xml:space="preserve">Existing on tower (Actual) - OML with 8.01 sqm/ MPT-4.20 Sqm /TML - 3.51 Sqm  - Add 1 RRU </t>
  </si>
  <si>
    <t xml:space="preserve">Existing on tower (Actual) - OML with 10.81 sqm/ MPT-3.07 Sqm / Op2 - 3.87 Sqm  - Add 1 RRU </t>
  </si>
  <si>
    <t>05-Feb-19</t>
  </si>
  <si>
    <t>11-Feb-19</t>
  </si>
  <si>
    <t>BB &amp; DG cap expansion</t>
  </si>
  <si>
    <t>1-01-15018-003</t>
  </si>
  <si>
    <t>SHN00063</t>
  </si>
  <si>
    <t>1-01-04002-007</t>
  </si>
  <si>
    <t>CHN00140</t>
  </si>
  <si>
    <t>27.5</t>
  </si>
  <si>
    <t>32.5</t>
  </si>
  <si>
    <t>1-01-09021-002</t>
  </si>
  <si>
    <t>MGW00156</t>
  </si>
  <si>
    <t>06-Feb-19</t>
  </si>
  <si>
    <t>Add rectifier modules DG cap expansion</t>
  </si>
  <si>
    <t>1-01-05027-007</t>
  </si>
  <si>
    <t>SGG00242</t>
  </si>
  <si>
    <t>16-Feb-19</t>
  </si>
  <si>
    <t xml:space="preserve">PE upgrade </t>
  </si>
  <si>
    <t>LTE_v1</t>
  </si>
  <si>
    <t>17-Feb-19</t>
  </si>
  <si>
    <t>1-01-05027-016</t>
  </si>
  <si>
    <t>SGG00226</t>
  </si>
  <si>
    <t>07-Feb-19</t>
  </si>
  <si>
    <t>18-Feb-19</t>
  </si>
  <si>
    <t>Existing on tower (Assume ) - TML 4.20 EPA / Amara Previous Colo apps - 3.097 EPA - Add 1 ODU</t>
  </si>
  <si>
    <t>Existing on tower (Assume ) - TML 4.26 EPA / Amara Previous Colo apps - 3.40 EPA - Add 1 ODU</t>
  </si>
  <si>
    <t>Existing on tower (Assume ) - TML 4.56EPA /Amara Previous Colo apps - 3.096 EPA - Increase Mw Dimesion and add 1 ODU</t>
  </si>
  <si>
    <t>Existing on tower (Assume ) - TML 4.10EPA / MPT - 3.58EPA , Amara Previous Colo Apps - 3.09 EPA ,  Add 1 ODU</t>
  </si>
  <si>
    <t>3-00-01014-001</t>
  </si>
  <si>
    <t>KCN00056</t>
  </si>
  <si>
    <t xml:space="preserve">Existing on tower (Actual) - MPT - 3.52 sqm - Add Mw and Odu as per the actual </t>
  </si>
  <si>
    <t>EXISTING TOWER (KSGM(OLD+NEW)):  80.03 %
EXISTING TOWER (KSGM(OLD)):  77.84 %</t>
  </si>
  <si>
    <t>ANMD_0236</t>
  </si>
  <si>
    <t>MDY00844</t>
  </si>
  <si>
    <t>Existing on tower (Assume ) - TML 4.20 EPA / MPT 4.82 EPA - Add MW and Odu</t>
  </si>
  <si>
    <t>1-01-15014-008</t>
  </si>
  <si>
    <t>SHN00175</t>
  </si>
  <si>
    <t xml:space="preserve">UPG </t>
  </si>
  <si>
    <t xml:space="preserve">Existing on tower (Actual) - OML 7.02 sqm / MPT - 2.91 sqm - Add 1 ODU </t>
  </si>
  <si>
    <t>EXISTING TOWER(OML+TML+KSGM(OLD+NEW)):  93.4 %
EXISTING TOWER(OML+TML+KSGM(OLD)):  93.4%</t>
  </si>
  <si>
    <t>ANMD_0220</t>
  </si>
  <si>
    <t>MDY00991</t>
  </si>
  <si>
    <t>15-Jan-19: Okay for upgrdation as MPT is already on-air from 28-Feb-17.</t>
  </si>
  <si>
    <t xml:space="preserve">Existing on tower (Assume ) - TML 7.70 EPA / OML 21.17 EPA  / MPT 6.63 EPA /Mytel Colo apps 4.074 EPA   -  Add MW and ODU </t>
  </si>
  <si>
    <t>Existing Tower: OML+TML+MYTEL+KSGM(OLD+NEW) = 66.4%</t>
  </si>
  <si>
    <t>1-01-05005-001</t>
  </si>
  <si>
    <t>SGG00218</t>
  </si>
  <si>
    <t>Existing on tower (Actual) - OML with 8.34 sqm / MPT - 5.86 / TML - 4.50 Sqm /add MW and Odu</t>
  </si>
  <si>
    <t>EXISTING TOWER(OML+TML+KSGM(OLD+NEW)): 104 %
EXISTING TOWER(OML+TML+KSGM(OLD)):100.9%</t>
  </si>
  <si>
    <t xml:space="preserve">DG EOL swap </t>
  </si>
  <si>
    <t>ANSG_0498</t>
  </si>
  <si>
    <t>SGG00255</t>
  </si>
  <si>
    <t>15-Jan-19: Okay for upgrdation as MPT is already on-air from 25-Feb-16.</t>
  </si>
  <si>
    <t xml:space="preserve">Existing on tower (Assume ) - TML 3.84 EPA / OML 13.18 EPA  / MPT 6.27 EPA  -  Change height within reserved area </t>
  </si>
  <si>
    <t>Strengthened Tower: OML+TML+MYTEL+KSGM(OLD+NEW) = 87.2% (Strengthening and Retrofitting are not completed 100% yet. However, it was considered in this analysis by following the design.)
% strengthening done 80%
% Retrofitting  done 70%</t>
  </si>
  <si>
    <t>1-01-05027-001</t>
  </si>
  <si>
    <t>SGG00562</t>
  </si>
  <si>
    <t>As per conversation with LL, site access ok to proceed.</t>
  </si>
  <si>
    <t xml:space="preserve">Existing on tower (Actual) - OML with 10.81 sqm / MPT - 2.50 sqm / TML - 3.37 Sqm / Change MW height </t>
  </si>
  <si>
    <t>EXISTING TOWER(OP1+OP4+OP3(OLD+NEW)): 72.2  %
EXISTING TOWER(OP1+OP4+OP3(OLD)):  72.2 %</t>
  </si>
  <si>
    <t>SHN00207</t>
  </si>
  <si>
    <t>15-Jan-19: Okay for upgrdation as MPT is already on-air from 26-Feb-16.</t>
  </si>
  <si>
    <t xml:space="preserve">Existing on tower (Assume ) - TML 3.93 EPA / MPT 3.74 EPA -Add RRU </t>
  </si>
  <si>
    <t>Existing Tower:TML+KSGM(OLD+NEW) = 63.8%</t>
  </si>
  <si>
    <t>Relocation</t>
  </si>
  <si>
    <t xml:space="preserve">Existing on tower (Actual) - OML with 11.02 sqm / MPT - 4.44 sqm / TML - 2.97 Sqm / Increase RF dimension and Decrease MW dimesion </t>
  </si>
  <si>
    <t>EXISTING TOWER(OML+TML+KSGM(OLD+NEW)):  103.2%
EXISTING TOWER(OML+TML+KSGM(OLD)):  99%</t>
  </si>
  <si>
    <t xml:space="preserve">Existing on tower (Actual) - OML with 7.72 sqm / MPT - 4.16 sqm / TML - 4.04 Sqm / Add 1 RRU </t>
  </si>
  <si>
    <t>EXISTING TOWER(OP1+OP4+OP3(OLD+NEW)): 99.4  %
EXISTING TOWER(OP1+OP4+OP3(OLD)):   99.4 %</t>
  </si>
  <si>
    <t>1-01-05007-010</t>
  </si>
  <si>
    <t>SGG00223</t>
  </si>
  <si>
    <t xml:space="preserve">Existing on tower (Actual) - OML with 9.47 sqm / MPT - 3.04 sqm / TML - 3.87 Sqm / Decrease MW dimesion and add RRU </t>
  </si>
  <si>
    <t>EXISTING TOWER(OP1+OP4+OP3(OLD+NEW)): 96.9  %
EXISTING TOWER(OP1+OP4+OP3(OLD)):  95.8  %</t>
  </si>
  <si>
    <t>1-01-11002-003</t>
  </si>
  <si>
    <t>MON00623</t>
  </si>
  <si>
    <t xml:space="preserve">Existing on tower (Actual) - OML with 9.75 sqm / MPT - 4.43 sqm / New Colocation </t>
  </si>
  <si>
    <t>WIND ZONE CHANGE:
Strengthened Tower(OML+MYTEL+KSGM(NEW)):  93.7  % (old wind zone 130 kPH)
Strengthened  Tower(OML+MYTEL+KSGM(NEW)): 138.4 % (new wind zone 160 kPH)
Estimated Strengthening(Tower steel weight: 3141.647kg ,Foundation Conc; weight 5.1m3 )</t>
  </si>
  <si>
    <t>1-01-06005-005</t>
  </si>
  <si>
    <t>TN0624</t>
  </si>
  <si>
    <t xml:space="preserve"> For VSAT ground space </t>
  </si>
  <si>
    <t>Commercial team to advise if VSAT foundation to be constructed by PAT or TML team .</t>
  </si>
  <si>
    <t>1-01-14007-015</t>
  </si>
  <si>
    <t>KCN00508</t>
  </si>
  <si>
    <t>Multisector</t>
  </si>
  <si>
    <t>41.5-46.5</t>
  </si>
  <si>
    <t>59-60</t>
  </si>
  <si>
    <t xml:space="preserve">Existing on tower (Actual) - OML with 9.01 sqm , MPT actual 4.93 sqm / Latest Colo Apps - 5.07 sqm / TML - 3.94 sqm - Increase 1 RF dimension , add RRU and change leg on MW </t>
  </si>
  <si>
    <t>Strengthened Tower(OML+TML+KSGM(OLD+NEW)): 93.36 %
Strengthened Tower(OML+TML+KSGM(OLD)): 93.22 %</t>
  </si>
  <si>
    <t>Existing on tower (Actual) - OML with 9.75 sqm , TML - 3.56 Sqm   -New Colocation</t>
  </si>
  <si>
    <t>EXISTING TOWER(OML+TML+KSGM(NEW)): 67.3%</t>
  </si>
  <si>
    <t>Rental increase of 100k/month was granted which took effect last 16-Dec-18 (400k-500k)</t>
  </si>
  <si>
    <t>Existing on tower (Actual) - OML with 6.41 sqm , MPT - 5.10 Sqm / Increase RF dimension and add RRU and ODU</t>
  </si>
  <si>
    <t>EXISTING TOWER(OML+KSGM(OLD+NEW)): 57.2 %
EXISTING TOWER(OML+KSGM(OLD)):59.4 %</t>
  </si>
  <si>
    <t>Existing on tower (Actual) - OML with 7.56 sqm , MPT - 3.92 Sqm , TML - 2.84 sqm / Increase RF dimension and add RRU and ODU</t>
  </si>
  <si>
    <t>Existing Tower: OML+TML+KSGM(OLD+NEW) = 99.5%
Existing Tower: OML+TML+KSGM(OLD) = 98.0%</t>
  </si>
  <si>
    <t xml:space="preserve">Review PE system capacity after actual site load confirmed </t>
  </si>
  <si>
    <t>1-01-05004-001</t>
  </si>
  <si>
    <t>SGG00208</t>
  </si>
  <si>
    <t xml:space="preserve">Existing on tower (Actual) - OML with 11.73 sqm , MPT - 4.16 Sqm , TML - 3.79 sqm -Change MW height ( 0.5m difference ) - add ODU </t>
  </si>
  <si>
    <t>EXISTING TOWER(OML+TML+KSGM(OLD+NEW)): 103.2 %
EXISTING TOWER(OML+TML+KSGM(OLD)):103.3%</t>
  </si>
  <si>
    <t xml:space="preserve">DG SOH to be confirmed </t>
  </si>
  <si>
    <t>Total EPA is 5.74+5 =10.74 &lt; 18 EPA Design - OK (Preliminaly Tower Assessment)</t>
  </si>
  <si>
    <t>EXISTING TOWER(OML+TML+KSGM(OLD+NEW)): 104.8 %
EXISTING TOWER(OML+TML+KSGM(OLD)):    104.8 %</t>
  </si>
  <si>
    <t>EXISTING TOWER(OML+TML+KSGM(OLD+NEW)): 100.9 %
EXISTING TOWER(OML+TML+KSGM(OLD)):97.7%</t>
  </si>
  <si>
    <t>Strengthened Tower(OP1+OP3(OLD+NEW)): 95.1 %
Strengthened Tower(OP1+OP3(OLD)): 95.1 %</t>
  </si>
  <si>
    <t>Existing Tower: OML+TML+KSGM (OLD+NEW) = 56.8%</t>
  </si>
  <si>
    <t>Rental increase of 50k/month was granted which took effect last 29-Nov-18 (250k-300k)</t>
  </si>
  <si>
    <t>New PE system I&amp;C in planning part of 41 site list</t>
  </si>
  <si>
    <t>EXISTING TOWER(OML+TML+KSGM(OLD+NEW)): 97.96 %
EXISTING TOWER(OML+TML+KSGM(OLD)):93.4 %</t>
  </si>
  <si>
    <t>New PE system I&amp;C in planning  part of 41 site list</t>
  </si>
  <si>
    <t>EXISTING TOWER(OML+TML+KSGM(OLD+NEW)): 99.7 %
EXISTING TOWER(OML+TML+KSGM(OLD)): 95.8  %</t>
  </si>
  <si>
    <t>15-Feb-19</t>
  </si>
  <si>
    <t>PE capacity upgrade required confrim available stock</t>
  </si>
  <si>
    <t>Strengthened Tower: OML+MYTEL+KSGM (OLD+NEW) = 120.6% (Estimate modification weight = 140 kg)
Strengthened Tower: OML+MYTEL+KSGM (OLD) = 120.6%
Additional 2x0.9MWs (UE) and KSGM will change bigger antennas and add feedlines</t>
  </si>
  <si>
    <t>DG cap expan</t>
  </si>
  <si>
    <t>PE systems upgrade required</t>
  </si>
  <si>
    <t>As above site ID duplicated</t>
  </si>
  <si>
    <t>2019-01-31</t>
  </si>
  <si>
    <t>Confirm site ID</t>
  </si>
  <si>
    <t xml:space="preserve">PE systems upgrade required - BB DG </t>
  </si>
  <si>
    <t>2-3 weeks</t>
  </si>
  <si>
    <t xml:space="preserve">Add rect modules </t>
  </si>
  <si>
    <t xml:space="preserve">10 hrs NS monitor BB  </t>
  </si>
  <si>
    <t>Confirm site load and PE condition no data available</t>
  </si>
  <si>
    <t>Add rectifier modules confirm DG SOH - DG NS</t>
  </si>
  <si>
    <t>DG SOH TBA</t>
  </si>
  <si>
    <t>Monitor BB performance DG 24/7 NS</t>
  </si>
  <si>
    <t xml:space="preserve">ACAY_0122 with MPT Colo App rev. 3 Reject because Foundation is unstable - As discussed specific case for your evaluation// email by mark //Wednesday, 9 January 2019 </t>
  </si>
  <si>
    <t>Monitor DG cap increase maybe required DG SOH TBA</t>
  </si>
  <si>
    <t>Tower Strengthening</t>
  </si>
  <si>
    <t>Foundation Retrofit</t>
  </si>
  <si>
    <t>No Strengthening</t>
  </si>
  <si>
    <t>No Retrofit</t>
  </si>
  <si>
    <t>EXISTING TOWER(OML+TML+KSGM(OLD+NEW)): 104.8  %
EXISTING TOWER(OML+TML+KSGM(OLD)):    104.8 %</t>
  </si>
  <si>
    <t>Strengthened Tower(OML+MYTEL+MPT(OLD+NEW)): 104.9 %
Strengthened Tower(OML+MYTEL+MPT(OLD)): 105.1%</t>
  </si>
  <si>
    <t>Strengthened Tower(OML+OP2+KSGM(OLD+NEW)): 89.7 %
Strengthened Tower(OML+OP2+KSGM(OLD)): 89.7 %</t>
  </si>
  <si>
    <t xml:space="preserve">Existing on tower (Actual) - OML with 10.64 sqm/ MPT-2.69Sqm/ Previous Colo Apps - 3.88 Sqm / TML - 3.51 Sqm  - Add 1 RRU </t>
  </si>
  <si>
    <t>EXISTING TOWER(OML+TML+KSGM(OLD+NEW)): 101.1%
EXISTING TOWER(OML+TML+KSGM(OLD)): 100.9 %</t>
  </si>
  <si>
    <t xml:space="preserve">Existing on tower (Actual) - OML with 7.45 sqm/ MPT-6.47 Sqm/ Add 1 RRU </t>
  </si>
  <si>
    <t>Existing Tower: OML+KSGM (OLD+NEW) = 96.1%
Existing Tower: OML+KSGM (OLD) = 97.2%</t>
  </si>
  <si>
    <t>Existing on tower (Actual) - OML with 8.79 sqm/ MPT- 4.58 Sqm/TML with 3.44 sqm /  Add RRU and ODU</t>
  </si>
  <si>
    <t>OK with Flag</t>
  </si>
  <si>
    <t>Strengthening Later</t>
  </si>
  <si>
    <t>WIND ZONE CHANGE:
Existing Tower: OML+TML+KSGM (OLD+NEW) = 115.0% (new wind zone 160 kPH) (Estimate steel modification weight = 700 kg)
Existing Tower: OML+TML+KSGM (OLD+NEW) = 74.8% (old wind zone 130 kPH)</t>
  </si>
  <si>
    <t>Existing on tower (Actual) - OML with 10.10 sqm/ MPT- 3.56 Sqm/TML with 5.40 sqm /  Add RRU and ODU</t>
  </si>
  <si>
    <t xml:space="preserve">Existing on tower (Actual) - OML with 8.04 sqm/ MPT- 2.39 Sqm/TML with 3.30 sqm /  Add 2 MW ( 0.6 ) , Add ODu and RRU </t>
  </si>
  <si>
    <t>Existing on tower (Actual) - OML with 6.88 sqm/ MPTactual - 2.97 / previous colo apps -  3.72 Sqm - Add RRU</t>
  </si>
  <si>
    <t>Existing on tower (Actual ) - OML with 8.29 sqm / MPTactual - 3.56 sqm / TML - 3.30 sqm - Add 1 RRU</t>
  </si>
  <si>
    <t>Existing Tower: TML+KSGM (OLD+NEW) = 46.7%</t>
  </si>
  <si>
    <t>22-Jan-2019, structural approved as per Rudy and Steve.</t>
  </si>
  <si>
    <t>Strengthening First</t>
  </si>
  <si>
    <t>1-01-09016-007</t>
  </si>
  <si>
    <t>MG0458</t>
  </si>
  <si>
    <t>Existing on tower (Actual) - OML with 9.47 sqm/ TML - 5.77 sqm / add new MW and ODU</t>
  </si>
  <si>
    <t>Existing Tower: OML+TML(OLD+NEW) = 98.4%
Existing Tower: OML+TML(OLD) = 96.8%</t>
  </si>
  <si>
    <t>05-Mar-19</t>
  </si>
  <si>
    <t xml:space="preserve">DG upgrade Add rect modules check breaker configuration </t>
  </si>
  <si>
    <t>EXISTING TOWER(OML+TML+KSGM(OLD+NEW)): 99.51  %
EXISTING TOWER(OML+TML+KSGM(OLD)):  99.34 %</t>
  </si>
  <si>
    <t>Existing Tower: OML+TML+KSGM (OLD+NEW) = 96.9%
Existing Tower: OML+TML+KSGM (OLD) = 90.9%</t>
  </si>
  <si>
    <t>Strengthened Tower(OML+TML+KSGM(OLD+NEW)): 78.35 %
Strengthened Tower(OML+TML+KSGM(OLD)):73.76 %</t>
  </si>
  <si>
    <t>EXISTING TOWER(OML+KSGM(OLD+NEW)):  70.06 %
EXISTING TOWER(OML+KSGM(OLD)): 70.02   %</t>
  </si>
  <si>
    <t>Existing Tower: OML+TML+KSGM (OLD+NEW) = 102.9%
Existing Tower: OML+TML+KSGM (OLD) = 102.9%</t>
  </si>
  <si>
    <t>Structuraling required RFI FC, 30 Apr 2019</t>
  </si>
  <si>
    <t>Date</t>
  </si>
  <si>
    <t>Colocation Request</t>
  </si>
  <si>
    <t>Tenant ID</t>
  </si>
  <si>
    <t>Rev</t>
  </si>
  <si>
    <t>Lower Space</t>
  </si>
  <si>
    <t>Average Power</t>
  </si>
  <si>
    <t>kW</t>
  </si>
  <si>
    <t>Upper Space</t>
  </si>
  <si>
    <t>Peak Power</t>
  </si>
  <si>
    <t>Field</t>
  </si>
  <si>
    <t>Colo Prevalidation - Handover Notice</t>
  </si>
  <si>
    <t>CAR</t>
  </si>
  <si>
    <t>Lookup</t>
  </si>
  <si>
    <t>Result</t>
  </si>
  <si>
    <t>Community Validation</t>
  </si>
  <si>
    <t>Tower Space Validation</t>
  </si>
  <si>
    <t>Structural Validation</t>
  </si>
  <si>
    <t>Power Validation</t>
  </si>
  <si>
    <t>Ground Space Validation</t>
  </si>
  <si>
    <t>Account Manager Review</t>
  </si>
  <si>
    <t>Planned RFI</t>
  </si>
  <si>
    <t>Commercial Manager Signature</t>
  </si>
  <si>
    <t>Anchor Tenant</t>
  </si>
  <si>
    <t>Landlord Validation</t>
  </si>
  <si>
    <t>01site_id</t>
  </si>
  <si>
    <t>Anchor</t>
  </si>
  <si>
    <t>ACRK_0023</t>
  </si>
  <si>
    <t>ANMD_0148</t>
  </si>
  <si>
    <t>ANSG_0363</t>
  </si>
  <si>
    <t>AYYN_0095</t>
  </si>
  <si>
    <t>AYYN_0148</t>
  </si>
  <si>
    <t>AYYN_0153</t>
  </si>
  <si>
    <t>AYYN_0363</t>
  </si>
  <si>
    <t>AYYN_0338</t>
  </si>
  <si>
    <t>ANMG_0024</t>
  </si>
  <si>
    <t>ASMO_0202</t>
  </si>
  <si>
    <t>ANMD_0088</t>
  </si>
  <si>
    <t>ANMD_0122</t>
  </si>
  <si>
    <t>AYYN_0318</t>
  </si>
  <si>
    <t>AYYN_0538</t>
  </si>
  <si>
    <t>AYYN_0485</t>
  </si>
  <si>
    <t>AYYN_0411</t>
  </si>
  <si>
    <t>AYYN_0533</t>
  </si>
  <si>
    <t>AYYN_0119</t>
  </si>
  <si>
    <t>AYYN_0456</t>
  </si>
  <si>
    <t>ACAY_0059</t>
  </si>
  <si>
    <t>AYYN_0081</t>
  </si>
  <si>
    <t>AYYN_0574</t>
  </si>
  <si>
    <t>AYYN_0321</t>
  </si>
  <si>
    <t>AYYN_0405</t>
  </si>
  <si>
    <t>AYYN_0552</t>
  </si>
  <si>
    <t>AYYN_0508</t>
  </si>
  <si>
    <t>ASMO_0150</t>
  </si>
  <si>
    <t>AYYN_0518</t>
  </si>
  <si>
    <t>AYYN_0474</t>
  </si>
  <si>
    <t>AYYN_0488</t>
  </si>
  <si>
    <t>AYYN_0544</t>
  </si>
  <si>
    <t>AYYN_0504</t>
  </si>
  <si>
    <t>ASMO_0164</t>
  </si>
  <si>
    <t>ACBA_0230</t>
  </si>
  <si>
    <t>ASMO_0172</t>
  </si>
  <si>
    <t>ACBA_0042</t>
  </si>
  <si>
    <t>ACBA_0035</t>
  </si>
  <si>
    <t>ACAY_0026</t>
  </si>
  <si>
    <t>ASMO_0261</t>
  </si>
  <si>
    <t>ANMD_0015</t>
  </si>
  <si>
    <t>ANMD_0012</t>
  </si>
  <si>
    <t>ANSG_0377</t>
  </si>
  <si>
    <t>ACAY_0146</t>
  </si>
  <si>
    <t>ANSG_0382</t>
  </si>
  <si>
    <t>ANMD_0018</t>
  </si>
  <si>
    <t>ANMD_0095</t>
  </si>
  <si>
    <t>ACAY_0163</t>
  </si>
  <si>
    <t>MAW2986</t>
  </si>
  <si>
    <t>ANMD_0170</t>
  </si>
  <si>
    <t>ANMG_0172</t>
  </si>
  <si>
    <t>ANMD_0098</t>
  </si>
  <si>
    <t>ANMD_0117</t>
  </si>
  <si>
    <t>ANMD_0005</t>
  </si>
  <si>
    <t>ANMD_0092</t>
  </si>
  <si>
    <t>ANMD_0168</t>
  </si>
  <si>
    <t>ANMD_0079</t>
  </si>
  <si>
    <t>ANMG_0019</t>
  </si>
  <si>
    <t>ANMG_0058</t>
  </si>
  <si>
    <t>ANMG_0122</t>
  </si>
  <si>
    <t>ANNP_0226</t>
  </si>
  <si>
    <t>ANMD_0093</t>
  </si>
  <si>
    <t>ANSG_0446</t>
  </si>
  <si>
    <t>AYYN_0441</t>
  </si>
  <si>
    <t>ANMD_0154</t>
  </si>
  <si>
    <t>ASMO_0253</t>
  </si>
  <si>
    <t>AYYN_0339</t>
  </si>
  <si>
    <t>ANMD_0078</t>
  </si>
  <si>
    <t>AYYN_0416</t>
  </si>
  <si>
    <t>ANMD_0181</t>
  </si>
  <si>
    <t>AYYN_0499</t>
  </si>
  <si>
    <t>ASMO_0254</t>
  </si>
  <si>
    <t>ACAY_0138</t>
  </si>
  <si>
    <t>ACBA_0256</t>
  </si>
  <si>
    <t>ANNP_0256</t>
  </si>
  <si>
    <t>AYW5001</t>
  </si>
  <si>
    <t>1-01-17008-001</t>
  </si>
  <si>
    <t>AYW5002</t>
  </si>
  <si>
    <t>1-01-17008-002</t>
  </si>
  <si>
    <t>AYW5003</t>
  </si>
  <si>
    <t>1-01-17008-003</t>
  </si>
  <si>
    <t>AYW5004</t>
  </si>
  <si>
    <t>1-01-17008-004</t>
  </si>
  <si>
    <t>AYW5005</t>
  </si>
  <si>
    <t>1-01-17008-005</t>
  </si>
  <si>
    <t>AYW5195</t>
  </si>
  <si>
    <t>SHW1257</t>
  </si>
  <si>
    <t>1-01-14007-006</t>
  </si>
  <si>
    <t>AYW5202</t>
  </si>
  <si>
    <t>1-01-17016-014</t>
  </si>
  <si>
    <t>BAW5029</t>
  </si>
  <si>
    <t>1-01-07001-005</t>
  </si>
  <si>
    <t>BAW5040</t>
  </si>
  <si>
    <t>1-01-07003-001</t>
  </si>
  <si>
    <t>BAW5041</t>
  </si>
  <si>
    <t>1-01-07003-002</t>
  </si>
  <si>
    <t>BAW5042</t>
  </si>
  <si>
    <t>1-01-07003-003</t>
  </si>
  <si>
    <t>BAW5043</t>
  </si>
  <si>
    <t>1-01-07003-004</t>
  </si>
  <si>
    <t>BAW5044</t>
  </si>
  <si>
    <t>1-01-07003-005</t>
  </si>
  <si>
    <t>BAW5045</t>
  </si>
  <si>
    <t>1-01-07003-006</t>
  </si>
  <si>
    <t>BAW5046</t>
  </si>
  <si>
    <t>1-01-07003-007</t>
  </si>
  <si>
    <t>BAW5047</t>
  </si>
  <si>
    <t>1-01-07003-008</t>
  </si>
  <si>
    <t>YAW4220</t>
  </si>
  <si>
    <t>YAW4314</t>
  </si>
  <si>
    <t>1-01-13028-001</t>
  </si>
  <si>
    <t>YAW4315</t>
  </si>
  <si>
    <t>1-01-13028-002</t>
  </si>
  <si>
    <t>YAW4316</t>
  </si>
  <si>
    <t>1-01-13028-003</t>
  </si>
  <si>
    <t>YAW4317</t>
  </si>
  <si>
    <t>1-01-13028-004</t>
  </si>
  <si>
    <t>YAW4318</t>
  </si>
  <si>
    <t>1-01-13028-005</t>
  </si>
  <si>
    <t>YAW4319</t>
  </si>
  <si>
    <t>1-01-13028-006</t>
  </si>
  <si>
    <t>YAW4322</t>
  </si>
  <si>
    <t>1-01-13026-001</t>
  </si>
  <si>
    <t>YAW4323</t>
  </si>
  <si>
    <t>1-01-13026-002</t>
  </si>
  <si>
    <t>BAW5066</t>
  </si>
  <si>
    <t>1-01-07002-002</t>
  </si>
  <si>
    <t>BAW5067</t>
  </si>
  <si>
    <t>1-01-07002-003</t>
  </si>
  <si>
    <t>BAW5068</t>
  </si>
  <si>
    <t>1-01-07002-004</t>
  </si>
  <si>
    <t>BAW5069</t>
  </si>
  <si>
    <t>1-01-07002-005</t>
  </si>
  <si>
    <t>BAW5070</t>
  </si>
  <si>
    <t>1-01-07002-006</t>
  </si>
  <si>
    <t>BAW5075</t>
  </si>
  <si>
    <t>1-01-07004-001</t>
  </si>
  <si>
    <t>YAW4324</t>
  </si>
  <si>
    <t>1-01-13026-003</t>
  </si>
  <si>
    <t>YAW4325</t>
  </si>
  <si>
    <t>1-01-13026-004</t>
  </si>
  <si>
    <t>YAW4326</t>
  </si>
  <si>
    <t>1-01-13026-005</t>
  </si>
  <si>
    <t>YAW4327</t>
  </si>
  <si>
    <t>1-01-13026-006</t>
  </si>
  <si>
    <t>YAW4328</t>
  </si>
  <si>
    <t>1-01-13029-001</t>
  </si>
  <si>
    <t>YAW4329</t>
  </si>
  <si>
    <t>1-01-13029-002</t>
  </si>
  <si>
    <t>YAW4330</t>
  </si>
  <si>
    <t>1-01-13029-003</t>
  </si>
  <si>
    <t>YAW4331</t>
  </si>
  <si>
    <t>1-01-13029-004</t>
  </si>
  <si>
    <t>YAW4332</t>
  </si>
  <si>
    <t>1-01-13029-005</t>
  </si>
  <si>
    <t>YAW4337</t>
  </si>
  <si>
    <t>1-01-13024-001</t>
  </si>
  <si>
    <t>YAW4338</t>
  </si>
  <si>
    <t>1-01-13024-002</t>
  </si>
  <si>
    <t>YAW4339</t>
  </si>
  <si>
    <t>1-01-13024-003</t>
  </si>
  <si>
    <t>YAW4357</t>
  </si>
  <si>
    <t>1-01-13023-001</t>
  </si>
  <si>
    <t>YAW4358</t>
  </si>
  <si>
    <t>1-01-13023-002</t>
  </si>
  <si>
    <t>YAW4362</t>
  </si>
  <si>
    <t>1-01-13025-001</t>
  </si>
  <si>
    <t>YAW4363</t>
  </si>
  <si>
    <t>1-01-13025-002</t>
  </si>
  <si>
    <t>YAW4364</t>
  </si>
  <si>
    <t>1-01-13025-003</t>
  </si>
  <si>
    <t>YAW4365</t>
  </si>
  <si>
    <t>1-01-13025-004</t>
  </si>
  <si>
    <t>YAW4366</t>
  </si>
  <si>
    <t>1-01-13025-005</t>
  </si>
  <si>
    <t>YAW4367</t>
  </si>
  <si>
    <t>1-01-13025-006</t>
  </si>
  <si>
    <t>YAW4368</t>
  </si>
  <si>
    <t>1-01-13025-007</t>
  </si>
  <si>
    <t>YAW4375</t>
  </si>
  <si>
    <t>1-01-13027-002</t>
  </si>
  <si>
    <t>MWW3230</t>
  </si>
  <si>
    <t>1-01-09012-007</t>
  </si>
  <si>
    <t>AYW5026</t>
  </si>
  <si>
    <t>1-01-17010-001</t>
  </si>
  <si>
    <t>AYW5040</t>
  </si>
  <si>
    <t>1-01-17006-006</t>
  </si>
  <si>
    <t>AYW5078</t>
  </si>
  <si>
    <t>1-01-17015-004</t>
  </si>
  <si>
    <t>AYW5111</t>
  </si>
  <si>
    <t>1-01-17002-001</t>
  </si>
  <si>
    <t>AYW5113</t>
  </si>
  <si>
    <t>1-01-17002-003</t>
  </si>
  <si>
    <t>AYW5139</t>
  </si>
  <si>
    <t>1-01-17001-001</t>
  </si>
  <si>
    <t>MAW2338</t>
  </si>
  <si>
    <t>1-01-10009-005</t>
  </si>
  <si>
    <t>AYW5144</t>
  </si>
  <si>
    <t>1-01-17001-006</t>
  </si>
  <si>
    <t>AYW5146</t>
  </si>
  <si>
    <t>1-01-17001-008</t>
  </si>
  <si>
    <t>AYW5148</t>
  </si>
  <si>
    <t>1-01-17001-010</t>
  </si>
  <si>
    <t>SHW1343</t>
  </si>
  <si>
    <t>1-01-15009-007</t>
  </si>
  <si>
    <t>AYW5150</t>
  </si>
  <si>
    <t>1-01-17001-012</t>
  </si>
  <si>
    <t>AYW5151</t>
  </si>
  <si>
    <t>1-01-17001-013</t>
  </si>
  <si>
    <t>AYW5203</t>
  </si>
  <si>
    <t>1-01-17006-007</t>
  </si>
  <si>
    <t>AYW5153</t>
  </si>
  <si>
    <t>1-01-17001-015</t>
  </si>
  <si>
    <t>AYW5158</t>
  </si>
  <si>
    <t>1-01-17003-001</t>
  </si>
  <si>
    <t>AYW5160</t>
  </si>
  <si>
    <t>1-01-17003-003</t>
  </si>
  <si>
    <t>AYW5162</t>
  </si>
  <si>
    <t>1-01-17003-005</t>
  </si>
  <si>
    <t>AYW5163</t>
  </si>
  <si>
    <t>1-01-17003-006</t>
  </si>
  <si>
    <t>AYW5164</t>
  </si>
  <si>
    <t>1-01-17003-007</t>
  </si>
  <si>
    <t>AYW5169</t>
  </si>
  <si>
    <t>1-01-17006-001</t>
  </si>
  <si>
    <t>AYW5171</t>
  </si>
  <si>
    <t>1-01-17006-003</t>
  </si>
  <si>
    <t>BAW5179</t>
  </si>
  <si>
    <t>1-01-08007-005</t>
  </si>
  <si>
    <t>KNW6045</t>
  </si>
  <si>
    <t>MAW2169</t>
  </si>
  <si>
    <t>1-01-10019-001</t>
  </si>
  <si>
    <t>MAW2170</t>
  </si>
  <si>
    <t>1-01-10019-002</t>
  </si>
  <si>
    <t>MAW2171</t>
  </si>
  <si>
    <t>1-01-10019-003</t>
  </si>
  <si>
    <t>MAW2177</t>
  </si>
  <si>
    <t>1-01-10018-003</t>
  </si>
  <si>
    <t>MAW2179</t>
  </si>
  <si>
    <t>1-01-10018-005</t>
  </si>
  <si>
    <t>BAW5063</t>
  </si>
  <si>
    <t>1-01-07005-001</t>
  </si>
  <si>
    <t>NPW2072</t>
  </si>
  <si>
    <t>1-01-18006-001</t>
  </si>
  <si>
    <t>NPW2101</t>
  </si>
  <si>
    <t>1-01-18003-001</t>
  </si>
  <si>
    <t>NPW2103</t>
  </si>
  <si>
    <t>1-01-18003-003</t>
  </si>
  <si>
    <t>NPW2104</t>
  </si>
  <si>
    <t>1-01-18003-004</t>
  </si>
  <si>
    <t>NPW2106</t>
  </si>
  <si>
    <t>1-01-18003-006</t>
  </si>
  <si>
    <t>YAW4001</t>
  </si>
  <si>
    <t>1-01-13005-003</t>
  </si>
  <si>
    <t>MAW2230</t>
  </si>
  <si>
    <t>1-01-10024-001</t>
  </si>
  <si>
    <t>MAW2238</t>
  </si>
  <si>
    <t>1-01-10023-001</t>
  </si>
  <si>
    <t>MAW2239</t>
  </si>
  <si>
    <t>1-01-10023-002</t>
  </si>
  <si>
    <t>AYW5041</t>
  </si>
  <si>
    <t>1-01-17009-001</t>
  </si>
  <si>
    <t>AYW5043</t>
  </si>
  <si>
    <t>1-01-17009-003</t>
  </si>
  <si>
    <t>AYW5044</t>
  </si>
  <si>
    <t>1-01-17022-001</t>
  </si>
  <si>
    <t>AYW5045</t>
  </si>
  <si>
    <t>1-01-17022-002</t>
  </si>
  <si>
    <t>AYW5047</t>
  </si>
  <si>
    <t>1-01-17022-004</t>
  </si>
  <si>
    <t>AYW5049</t>
  </si>
  <si>
    <t>1-01-17019-001</t>
  </si>
  <si>
    <t>AYW5050</t>
  </si>
  <si>
    <t>AYW5051</t>
  </si>
  <si>
    <t>AYW5052</t>
  </si>
  <si>
    <t>1-01-17019-004</t>
  </si>
  <si>
    <t>AYW5055</t>
  </si>
  <si>
    <t>1-01-17019-007</t>
  </si>
  <si>
    <t>AYW5056</t>
  </si>
  <si>
    <t>1-01-17019-008</t>
  </si>
  <si>
    <t>AYW5057</t>
  </si>
  <si>
    <t>1-01-17019-009</t>
  </si>
  <si>
    <t>AYW5075</t>
  </si>
  <si>
    <t>1-01-17015-001</t>
  </si>
  <si>
    <t>AYW5076</t>
  </si>
  <si>
    <t>1-01-17015-002</t>
  </si>
  <si>
    <t>BAW5107</t>
  </si>
  <si>
    <t>1-01-07011-001</t>
  </si>
  <si>
    <t>BAW5135</t>
  </si>
  <si>
    <t>1-01-07009-001</t>
  </si>
  <si>
    <t>NPW2107</t>
  </si>
  <si>
    <t>1-01-18003-007</t>
  </si>
  <si>
    <t>YAW4304</t>
  </si>
  <si>
    <t>1-01-13005-001</t>
  </si>
  <si>
    <t>YAW4305</t>
  </si>
  <si>
    <t>1-01-13005-002</t>
  </si>
  <si>
    <t>MAW2020</t>
  </si>
  <si>
    <t>1-01-10016-001</t>
  </si>
  <si>
    <t>MAW2109</t>
  </si>
  <si>
    <t>1-01-10020-006</t>
  </si>
  <si>
    <t>MAW2113</t>
  </si>
  <si>
    <t>1-01-10029-001</t>
  </si>
  <si>
    <t>MAW2114</t>
  </si>
  <si>
    <t>1-01-10029-002</t>
  </si>
  <si>
    <t>MAW2115</t>
  </si>
  <si>
    <t>1-01-10029-003</t>
  </si>
  <si>
    <t>MAW2116</t>
  </si>
  <si>
    <t>1-01-10029-004</t>
  </si>
  <si>
    <t>MAW2117</t>
  </si>
  <si>
    <t>AYW5079</t>
  </si>
  <si>
    <t>1-01-17016-001</t>
  </si>
  <si>
    <t>AYW5080</t>
  </si>
  <si>
    <t>1-01-17016-002</t>
  </si>
  <si>
    <t>AYW5081</t>
  </si>
  <si>
    <t>1-01-17016-003</t>
  </si>
  <si>
    <t>AYW5082</t>
  </si>
  <si>
    <t>AYW5083</t>
  </si>
  <si>
    <t>1-01-17016-005</t>
  </si>
  <si>
    <t>AYW5084</t>
  </si>
  <si>
    <t>1-01-17016-006</t>
  </si>
  <si>
    <t>AYW5085</t>
  </si>
  <si>
    <t>1-01-17016-007</t>
  </si>
  <si>
    <t>AYW5086</t>
  </si>
  <si>
    <t>1-01-17016-008</t>
  </si>
  <si>
    <t>AYW5123</t>
  </si>
  <si>
    <t>1-01-17005-001</t>
  </si>
  <si>
    <t>BAW5150</t>
  </si>
  <si>
    <t>1-01-07010-001</t>
  </si>
  <si>
    <t>KNW6021</t>
  </si>
  <si>
    <t>1-01-03004-001</t>
  </si>
  <si>
    <t>KNW6022</t>
  </si>
  <si>
    <t>1-01-03004-002</t>
  </si>
  <si>
    <t>KNW6023</t>
  </si>
  <si>
    <t>1-01-03004-003</t>
  </si>
  <si>
    <t>NPW2023</t>
  </si>
  <si>
    <t>1-01-18007-001</t>
  </si>
  <si>
    <t>YAW4374</t>
  </si>
  <si>
    <t>1-01-13027-001</t>
  </si>
  <si>
    <t>MAW2008</t>
  </si>
  <si>
    <t>1-01-10015-001</t>
  </si>
  <si>
    <t>MAW2138</t>
  </si>
  <si>
    <t>1-01-10030-001</t>
  </si>
  <si>
    <t>MAW2139</t>
  </si>
  <si>
    <t>1-01-10030-002</t>
  </si>
  <si>
    <t>MAW2140</t>
  </si>
  <si>
    <t>1-01-10030-003</t>
  </si>
  <si>
    <t>MAW2141</t>
  </si>
  <si>
    <t>1-01-10030-004</t>
  </si>
  <si>
    <t>MAW2142</t>
  </si>
  <si>
    <t>1-01-10030-005</t>
  </si>
  <si>
    <t>AYW5087</t>
  </si>
  <si>
    <t>1-01-17016-009</t>
  </si>
  <si>
    <t>AYW5088</t>
  </si>
  <si>
    <t>1-01-17016-010</t>
  </si>
  <si>
    <t>AYW5093</t>
  </si>
  <si>
    <t>1-01-17018-002</t>
  </si>
  <si>
    <t>AYW5094</t>
  </si>
  <si>
    <t>1-01-17018-003</t>
  </si>
  <si>
    <t>AYW5095</t>
  </si>
  <si>
    <t>1-01-17018-004</t>
  </si>
  <si>
    <t>AYW5096</t>
  </si>
  <si>
    <t>1-01-17018-005</t>
  </si>
  <si>
    <t>AYW5097</t>
  </si>
  <si>
    <t>1-01-17018-006</t>
  </si>
  <si>
    <t>AYW5098</t>
  </si>
  <si>
    <t>1-01-17014-001</t>
  </si>
  <si>
    <t>AYW5099</t>
  </si>
  <si>
    <t>1-01-17014-002</t>
  </si>
  <si>
    <t>AYW5100</t>
  </si>
  <si>
    <t>1-01-17014-003</t>
  </si>
  <si>
    <t>AYW5101</t>
  </si>
  <si>
    <t>1-01-17014-004</t>
  </si>
  <si>
    <t>AYW5102</t>
  </si>
  <si>
    <t>1-01-17014-005</t>
  </si>
  <si>
    <t>AYW5103</t>
  </si>
  <si>
    <t>AYW5104</t>
  </si>
  <si>
    <t>1-01-17017-002</t>
  </si>
  <si>
    <t>AYW5105</t>
  </si>
  <si>
    <t>1-01-17017-003</t>
  </si>
  <si>
    <t>AYW5106</t>
  </si>
  <si>
    <t>1-01-17017-004</t>
  </si>
  <si>
    <t>AYW5107</t>
  </si>
  <si>
    <t>1-01-17017-005</t>
  </si>
  <si>
    <t>AYW5112</t>
  </si>
  <si>
    <t>1-01-17002-002</t>
  </si>
  <si>
    <t>BAW5025</t>
  </si>
  <si>
    <t>1-01-07001-001</t>
  </si>
  <si>
    <t>BAW5026</t>
  </si>
  <si>
    <t>1-01-07001-002</t>
  </si>
  <si>
    <t>BAW5027</t>
  </si>
  <si>
    <t>1-01-07001-003</t>
  </si>
  <si>
    <t>BAW5028</t>
  </si>
  <si>
    <t>1-01-07001-004</t>
  </si>
  <si>
    <t>KNW6041</t>
  </si>
  <si>
    <t>1-01-03005-001</t>
  </si>
  <si>
    <t>SHW1198</t>
  </si>
  <si>
    <t>1-01-14003-001</t>
  </si>
  <si>
    <t>SHW1199</t>
  </si>
  <si>
    <t>SHW1200</t>
  </si>
  <si>
    <t>1-01-14003-003</t>
  </si>
  <si>
    <t>SHW1206</t>
  </si>
  <si>
    <t>1-01-14004-003</t>
  </si>
  <si>
    <t>YAW4218</t>
  </si>
  <si>
    <t>1-01-13004-001</t>
  </si>
  <si>
    <t>YAW4219</t>
  </si>
  <si>
    <t>YAW4228</t>
  </si>
  <si>
    <t>1-01-13003-001</t>
  </si>
  <si>
    <t>YAW4234</t>
  </si>
  <si>
    <t>1-01-07014-003</t>
  </si>
  <si>
    <t>YAW4235</t>
  </si>
  <si>
    <t>1-01-07014-004</t>
  </si>
  <si>
    <t>KCW0001</t>
  </si>
  <si>
    <t>1-01-01010-001</t>
  </si>
  <si>
    <t>KCW0002</t>
  </si>
  <si>
    <t>1-01-01010-002</t>
  </si>
  <si>
    <t>KCW0003</t>
  </si>
  <si>
    <t>KCW0004</t>
  </si>
  <si>
    <t>1-01-01010-004</t>
  </si>
  <si>
    <t>KCW0021</t>
  </si>
  <si>
    <t>1-01-01012-003</t>
  </si>
  <si>
    <t>AYW5204</t>
  </si>
  <si>
    <t>1-01-17024-006</t>
  </si>
  <si>
    <t>MOW6104</t>
  </si>
  <si>
    <t>1-01-11007-001</t>
  </si>
  <si>
    <t>AYW5131</t>
  </si>
  <si>
    <t>1-01-17004-003</t>
  </si>
  <si>
    <t>AYW5132</t>
  </si>
  <si>
    <t>1-01-17004-004</t>
  </si>
  <si>
    <t>AYW5133</t>
  </si>
  <si>
    <t>1-01-17004-005</t>
  </si>
  <si>
    <t>AYW5174</t>
  </si>
  <si>
    <t>1-01-17024-001</t>
  </si>
  <si>
    <t>AYW5175</t>
  </si>
  <si>
    <t>1-01-17024-002</t>
  </si>
  <si>
    <t>AYW5176</t>
  </si>
  <si>
    <t>1-01-17024-003</t>
  </si>
  <si>
    <t>AYW5177</t>
  </si>
  <si>
    <t>1-01-17024-004</t>
  </si>
  <si>
    <t>AYW5178</t>
  </si>
  <si>
    <t>1-01-17024-005</t>
  </si>
  <si>
    <t>AYW5179</t>
  </si>
  <si>
    <t>1-01-17026-001</t>
  </si>
  <si>
    <t>AYW5180</t>
  </si>
  <si>
    <t>1-01-17026-002</t>
  </si>
  <si>
    <t>AYW5181</t>
  </si>
  <si>
    <t>AYW5182</t>
  </si>
  <si>
    <t>1-01-17025-001</t>
  </si>
  <si>
    <t>AYW5183</t>
  </si>
  <si>
    <t>1-01-17025-002</t>
  </si>
  <si>
    <t>AYW5184</t>
  </si>
  <si>
    <t>1-01-17025-003</t>
  </si>
  <si>
    <t>AYW5185</t>
  </si>
  <si>
    <t>1-01-17019-010</t>
  </si>
  <si>
    <t>AYW5187</t>
  </si>
  <si>
    <t>1-01-17023-002</t>
  </si>
  <si>
    <t>SHW1213</t>
  </si>
  <si>
    <t>1-01-14005-002</t>
  </si>
  <si>
    <t>AYW5205</t>
  </si>
  <si>
    <t>1-01-17008-015</t>
  </si>
  <si>
    <t>SHW1216</t>
  </si>
  <si>
    <t>SHW1219</t>
  </si>
  <si>
    <t>1-01-14008-001</t>
  </si>
  <si>
    <t>SHW1221</t>
  </si>
  <si>
    <t>1-01-14002-002</t>
  </si>
  <si>
    <t>SHW1222</t>
  </si>
  <si>
    <t>1-01-14002-003</t>
  </si>
  <si>
    <t>SHW1223</t>
  </si>
  <si>
    <t>1-01-14002-004</t>
  </si>
  <si>
    <t>SHW1227</t>
  </si>
  <si>
    <t>1-01-14006-002</t>
  </si>
  <si>
    <t>SHW1228</t>
  </si>
  <si>
    <t>1-01-14006-003</t>
  </si>
  <si>
    <t>SHW1229</t>
  </si>
  <si>
    <t>1-01-14006-004</t>
  </si>
  <si>
    <t>SHW1236</t>
  </si>
  <si>
    <t>1-01-14009-005</t>
  </si>
  <si>
    <t>SHW1239</t>
  </si>
  <si>
    <t>1-01-14001-001</t>
  </si>
  <si>
    <t>SHW1242</t>
  </si>
  <si>
    <t>1-01-14001-004</t>
  </si>
  <si>
    <t>SHW1243</t>
  </si>
  <si>
    <t>SHW1244</t>
  </si>
  <si>
    <t>1-01-14001-006</t>
  </si>
  <si>
    <t>SHW1245</t>
  </si>
  <si>
    <t>1-01-14001-007</t>
  </si>
  <si>
    <t>SHW1246</t>
  </si>
  <si>
    <t>1-01-14001-008</t>
  </si>
  <si>
    <t>SHW1247</t>
  </si>
  <si>
    <t>1-01-14001-009</t>
  </si>
  <si>
    <t>SHW1249</t>
  </si>
  <si>
    <t>1-01-14007-001</t>
  </si>
  <si>
    <t>SHW1250</t>
  </si>
  <si>
    <t>SHW1251</t>
  </si>
  <si>
    <t>1-01-14007-003</t>
  </si>
  <si>
    <t>MAW2163</t>
  </si>
  <si>
    <t>1-01-10017-006</t>
  </si>
  <si>
    <t>MAW2172</t>
  </si>
  <si>
    <t>1-01-10021-001</t>
  </si>
  <si>
    <t>MAW2173</t>
  </si>
  <si>
    <t>1-01-10021-002</t>
  </si>
  <si>
    <t>MAW2174</t>
  </si>
  <si>
    <t>1-01-10021-003</t>
  </si>
  <si>
    <t>AYW5006</t>
  </si>
  <si>
    <t>1-01-17008-006</t>
  </si>
  <si>
    <t>AYW5007</t>
  </si>
  <si>
    <t>1-01-17008-007</t>
  </si>
  <si>
    <t>AYW5008</t>
  </si>
  <si>
    <t>1-01-17008-008</t>
  </si>
  <si>
    <t>AYW5009</t>
  </si>
  <si>
    <t>1-01-17008-009</t>
  </si>
  <si>
    <t>AYW5010</t>
  </si>
  <si>
    <t>1-01-17008-010</t>
  </si>
  <si>
    <t>AYW5011</t>
  </si>
  <si>
    <t>1-01-17008-011</t>
  </si>
  <si>
    <t>AYW5012</t>
  </si>
  <si>
    <t>1-01-17008-012</t>
  </si>
  <si>
    <t>AYW5015</t>
  </si>
  <si>
    <t>1-01-17013-001</t>
  </si>
  <si>
    <t>AYW5016</t>
  </si>
  <si>
    <t>1-01-17013-002</t>
  </si>
  <si>
    <t>AYW5017</t>
  </si>
  <si>
    <t>1-01-17013-003</t>
  </si>
  <si>
    <t>AYW5018</t>
  </si>
  <si>
    <t>1-01-17013-004</t>
  </si>
  <si>
    <t>AYW5019</t>
  </si>
  <si>
    <t>1-01-17013-005</t>
  </si>
  <si>
    <t>AYW5020</t>
  </si>
  <si>
    <t>1-01-17013-006</t>
  </si>
  <si>
    <t>AYW5021</t>
  </si>
  <si>
    <t>1-01-17012-001</t>
  </si>
  <si>
    <t>AYW5022</t>
  </si>
  <si>
    <t>1-01-17012-002</t>
  </si>
  <si>
    <t>AYW5024</t>
  </si>
  <si>
    <t>1-01-17012-003</t>
  </si>
  <si>
    <t>AYW5025</t>
  </si>
  <si>
    <t>1-01-17012-004</t>
  </si>
  <si>
    <t>AYW5027</t>
  </si>
  <si>
    <t>1-01-17010-002</t>
  </si>
  <si>
    <t>AYW5028</t>
  </si>
  <si>
    <t>1-01-17010-003</t>
  </si>
  <si>
    <t>AYW5029</t>
  </si>
  <si>
    <t>1-01-17010-004</t>
  </si>
  <si>
    <t>AYW5030</t>
  </si>
  <si>
    <t>1-01-17010-005</t>
  </si>
  <si>
    <t>AYW5031</t>
  </si>
  <si>
    <t>1-01-17011-001</t>
  </si>
  <si>
    <t>AYW5032</t>
  </si>
  <si>
    <t>1-01-17011-002</t>
  </si>
  <si>
    <t>AYW5033</t>
  </si>
  <si>
    <t>1-01-17011-003</t>
  </si>
  <si>
    <t>AYW5034</t>
  </si>
  <si>
    <t>1-01-17011-004</t>
  </si>
  <si>
    <t>AYW5035</t>
  </si>
  <si>
    <t>1-01-17011-005</t>
  </si>
  <si>
    <t>AYW5036</t>
  </si>
  <si>
    <t>AYW5189</t>
  </si>
  <si>
    <t>1-01-17023-004</t>
  </si>
  <si>
    <t>AYW5190</t>
  </si>
  <si>
    <t>1-01-17023-005</t>
  </si>
  <si>
    <t>AYW5191</t>
  </si>
  <si>
    <t>1-01-17023-006</t>
  </si>
  <si>
    <t>BAW5099</t>
  </si>
  <si>
    <t>1-01-08006-001</t>
  </si>
  <si>
    <t>NPW2102</t>
  </si>
  <si>
    <t>1-01-18003-002</t>
  </si>
  <si>
    <t>MAW2021</t>
  </si>
  <si>
    <t>1-01-10016-002</t>
  </si>
  <si>
    <t>AYW5037</t>
  </si>
  <si>
    <t>1-01-17011-007</t>
  </si>
  <si>
    <t>AYW5038</t>
  </si>
  <si>
    <t>1-01-17011-008</t>
  </si>
  <si>
    <t>AYW5042</t>
  </si>
  <si>
    <t>BAW5153</t>
  </si>
  <si>
    <t>BAW5154</t>
  </si>
  <si>
    <t>1-01-08008-002</t>
  </si>
  <si>
    <t>BAW5160</t>
  </si>
  <si>
    <t>1-01-08013-001</t>
  </si>
  <si>
    <t>BAW5161</t>
  </si>
  <si>
    <t>1-01-08013-002</t>
  </si>
  <si>
    <t>BAW5163</t>
  </si>
  <si>
    <t>1-01-08012-001</t>
  </si>
  <si>
    <t>BAW5171</t>
  </si>
  <si>
    <t>1-01-08007-001</t>
  </si>
  <si>
    <t>BAW5172</t>
  </si>
  <si>
    <t>1-01-08007-002</t>
  </si>
  <si>
    <t>SAW0217</t>
  </si>
  <si>
    <t>1-01-05001-001</t>
  </si>
  <si>
    <t>SAW0218</t>
  </si>
  <si>
    <t>1-01-05001-002</t>
  </si>
  <si>
    <t>MWW3188</t>
  </si>
  <si>
    <t>1-01-09014-004</t>
  </si>
  <si>
    <t>MWW3189</t>
  </si>
  <si>
    <t>1-01-09014-005</t>
  </si>
  <si>
    <t>MWW3190</t>
  </si>
  <si>
    <t>1-01-09014-006</t>
  </si>
  <si>
    <t>MWW3191</t>
  </si>
  <si>
    <t>1-01-09014-007</t>
  </si>
  <si>
    <t>MWW3195</t>
  </si>
  <si>
    <t>1-01-08009-001</t>
  </si>
  <si>
    <t>MWW3196</t>
  </si>
  <si>
    <t>MWW3198</t>
  </si>
  <si>
    <t>1-01-08009-004</t>
  </si>
  <si>
    <t>MWW3199</t>
  </si>
  <si>
    <t>1-01-08009-005</t>
  </si>
  <si>
    <t>MWW3200</t>
  </si>
  <si>
    <t>1-01-08009-006</t>
  </si>
  <si>
    <t>MWW3201</t>
  </si>
  <si>
    <t>1-01-08009-007</t>
  </si>
  <si>
    <t>MWW3202</t>
  </si>
  <si>
    <t>1-01-08009-008</t>
  </si>
  <si>
    <t>MWW3203</t>
  </si>
  <si>
    <t>1-01-08009-009</t>
  </si>
  <si>
    <t>MWW3213</t>
  </si>
  <si>
    <t>1-01-09017-001</t>
  </si>
  <si>
    <t>MWW3215</t>
  </si>
  <si>
    <t>1-01-09017-003</t>
  </si>
  <si>
    <t>MWW3216</t>
  </si>
  <si>
    <t>MWW3217</t>
  </si>
  <si>
    <t>1-01-09017-005</t>
  </si>
  <si>
    <t>MWW3187</t>
  </si>
  <si>
    <t>1-01-09014-003</t>
  </si>
  <si>
    <t>MWW3192</t>
  </si>
  <si>
    <t>1-01-09014-008</t>
  </si>
  <si>
    <t>MWW3197</t>
  </si>
  <si>
    <t>1-01-08009-003</t>
  </si>
  <si>
    <t>AYW5217</t>
  </si>
  <si>
    <t>1-01-17001-019</t>
  </si>
  <si>
    <t>SAW0220</t>
  </si>
  <si>
    <t>1-01-05001-004</t>
  </si>
  <si>
    <t>SAW0221</t>
  </si>
  <si>
    <t>1-01-05001-005</t>
  </si>
  <si>
    <t>SAW0222</t>
  </si>
  <si>
    <t>1-01-05001-006</t>
  </si>
  <si>
    <t>SAW0223</t>
  </si>
  <si>
    <t>1-01-05001-007</t>
  </si>
  <si>
    <t>AYW5046</t>
  </si>
  <si>
    <t>1-01-17022-003</t>
  </si>
  <si>
    <t>AYW5048</t>
  </si>
  <si>
    <t>1-01-17022-005</t>
  </si>
  <si>
    <t>AYW5053</t>
  </si>
  <si>
    <t>1-01-17019-005</t>
  </si>
  <si>
    <t>AYW5054</t>
  </si>
  <si>
    <t>AYW5064</t>
  </si>
  <si>
    <t>1-01-17021-001</t>
  </si>
  <si>
    <t>AYW5065</t>
  </si>
  <si>
    <t>1-01-17021-002</t>
  </si>
  <si>
    <t>AYW5066</t>
  </si>
  <si>
    <t>1-01-17021-003</t>
  </si>
  <si>
    <t>AYW5069</t>
  </si>
  <si>
    <t>1-01-17020-001</t>
  </si>
  <si>
    <t>AYW5070</t>
  </si>
  <si>
    <t>1-01-17020-002</t>
  </si>
  <si>
    <t>AYW5071</t>
  </si>
  <si>
    <t>1-01-17020-003</t>
  </si>
  <si>
    <t>AYW5073</t>
  </si>
  <si>
    <t>1-01-17020-005</t>
  </si>
  <si>
    <t>AYW5074</t>
  </si>
  <si>
    <t>1-01-17020-006</t>
  </si>
  <si>
    <t>AYW5077</t>
  </si>
  <si>
    <t>1-01-17015-003</t>
  </si>
  <si>
    <t>AYW5114</t>
  </si>
  <si>
    <t>1-01-17002-004</t>
  </si>
  <si>
    <t>AYW5118</t>
  </si>
  <si>
    <t>1-01-17007-001</t>
  </si>
  <si>
    <t>AYW5119</t>
  </si>
  <si>
    <t>1-01-17007-002</t>
  </si>
  <si>
    <t>AYW5120</t>
  </si>
  <si>
    <t>1-01-17007-003</t>
  </si>
  <si>
    <t>AYW5121</t>
  </si>
  <si>
    <t>1-01-17007-004</t>
  </si>
  <si>
    <t>AYW5122</t>
  </si>
  <si>
    <t>AYW5124</t>
  </si>
  <si>
    <t>1-01-17005-002</t>
  </si>
  <si>
    <t>AYW5125</t>
  </si>
  <si>
    <t>1-01-17005-003</t>
  </si>
  <si>
    <t>AYW5126</t>
  </si>
  <si>
    <t>1-01-17005-004</t>
  </si>
  <si>
    <t>AYW5127</t>
  </si>
  <si>
    <t>1-01-17005-005</t>
  </si>
  <si>
    <t>AYW5161</t>
  </si>
  <si>
    <t>1-01-17003-004</t>
  </si>
  <si>
    <t>AYW5170</t>
  </si>
  <si>
    <t>1-01-17006-002</t>
  </si>
  <si>
    <t>AYW5173</t>
  </si>
  <si>
    <t>1-01-17006-005</t>
  </si>
  <si>
    <t>MWW3036</t>
  </si>
  <si>
    <t>1-01-09001-001</t>
  </si>
  <si>
    <t>MWW3040</t>
  </si>
  <si>
    <t>1-01-09005-001</t>
  </si>
  <si>
    <t>MWW3041</t>
  </si>
  <si>
    <t>1-01-09005-002</t>
  </si>
  <si>
    <t>MWW3042</t>
  </si>
  <si>
    <t>1-01-09005-003</t>
  </si>
  <si>
    <t>MWW3044</t>
  </si>
  <si>
    <t>1-01-09006-001</t>
  </si>
  <si>
    <t>MWW3045</t>
  </si>
  <si>
    <t>1-01-09006-002</t>
  </si>
  <si>
    <t>MWW3046</t>
  </si>
  <si>
    <t>1-01-09006-003</t>
  </si>
  <si>
    <t>MWW3047</t>
  </si>
  <si>
    <t>1-01-09006-004</t>
  </si>
  <si>
    <t>MWW3048</t>
  </si>
  <si>
    <t>1-01-09006-005</t>
  </si>
  <si>
    <t>MWW3049</t>
  </si>
  <si>
    <t>1-01-09006-006</t>
  </si>
  <si>
    <t>MWW3050</t>
  </si>
  <si>
    <t>1-01-09006-007</t>
  </si>
  <si>
    <t>MWW3051</t>
  </si>
  <si>
    <t>1-01-09006-008</t>
  </si>
  <si>
    <t>MWW3052</t>
  </si>
  <si>
    <t>1-01-09006-009</t>
  </si>
  <si>
    <t>MWW3063</t>
  </si>
  <si>
    <t>1-01-09004-002</t>
  </si>
  <si>
    <t>MWW3064</t>
  </si>
  <si>
    <t>1-01-09004-003</t>
  </si>
  <si>
    <t>MWW3073</t>
  </si>
  <si>
    <t>1-01-09002-001</t>
  </si>
  <si>
    <t>MWW3079</t>
  </si>
  <si>
    <t>1-01-09007-001</t>
  </si>
  <si>
    <t>MWW3080</t>
  </si>
  <si>
    <t>1-01-09007-002</t>
  </si>
  <si>
    <t>MWW3081</t>
  </si>
  <si>
    <t>1-01-09007-003</t>
  </si>
  <si>
    <t>MWW3082</t>
  </si>
  <si>
    <t>1-01-09007-004</t>
  </si>
  <si>
    <t>MWW3084</t>
  </si>
  <si>
    <t>1-01-09007-006</t>
  </si>
  <si>
    <t>MWW3087</t>
  </si>
  <si>
    <t>1-01-09009-002</t>
  </si>
  <si>
    <t>MWW3088</t>
  </si>
  <si>
    <t>1-01-09009-003</t>
  </si>
  <si>
    <t>MWW3186</t>
  </si>
  <si>
    <t>1-01-09014-002</t>
  </si>
  <si>
    <t>MWW3218</t>
  </si>
  <si>
    <t>1-01-09017-006</t>
  </si>
  <si>
    <t>MOW6034</t>
  </si>
  <si>
    <t>1-01-11005-001</t>
  </si>
  <si>
    <t>MOW6035</t>
  </si>
  <si>
    <t>1-01-11005-002</t>
  </si>
  <si>
    <t>MOW6036</t>
  </si>
  <si>
    <t>1-01-11005-003</t>
  </si>
  <si>
    <t>BAW5078</t>
  </si>
  <si>
    <t>1-01-08003-001</t>
  </si>
  <si>
    <t>KNW6036</t>
  </si>
  <si>
    <t>MWW3012</t>
  </si>
  <si>
    <t>1-01-09024-003</t>
  </si>
  <si>
    <t>MWW3110</t>
  </si>
  <si>
    <t>1-01-09020-001</t>
  </si>
  <si>
    <t>MWW3111</t>
  </si>
  <si>
    <t>1-01-09020-002</t>
  </si>
  <si>
    <t>MWW3112</t>
  </si>
  <si>
    <t>1-01-09020-003</t>
  </si>
  <si>
    <t>MWW3113</t>
  </si>
  <si>
    <t>1-01-09020-004</t>
  </si>
  <si>
    <t>MWW3114</t>
  </si>
  <si>
    <t>1-01-09020-005</t>
  </si>
  <si>
    <t>MWW3115</t>
  </si>
  <si>
    <t>1-01-09020-006</t>
  </si>
  <si>
    <t>MWW3117</t>
  </si>
  <si>
    <t>1-01-09020-008</t>
  </si>
  <si>
    <t>MWW3118</t>
  </si>
  <si>
    <t>1-01-09020-009</t>
  </si>
  <si>
    <t>MWW3119</t>
  </si>
  <si>
    <t>1-01-09020-010</t>
  </si>
  <si>
    <t>MWW3120</t>
  </si>
  <si>
    <t>1-01-09020-011</t>
  </si>
  <si>
    <t>MWW3133</t>
  </si>
  <si>
    <t>1-01-09018-001</t>
  </si>
  <si>
    <t>KCW0203</t>
  </si>
  <si>
    <t>MWW3135</t>
  </si>
  <si>
    <t>1-01-09018-003</t>
  </si>
  <si>
    <t>MWW3136</t>
  </si>
  <si>
    <t>1-01-09018-004</t>
  </si>
  <si>
    <t>MWW3140</t>
  </si>
  <si>
    <t>1-01-09021-001</t>
  </si>
  <si>
    <t>MWW3141</t>
  </si>
  <si>
    <t>MWW3143</t>
  </si>
  <si>
    <t>1-01-09021-004</t>
  </si>
  <si>
    <t>MWW3149</t>
  </si>
  <si>
    <t>1-01-09022-001</t>
  </si>
  <si>
    <t>MWW3150</t>
  </si>
  <si>
    <t>MWW3151</t>
  </si>
  <si>
    <t>1-01-09022-003</t>
  </si>
  <si>
    <t>MWW3152</t>
  </si>
  <si>
    <t>1-01-09022-004</t>
  </si>
  <si>
    <t>MWW3153</t>
  </si>
  <si>
    <t>MWW3154</t>
  </si>
  <si>
    <t>1-01-09022-006</t>
  </si>
  <si>
    <t>MWW3223</t>
  </si>
  <si>
    <t>1-01-09012-001</t>
  </si>
  <si>
    <t>MWW3224</t>
  </si>
  <si>
    <t>1-01-09012-002</t>
  </si>
  <si>
    <t>MWW3225</t>
  </si>
  <si>
    <t>1-01-09012-003</t>
  </si>
  <si>
    <t>MWW3226</t>
  </si>
  <si>
    <t>1-01-09012-004</t>
  </si>
  <si>
    <t>MWW3227</t>
  </si>
  <si>
    <t>1-01-09012-005</t>
  </si>
  <si>
    <t>RAW3001</t>
  </si>
  <si>
    <t>1-01-12014-001</t>
  </si>
  <si>
    <t>RAW3002</t>
  </si>
  <si>
    <t>1-01-12014-002</t>
  </si>
  <si>
    <t>RAW3003</t>
  </si>
  <si>
    <t>1-01-12014-003</t>
  </si>
  <si>
    <t>RAW3004</t>
  </si>
  <si>
    <t>1-01-12014-004</t>
  </si>
  <si>
    <t>RAW3005</t>
  </si>
  <si>
    <t>1-01-12014-005</t>
  </si>
  <si>
    <t>RAW3006</t>
  </si>
  <si>
    <t>1-01-12014-006</t>
  </si>
  <si>
    <t>RAW3085</t>
  </si>
  <si>
    <t>1-01-12016-013</t>
  </si>
  <si>
    <t>RAW3025</t>
  </si>
  <si>
    <t>1-01-12008-001</t>
  </si>
  <si>
    <t>RAW3026</t>
  </si>
  <si>
    <t>1-01-12008-002</t>
  </si>
  <si>
    <t>RAW3029</t>
  </si>
  <si>
    <t>1-01-12005-001</t>
  </si>
  <si>
    <t>RAW3030</t>
  </si>
  <si>
    <t>1-01-12005-002</t>
  </si>
  <si>
    <t>RAW3031</t>
  </si>
  <si>
    <t>1-01-12005-003</t>
  </si>
  <si>
    <t>RAW3032</t>
  </si>
  <si>
    <t>1-01-12005-004</t>
  </si>
  <si>
    <t>RAW3033</t>
  </si>
  <si>
    <t>1-01-12005-005</t>
  </si>
  <si>
    <t>RAW3035</t>
  </si>
  <si>
    <t>1-01-12003-002</t>
  </si>
  <si>
    <t>RAW3036</t>
  </si>
  <si>
    <t>1-01-12006-001</t>
  </si>
  <si>
    <t>RAW3037</t>
  </si>
  <si>
    <t>1-01-12006-002</t>
  </si>
  <si>
    <t>RAW3038</t>
  </si>
  <si>
    <t>1-01-12007-001</t>
  </si>
  <si>
    <t>RAW3039</t>
  </si>
  <si>
    <t>1-01-12007-002</t>
  </si>
  <si>
    <t>RAW3040</t>
  </si>
  <si>
    <t>1-01-12007-003</t>
  </si>
  <si>
    <t>RAW3041</t>
  </si>
  <si>
    <t>1-01-12002-001</t>
  </si>
  <si>
    <t>RAW3042</t>
  </si>
  <si>
    <t>1-01-12002-002</t>
  </si>
  <si>
    <t>RAW3043</t>
  </si>
  <si>
    <t>1-01-12001-001</t>
  </si>
  <si>
    <t>RAW3044</t>
  </si>
  <si>
    <t>1-01-12001-002</t>
  </si>
  <si>
    <t>RAW3045</t>
  </si>
  <si>
    <t>1-01-12001-003</t>
  </si>
  <si>
    <t>RAW3046</t>
  </si>
  <si>
    <t>1-01-12001-004</t>
  </si>
  <si>
    <t>RAW3047</t>
  </si>
  <si>
    <t>1-01-12001-005</t>
  </si>
  <si>
    <t>RAW3048</t>
  </si>
  <si>
    <t>1-01-12001-006</t>
  </si>
  <si>
    <t>RAW3049</t>
  </si>
  <si>
    <t>1-01-12017-001</t>
  </si>
  <si>
    <t>RAW3050</t>
  </si>
  <si>
    <t>1-01-12017-002</t>
  </si>
  <si>
    <t>RAW3051</t>
  </si>
  <si>
    <t>1-01-12017-003</t>
  </si>
  <si>
    <t>RAW3052</t>
  </si>
  <si>
    <t>1-01-12017-004</t>
  </si>
  <si>
    <t>RAW3053</t>
  </si>
  <si>
    <t>1-01-12017-005</t>
  </si>
  <si>
    <t>RAW3054</t>
  </si>
  <si>
    <t>1-01-12017-006</t>
  </si>
  <si>
    <t>RAW3059</t>
  </si>
  <si>
    <t>1-01-12015-001</t>
  </si>
  <si>
    <t>RAW3060</t>
  </si>
  <si>
    <t>1-01-12015-002</t>
  </si>
  <si>
    <t>RAW3061</t>
  </si>
  <si>
    <t>1-01-12015-003</t>
  </si>
  <si>
    <t>RAW3062</t>
  </si>
  <si>
    <t>1-01-12015-004</t>
  </si>
  <si>
    <t>RAW3063</t>
  </si>
  <si>
    <t>1-01-12015-005</t>
  </si>
  <si>
    <t>RAW3064</t>
  </si>
  <si>
    <t>1-01-12015-006</t>
  </si>
  <si>
    <t>RAW3065</t>
  </si>
  <si>
    <t>1-01-12015-007</t>
  </si>
  <si>
    <t>RAW3066</t>
  </si>
  <si>
    <t>1-01-12015-008</t>
  </si>
  <si>
    <t>RAW3070</t>
  </si>
  <si>
    <t>1-01-12016-001</t>
  </si>
  <si>
    <t>RAW3071</t>
  </si>
  <si>
    <t>1-01-12016-002</t>
  </si>
  <si>
    <t>RAW3072</t>
  </si>
  <si>
    <t>1-01-12016-003</t>
  </si>
  <si>
    <t>RAW3073</t>
  </si>
  <si>
    <t>1-01-12016-004</t>
  </si>
  <si>
    <t>RAW3074</t>
  </si>
  <si>
    <t>1-01-12016-005</t>
  </si>
  <si>
    <t>SAW0189</t>
  </si>
  <si>
    <t>1-01-05003-001</t>
  </si>
  <si>
    <t>SAW0190</t>
  </si>
  <si>
    <t>1-01-05003-002</t>
  </si>
  <si>
    <t>SAW0191</t>
  </si>
  <si>
    <t>1-01-05003-003</t>
  </si>
  <si>
    <t>SAW0195</t>
  </si>
  <si>
    <t>1-01-05002-001</t>
  </si>
  <si>
    <t>SHW1204</t>
  </si>
  <si>
    <t>1-01-14004-001</t>
  </si>
  <si>
    <t>SHW1208</t>
  </si>
  <si>
    <t>1-01-14004-005</t>
  </si>
  <si>
    <t>AYW5207</t>
  </si>
  <si>
    <t>1-01-17008-016</t>
  </si>
  <si>
    <t>BAW5345</t>
  </si>
  <si>
    <t>1-01-07007-003</t>
  </si>
  <si>
    <t>AYW5209</t>
  </si>
  <si>
    <t>1-01-17025-004</t>
  </si>
  <si>
    <t>SHW1248</t>
  </si>
  <si>
    <t>MAW2153</t>
  </si>
  <si>
    <t>1-01-10020-001</t>
  </si>
  <si>
    <t>MAW2154</t>
  </si>
  <si>
    <t>1-01-10020-002</t>
  </si>
  <si>
    <t>MAW2155</t>
  </si>
  <si>
    <t>1-01-10020-003</t>
  </si>
  <si>
    <t>MAW2156</t>
  </si>
  <si>
    <t>1-01-10020-004</t>
  </si>
  <si>
    <t>MAW2157</t>
  </si>
  <si>
    <t>1-01-10020-005</t>
  </si>
  <si>
    <t>KCW0208</t>
  </si>
  <si>
    <t>1-01-01007-014</t>
  </si>
  <si>
    <t>MAW2159</t>
  </si>
  <si>
    <t>1-01-10017-002</t>
  </si>
  <si>
    <t>MAW2160</t>
  </si>
  <si>
    <t>1-01-10017-003</t>
  </si>
  <si>
    <t>MAW2161</t>
  </si>
  <si>
    <t>1-01-10017-004</t>
  </si>
  <si>
    <t>MAW2162</t>
  </si>
  <si>
    <t>1-01-10017-005</t>
  </si>
  <si>
    <t>MOW6040</t>
  </si>
  <si>
    <t>1-01-11004-001</t>
  </si>
  <si>
    <t>MOW6041</t>
  </si>
  <si>
    <t>1-01-11004-002</t>
  </si>
  <si>
    <t>MOW6042</t>
  </si>
  <si>
    <t>1-01-11004-003</t>
  </si>
  <si>
    <t>MOW6044</t>
  </si>
  <si>
    <t>1-01-11004-005</t>
  </si>
  <si>
    <t>MOW6045</t>
  </si>
  <si>
    <t>1-01-11004-006</t>
  </si>
  <si>
    <t>MOW6046</t>
  </si>
  <si>
    <t>1-01-11004-007</t>
  </si>
  <si>
    <t>MOW6051</t>
  </si>
  <si>
    <t>1-01-11006-001</t>
  </si>
  <si>
    <t>MOW6052</t>
  </si>
  <si>
    <t>1-01-11006-002</t>
  </si>
  <si>
    <t>MOW6053</t>
  </si>
  <si>
    <t>1-01-11006-003</t>
  </si>
  <si>
    <t>MOW6054</t>
  </si>
  <si>
    <t>1-01-11006-004</t>
  </si>
  <si>
    <t>MOW6055</t>
  </si>
  <si>
    <t>1-01-11006-005</t>
  </si>
  <si>
    <t>MOW6056</t>
  </si>
  <si>
    <t>1-01-11006-006</t>
  </si>
  <si>
    <t>MOW6057</t>
  </si>
  <si>
    <t>1-01-11006-007</t>
  </si>
  <si>
    <t>AYW5215</t>
  </si>
  <si>
    <t>1-01-17014-007</t>
  </si>
  <si>
    <t>AYW5141</t>
  </si>
  <si>
    <t>1-01-17001-003</t>
  </si>
  <si>
    <t>SHW1329</t>
  </si>
  <si>
    <t>1-01-14002-005</t>
  </si>
  <si>
    <t>AYW5143</t>
  </si>
  <si>
    <t>1-01-17001-005</t>
  </si>
  <si>
    <t>AYW5145</t>
  </si>
  <si>
    <t>1-01-17001-007</t>
  </si>
  <si>
    <t>AYW5147</t>
  </si>
  <si>
    <t>1-01-17001-009</t>
  </si>
  <si>
    <t>AYW5159</t>
  </si>
  <si>
    <t>1-01-17003-002</t>
  </si>
  <si>
    <t>AYW5165</t>
  </si>
  <si>
    <t>MWW3102</t>
  </si>
  <si>
    <t>1-01-09010-001</t>
  </si>
  <si>
    <t>MWW3104</t>
  </si>
  <si>
    <t>1-01-09010-003</t>
  </si>
  <si>
    <t>NPW2024</t>
  </si>
  <si>
    <t>1-01-18007-002</t>
  </si>
  <si>
    <t>RAW3075</t>
  </si>
  <si>
    <t>1-01-12016-006</t>
  </si>
  <si>
    <t>RAW3076</t>
  </si>
  <si>
    <t>1-01-12016-007</t>
  </si>
  <si>
    <t>RAW3077</t>
  </si>
  <si>
    <t>1-01-12016-008</t>
  </si>
  <si>
    <t>RAW3078</t>
  </si>
  <si>
    <t>1-01-12016-009</t>
  </si>
  <si>
    <t>RAW3079</t>
  </si>
  <si>
    <t>1-01-12016-010</t>
  </si>
  <si>
    <t>RAW3080</t>
  </si>
  <si>
    <t>SAW0127</t>
  </si>
  <si>
    <t>1-01-05014-001</t>
  </si>
  <si>
    <t>SAW0128</t>
  </si>
  <si>
    <t>1-01-05014-002</t>
  </si>
  <si>
    <t>SAW0129</t>
  </si>
  <si>
    <t>1-01-05013-001</t>
  </si>
  <si>
    <t>SAW0130</t>
  </si>
  <si>
    <t>1-01-05013-002</t>
  </si>
  <si>
    <t>SAW0131</t>
  </si>
  <si>
    <t>1-01-05013-003</t>
  </si>
  <si>
    <t>SAW0132</t>
  </si>
  <si>
    <t>1-01-05013-004</t>
  </si>
  <si>
    <t>SAW0133</t>
  </si>
  <si>
    <t>1-01-05013-005</t>
  </si>
  <si>
    <t>SAW0142</t>
  </si>
  <si>
    <t>1-01-05015-001</t>
  </si>
  <si>
    <t>SAW0143</t>
  </si>
  <si>
    <t>MAW2093</t>
  </si>
  <si>
    <t>1-01-10007-001</t>
  </si>
  <si>
    <t>MAW2118</t>
  </si>
  <si>
    <t>MAW2175</t>
  </si>
  <si>
    <t>MAW2176</t>
  </si>
  <si>
    <t>1-01-10018-002</t>
  </si>
  <si>
    <t>MAW2178</t>
  </si>
  <si>
    <t>1-01-10018-004</t>
  </si>
  <si>
    <t>MAW2186</t>
  </si>
  <si>
    <t>1-01-10022-001</t>
  </si>
  <si>
    <t>MAW2188</t>
  </si>
  <si>
    <t>1-01-10022-003</t>
  </si>
  <si>
    <t>MAW2190</t>
  </si>
  <si>
    <t>1-01-10009-001</t>
  </si>
  <si>
    <t>MAW2191</t>
  </si>
  <si>
    <t>1-01-10009-002</t>
  </si>
  <si>
    <t>MAW2192</t>
  </si>
  <si>
    <t>MAW2193</t>
  </si>
  <si>
    <t>1-01-10009-004</t>
  </si>
  <si>
    <t>MAW2194</t>
  </si>
  <si>
    <t>1-01-10011-001</t>
  </si>
  <si>
    <t>MAW2197</t>
  </si>
  <si>
    <t>1-01-10011-004</t>
  </si>
  <si>
    <t>SHW1371</t>
  </si>
  <si>
    <t>1-01-15011-008</t>
  </si>
  <si>
    <t>MAW2202</t>
  </si>
  <si>
    <t>1-01-10008-003</t>
  </si>
  <si>
    <t>MAW2203</t>
  </si>
  <si>
    <t>1-01-10008-004</t>
  </si>
  <si>
    <t>MAW2204</t>
  </si>
  <si>
    <t>1-01-10008-005</t>
  </si>
  <si>
    <t>MAW2213</t>
  </si>
  <si>
    <t>1-01-10010-001</t>
  </si>
  <si>
    <t>MAW2214</t>
  </si>
  <si>
    <t>1-01-10010-002</t>
  </si>
  <si>
    <t>MAW2215</t>
  </si>
  <si>
    <t>1-01-10010-003</t>
  </si>
  <si>
    <t>MAW2216</t>
  </si>
  <si>
    <t>1-01-10012-001</t>
  </si>
  <si>
    <t>MAW2187</t>
  </si>
  <si>
    <t>1-01-10022-002</t>
  </si>
  <si>
    <t>SAW0144</t>
  </si>
  <si>
    <t>1-01-05017-001</t>
  </si>
  <si>
    <t>SAW0159</t>
  </si>
  <si>
    <t>SAW0160</t>
  </si>
  <si>
    <t>1-01-05012-002</t>
  </si>
  <si>
    <t>SAW0161</t>
  </si>
  <si>
    <t>1-01-05012-003</t>
  </si>
  <si>
    <t>SAW0165</t>
  </si>
  <si>
    <t>1-01-05019-001</t>
  </si>
  <si>
    <t>SAW0166</t>
  </si>
  <si>
    <t>1-01-05019-002</t>
  </si>
  <si>
    <t>SAW0167</t>
  </si>
  <si>
    <t>1-01-05019-003</t>
  </si>
  <si>
    <t>SAW0168</t>
  </si>
  <si>
    <t>1-01-05019-004</t>
  </si>
  <si>
    <t>SAW0169</t>
  </si>
  <si>
    <t>1-01-05019-005</t>
  </si>
  <si>
    <t>SAW0170</t>
  </si>
  <si>
    <t>1-01-05019-006</t>
  </si>
  <si>
    <t>SAW0171</t>
  </si>
  <si>
    <t>1-01-05019-007</t>
  </si>
  <si>
    <t>SAW0175</t>
  </si>
  <si>
    <t>1-01-05018-001</t>
  </si>
  <si>
    <t>SAW0244</t>
  </si>
  <si>
    <t>1-01-05007-015</t>
  </si>
  <si>
    <t>SAW0245</t>
  </si>
  <si>
    <t>SAW0246</t>
  </si>
  <si>
    <t>SAW0247</t>
  </si>
  <si>
    <t>1-01-05005-003</t>
  </si>
  <si>
    <t>SAW0248</t>
  </si>
  <si>
    <t>1-01-05005-004</t>
  </si>
  <si>
    <t>SAW0249</t>
  </si>
  <si>
    <t>1-01-05005-005</t>
  </si>
  <si>
    <t>SAW0253</t>
  </si>
  <si>
    <t>SAW0254</t>
  </si>
  <si>
    <t>1-01-05004-002</t>
  </si>
  <si>
    <t>SAW0255</t>
  </si>
  <si>
    <t>1-01-05004-003</t>
  </si>
  <si>
    <t>SAW0256</t>
  </si>
  <si>
    <t>1-01-05004-004</t>
  </si>
  <si>
    <t>SAW0257</t>
  </si>
  <si>
    <t>1-01-05004-005</t>
  </si>
  <si>
    <t>SAW0258</t>
  </si>
  <si>
    <t>1-01-05004-006</t>
  </si>
  <si>
    <t>SAW0259</t>
  </si>
  <si>
    <t>1-01-05004-007</t>
  </si>
  <si>
    <t>SAW0279</t>
  </si>
  <si>
    <t>1-01-05006-001</t>
  </si>
  <si>
    <t>SAW0280</t>
  </si>
  <si>
    <t>1-01-05006-002</t>
  </si>
  <si>
    <t>MWW3086</t>
  </si>
  <si>
    <t>1-01-09009-001</t>
  </si>
  <si>
    <t>MWW3093</t>
  </si>
  <si>
    <t>MWW3094</t>
  </si>
  <si>
    <t>1-01-09008-002</t>
  </si>
  <si>
    <t>MWW3095</t>
  </si>
  <si>
    <t>1-01-09008-003</t>
  </si>
  <si>
    <t>MWW3103</t>
  </si>
  <si>
    <t>1-01-09010-002</t>
  </si>
  <si>
    <t>MWW3105</t>
  </si>
  <si>
    <t>1-01-09010-004</t>
  </si>
  <si>
    <t>MWW3107</t>
  </si>
  <si>
    <t>1-01-09011-001</t>
  </si>
  <si>
    <t>MWW3108</t>
  </si>
  <si>
    <t>1-01-09011-002</t>
  </si>
  <si>
    <t>MWW3269</t>
  </si>
  <si>
    <t>1-01-09016-013</t>
  </si>
  <si>
    <t>MWW3170</t>
  </si>
  <si>
    <t>1-01-09016-002</t>
  </si>
  <si>
    <t>MWW3171</t>
  </si>
  <si>
    <t>1-01-09016-003</t>
  </si>
  <si>
    <t>MWW3173</t>
  </si>
  <si>
    <t>1-01-09016-005</t>
  </si>
  <si>
    <t>MWW3175</t>
  </si>
  <si>
    <t>MWW3176</t>
  </si>
  <si>
    <t>1-01-09016-008</t>
  </si>
  <si>
    <t>MWW3177</t>
  </si>
  <si>
    <t>1-01-09016-009</t>
  </si>
  <si>
    <t>MWW3178</t>
  </si>
  <si>
    <t>1-01-09016-010</t>
  </si>
  <si>
    <t>MWW3179</t>
  </si>
  <si>
    <t>1-01-09016-011</t>
  </si>
  <si>
    <t>MWW3182</t>
  </si>
  <si>
    <t>1-01-09015-002</t>
  </si>
  <si>
    <t>MWW3183</t>
  </si>
  <si>
    <t>1-01-09015-003</t>
  </si>
  <si>
    <t>MWW3184</t>
  </si>
  <si>
    <t>1-01-09014-001</t>
  </si>
  <si>
    <t>SHW1376</t>
  </si>
  <si>
    <t>1-01-15001-016</t>
  </si>
  <si>
    <t>SHW1422</t>
  </si>
  <si>
    <t>1-01-14003-004</t>
  </si>
  <si>
    <t>MAW2207</t>
  </si>
  <si>
    <t>1-01-10008-008</t>
  </si>
  <si>
    <t>MAW2208</t>
  </si>
  <si>
    <t>1-01-10008-009</t>
  </si>
  <si>
    <t>MAW2209</t>
  </si>
  <si>
    <t>1-01-10008-010</t>
  </si>
  <si>
    <t>SAW0001</t>
  </si>
  <si>
    <t>1-01-05030-014</t>
  </si>
  <si>
    <t>SAW0034</t>
  </si>
  <si>
    <t>SAW0035</t>
  </si>
  <si>
    <t>SAW0036</t>
  </si>
  <si>
    <t>1-01-05027-003</t>
  </si>
  <si>
    <t>SAW0039</t>
  </si>
  <si>
    <t>SAW0040</t>
  </si>
  <si>
    <t>SAW0041</t>
  </si>
  <si>
    <t>SAW0042</t>
  </si>
  <si>
    <t>SAW0043</t>
  </si>
  <si>
    <t>1-01-05027-010</t>
  </si>
  <si>
    <t>SAW0044</t>
  </si>
  <si>
    <t>1-01-05027-011</t>
  </si>
  <si>
    <t>SAW0045</t>
  </si>
  <si>
    <t>1-01-05027-012</t>
  </si>
  <si>
    <t>CHW3010</t>
  </si>
  <si>
    <t>SAW0047</t>
  </si>
  <si>
    <t>1-01-05027-014</t>
  </si>
  <si>
    <t>SAW0049</t>
  </si>
  <si>
    <t>SAW0050</t>
  </si>
  <si>
    <t>1-01-05027-017</t>
  </si>
  <si>
    <t>SAW0056</t>
  </si>
  <si>
    <t>1-01-05028-004</t>
  </si>
  <si>
    <t>SAW0058</t>
  </si>
  <si>
    <t>1-01-05028-006</t>
  </si>
  <si>
    <t>SAW0059</t>
  </si>
  <si>
    <t>1-01-05028-007</t>
  </si>
  <si>
    <t>MAW2323</t>
  </si>
  <si>
    <t>1-01-10017-011</t>
  </si>
  <si>
    <t>MAW2324</t>
  </si>
  <si>
    <t>1-01-10017-012</t>
  </si>
  <si>
    <t>SAW0113</t>
  </si>
  <si>
    <t>1-01-05031-005</t>
  </si>
  <si>
    <t>SHW1303</t>
  </si>
  <si>
    <t>1-01-14001-012</t>
  </si>
  <si>
    <t>SHW1311</t>
  </si>
  <si>
    <t>1-01-15012-009</t>
  </si>
  <si>
    <t>SAW0290</t>
  </si>
  <si>
    <t>1-01-05030-001</t>
  </si>
  <si>
    <t>SAW0292</t>
  </si>
  <si>
    <t>1-01-05030-003</t>
  </si>
  <si>
    <t>SAW0293</t>
  </si>
  <si>
    <t>1-01-05030-004</t>
  </si>
  <si>
    <t>SAW0294</t>
  </si>
  <si>
    <t>1-01-05030-005</t>
  </si>
  <si>
    <t>SAW0295</t>
  </si>
  <si>
    <t>1-01-05030-006</t>
  </si>
  <si>
    <t>SHW1001</t>
  </si>
  <si>
    <t>1-01-16001-001</t>
  </si>
  <si>
    <t>SHW1003</t>
  </si>
  <si>
    <t>SHW1004</t>
  </si>
  <si>
    <t>1-01-16001-004</t>
  </si>
  <si>
    <t>SHW1007</t>
  </si>
  <si>
    <t>1-01-16001-007</t>
  </si>
  <si>
    <t>SHW1008</t>
  </si>
  <si>
    <t>1-01-16001-008</t>
  </si>
  <si>
    <t>SHW1010</t>
  </si>
  <si>
    <t>1-01-16001-010</t>
  </si>
  <si>
    <t>SHW1272</t>
  </si>
  <si>
    <t>SHW1018</t>
  </si>
  <si>
    <t>1-01-15014-001</t>
  </si>
  <si>
    <t>SHW1019</t>
  </si>
  <si>
    <t>1-01-15014-002</t>
  </si>
  <si>
    <t>SHW1021</t>
  </si>
  <si>
    <t>1-01-15014-004</t>
  </si>
  <si>
    <t>SHW1022</t>
  </si>
  <si>
    <t>1-01-15014-005</t>
  </si>
  <si>
    <t>SHW1024</t>
  </si>
  <si>
    <t>1-01-15014-007</t>
  </si>
  <si>
    <t>SHW1031</t>
  </si>
  <si>
    <t>SHW1035</t>
  </si>
  <si>
    <t>1-01-15012-006</t>
  </si>
  <si>
    <t>SHW1055</t>
  </si>
  <si>
    <t>1-01-15013-002</t>
  </si>
  <si>
    <t>SHW1061</t>
  </si>
  <si>
    <t>SHW1067</t>
  </si>
  <si>
    <t>1-01-15002-003</t>
  </si>
  <si>
    <t>MOW6154</t>
  </si>
  <si>
    <t>SHW1078</t>
  </si>
  <si>
    <t>1-01-15001-005</t>
  </si>
  <si>
    <t>SHW1079</t>
  </si>
  <si>
    <t>1-01-15001-006</t>
  </si>
  <si>
    <t>SHW1281</t>
  </si>
  <si>
    <t>SHW1094</t>
  </si>
  <si>
    <t>1-01-14014-001</t>
  </si>
  <si>
    <t>SHW1107</t>
  </si>
  <si>
    <t>1-01-14012-001</t>
  </si>
  <si>
    <t>SHW1108</t>
  </si>
  <si>
    <t>1-01-14012-002</t>
  </si>
  <si>
    <t>SHW1316</t>
  </si>
  <si>
    <t>1-01-15001-010</t>
  </si>
  <si>
    <t>SHW1120</t>
  </si>
  <si>
    <t>1-01-14011-003</t>
  </si>
  <si>
    <t>SHW1121</t>
  </si>
  <si>
    <t>1-01-14011-004</t>
  </si>
  <si>
    <t>SHW1258</t>
  </si>
  <si>
    <t>SHW1142</t>
  </si>
  <si>
    <t>SHW1143</t>
  </si>
  <si>
    <t>SHW1145</t>
  </si>
  <si>
    <t>1-01-14013-005</t>
  </si>
  <si>
    <t>SHW1155</t>
  </si>
  <si>
    <t>1-01-16007-003</t>
  </si>
  <si>
    <t>SHW1263</t>
  </si>
  <si>
    <t>1-01-14007-010</t>
  </si>
  <si>
    <t>SHW1167</t>
  </si>
  <si>
    <t>SHW1181</t>
  </si>
  <si>
    <t>1-01-15009-003</t>
  </si>
  <si>
    <t>SHW1190</t>
  </si>
  <si>
    <t>SHW1192</t>
  </si>
  <si>
    <t>1-01-16010-002</t>
  </si>
  <si>
    <t>SHW1194</t>
  </si>
  <si>
    <t>1-01-16009-002</t>
  </si>
  <si>
    <t>SHW1195</t>
  </si>
  <si>
    <t>1-01-16009-003</t>
  </si>
  <si>
    <t>SHW1196</t>
  </si>
  <si>
    <t>1-01-16009-004</t>
  </si>
  <si>
    <t>SHW1285</t>
  </si>
  <si>
    <t>1-01-14007-018</t>
  </si>
  <si>
    <t>MWW3062</t>
  </si>
  <si>
    <t>1-01-09004-001</t>
  </si>
  <si>
    <t>KCW0085</t>
  </si>
  <si>
    <t>1-01-01001-002</t>
  </si>
  <si>
    <t>KCW0089</t>
  </si>
  <si>
    <t>1-01-01001-006</t>
  </si>
  <si>
    <t>KCW0090</t>
  </si>
  <si>
    <t>1-01-01001-007</t>
  </si>
  <si>
    <t>KCW0091</t>
  </si>
  <si>
    <t>1-01-01001-008</t>
  </si>
  <si>
    <t>SHW1465</t>
  </si>
  <si>
    <t>1-01-14001-021</t>
  </si>
  <si>
    <t>SHW1466</t>
  </si>
  <si>
    <t>1-01-14001-022</t>
  </si>
  <si>
    <t>KCW0120</t>
  </si>
  <si>
    <t>1-01-01002-001</t>
  </si>
  <si>
    <t>KCW0126</t>
  </si>
  <si>
    <t>KCW0127</t>
  </si>
  <si>
    <t>KCW0129</t>
  </si>
  <si>
    <t>1-01-01002-010</t>
  </si>
  <si>
    <t>KCW0131</t>
  </si>
  <si>
    <t>1-01-01002-012</t>
  </si>
  <si>
    <t>SAW0305</t>
  </si>
  <si>
    <t>1-01-05030-011</t>
  </si>
  <si>
    <t>MWWxxxx</t>
  </si>
  <si>
    <t>1-01-09023-002</t>
  </si>
  <si>
    <t>SAW0053</t>
  </si>
  <si>
    <t>1-01-05028-001</t>
  </si>
  <si>
    <t>SAW0057</t>
  </si>
  <si>
    <t>1-01-05028-005</t>
  </si>
  <si>
    <t>SAW0065</t>
  </si>
  <si>
    <t>1-01-05029-001</t>
  </si>
  <si>
    <t>SAW0066</t>
  </si>
  <si>
    <t>1-01-05029-002</t>
  </si>
  <si>
    <t>SAW0067</t>
  </si>
  <si>
    <t>1-01-05029-003</t>
  </si>
  <si>
    <t>SAW0269</t>
  </si>
  <si>
    <t>1-01-05011-001</t>
  </si>
  <si>
    <t>SAW0270</t>
  </si>
  <si>
    <t>1-01-05011-002</t>
  </si>
  <si>
    <t>SAW0284</t>
  </si>
  <si>
    <t>1-01-05009-002</t>
  </si>
  <si>
    <t>SAW0297</t>
  </si>
  <si>
    <t>1-01-05030-008</t>
  </si>
  <si>
    <t>SHW1033</t>
  </si>
  <si>
    <t>SHW1036</t>
  </si>
  <si>
    <t>1-01-15012-007</t>
  </si>
  <si>
    <t>SHW1037</t>
  </si>
  <si>
    <t>1-01-15012-008</t>
  </si>
  <si>
    <t>SHW1054</t>
  </si>
  <si>
    <t>SHW1056</t>
  </si>
  <si>
    <t>1-01-15013-003</t>
  </si>
  <si>
    <t>SHW1057</t>
  </si>
  <si>
    <t>SHW1058</t>
  </si>
  <si>
    <t>1-01-15013-005</t>
  </si>
  <si>
    <t>SHW1059</t>
  </si>
  <si>
    <t>1-01-15013-006</t>
  </si>
  <si>
    <t>SHW1060</t>
  </si>
  <si>
    <t>SHW1271</t>
  </si>
  <si>
    <t>SHW1065</t>
  </si>
  <si>
    <t>1-01-15002-001</t>
  </si>
  <si>
    <t>SHW1066</t>
  </si>
  <si>
    <t>SHW1074</t>
  </si>
  <si>
    <t>1-01-15001-001</t>
  </si>
  <si>
    <t>SHW1080</t>
  </si>
  <si>
    <t>1-01-15001-007</t>
  </si>
  <si>
    <t>SHW1321</t>
  </si>
  <si>
    <t>1-01-15001-012</t>
  </si>
  <si>
    <t>SHW1172</t>
  </si>
  <si>
    <t>SHW1173</t>
  </si>
  <si>
    <t>1-01-15011-002</t>
  </si>
  <si>
    <t>SHW1174</t>
  </si>
  <si>
    <t>1-01-15011-003</t>
  </si>
  <si>
    <t>SHW1175</t>
  </si>
  <si>
    <t>1-01-15011-004</t>
  </si>
  <si>
    <t>SHW1179</t>
  </si>
  <si>
    <t>1-01-15009-001</t>
  </si>
  <si>
    <t>SHW1182</t>
  </si>
  <si>
    <t>1-01-15009-004</t>
  </si>
  <si>
    <t>SHW1184</t>
  </si>
  <si>
    <t>SHW1189</t>
  </si>
  <si>
    <t>1-01-15010-001</t>
  </si>
  <si>
    <t>MOW6155</t>
  </si>
  <si>
    <t>1-01-11009-004</t>
  </si>
  <si>
    <t>TAW6002</t>
  </si>
  <si>
    <t>TAW6003</t>
  </si>
  <si>
    <t>1-01-06001-003</t>
  </si>
  <si>
    <t>TAW6004</t>
  </si>
  <si>
    <t>1-01-06001-004</t>
  </si>
  <si>
    <t>TAW6005</t>
  </si>
  <si>
    <t>1-01-06001-005</t>
  </si>
  <si>
    <t>SHW1322</t>
  </si>
  <si>
    <t>1-01-15001-013</t>
  </si>
  <si>
    <t>TAW6007</t>
  </si>
  <si>
    <t>1-01-06001-006</t>
  </si>
  <si>
    <t>TAW6008</t>
  </si>
  <si>
    <t>1-01-06001-007</t>
  </si>
  <si>
    <t>TAW6014</t>
  </si>
  <si>
    <t>1-01-06002-001</t>
  </si>
  <si>
    <t>TAW6015</t>
  </si>
  <si>
    <t>1-01-06002-002</t>
  </si>
  <si>
    <t>TAW6016</t>
  </si>
  <si>
    <t>TAW6017</t>
  </si>
  <si>
    <t>1-01-06002-004</t>
  </si>
  <si>
    <t>TAW6020</t>
  </si>
  <si>
    <t>1-01-06003-001</t>
  </si>
  <si>
    <t>TAW6021</t>
  </si>
  <si>
    <t>1-01-06003-002</t>
  </si>
  <si>
    <t>TAW6022</t>
  </si>
  <si>
    <t>1-01-06003-003</t>
  </si>
  <si>
    <t>TAW6023</t>
  </si>
  <si>
    <t>1-01-06003-004</t>
  </si>
  <si>
    <t>TAW6024</t>
  </si>
  <si>
    <t>1-01-06003-005</t>
  </si>
  <si>
    <t>TAW6026</t>
  </si>
  <si>
    <t>1-01-06003-007</t>
  </si>
  <si>
    <t>TAW6027</t>
  </si>
  <si>
    <t>1-01-06004-001</t>
  </si>
  <si>
    <t>TAW6029</t>
  </si>
  <si>
    <t>1-01-06004-003</t>
  </si>
  <si>
    <t>TAW6030</t>
  </si>
  <si>
    <t>1-01-06004-004</t>
  </si>
  <si>
    <t>TAW6031</t>
  </si>
  <si>
    <t>1-01-06004-005</t>
  </si>
  <si>
    <t>TAW6032</t>
  </si>
  <si>
    <t>1-01-06004-006</t>
  </si>
  <si>
    <t>TAW6033</t>
  </si>
  <si>
    <t>1-01-06004-007</t>
  </si>
  <si>
    <t>TAW6096</t>
  </si>
  <si>
    <t>1-01-06008-004</t>
  </si>
  <si>
    <t>TAW6062</t>
  </si>
  <si>
    <t>1-01-06005-002</t>
  </si>
  <si>
    <t>TAW6063</t>
  </si>
  <si>
    <t>1-01-06005-003</t>
  </si>
  <si>
    <t>TAW6064</t>
  </si>
  <si>
    <t>1-01-06005-004</t>
  </si>
  <si>
    <t>TAW6065</t>
  </si>
  <si>
    <t>TAW6066</t>
  </si>
  <si>
    <t>1-01-06005-006</t>
  </si>
  <si>
    <t>TAW6067</t>
  </si>
  <si>
    <t>1-01-06005-007</t>
  </si>
  <si>
    <t>TAW6068</t>
  </si>
  <si>
    <t>1-01-06005-008</t>
  </si>
  <si>
    <t>TAW6069</t>
  </si>
  <si>
    <t>1-01-06005-009</t>
  </si>
  <si>
    <t>TAW6070</t>
  </si>
  <si>
    <t>1-01-06005-010</t>
  </si>
  <si>
    <t>TAW6071</t>
  </si>
  <si>
    <t>1-01-06005-011</t>
  </si>
  <si>
    <t>TAW6072</t>
  </si>
  <si>
    <t>1-01-06005-012</t>
  </si>
  <si>
    <t>TAW6073</t>
  </si>
  <si>
    <t>1-01-06005-013</t>
  </si>
  <si>
    <t>TAW6074</t>
  </si>
  <si>
    <t>1-01-06005-014</t>
  </si>
  <si>
    <t>TAW6082</t>
  </si>
  <si>
    <t>1-01-06007-001</t>
  </si>
  <si>
    <t>TAW6097</t>
  </si>
  <si>
    <t>1-01-06008-005</t>
  </si>
  <si>
    <t>TAW6093</t>
  </si>
  <si>
    <t>1-01-06008-003</t>
  </si>
  <si>
    <t>TAW6087</t>
  </si>
  <si>
    <t>MAW2195</t>
  </si>
  <si>
    <t>1-01-10011-002</t>
  </si>
  <si>
    <t>MAW2218</t>
  </si>
  <si>
    <t>1-01-10012-003</t>
  </si>
  <si>
    <t>MAW2243</t>
  </si>
  <si>
    <t>1-01-10023-005</t>
  </si>
  <si>
    <t>CHW3002</t>
  </si>
  <si>
    <t>1-01-04001-002</t>
  </si>
  <si>
    <t>CHW3003</t>
  </si>
  <si>
    <t>1-01-04001-003</t>
  </si>
  <si>
    <t>CHW3008</t>
  </si>
  <si>
    <t>1-01-04002-003</t>
  </si>
  <si>
    <t>SAW0046</t>
  </si>
  <si>
    <t>1-01-05027-013</t>
  </si>
  <si>
    <t>CHW3011</t>
  </si>
  <si>
    <t>1-01-04002-005</t>
  </si>
  <si>
    <t>CHW3012</t>
  </si>
  <si>
    <t>1-01-04002-006</t>
  </si>
  <si>
    <t>RAW3084</t>
  </si>
  <si>
    <t>1-01-12016-012</t>
  </si>
  <si>
    <t>AYW5168</t>
  </si>
  <si>
    <t>1-01-17003-011</t>
  </si>
  <si>
    <t>CHW3036</t>
  </si>
  <si>
    <t>1-01-04007-005</t>
  </si>
  <si>
    <t>CHW3035</t>
  </si>
  <si>
    <t>3-00-04006-001</t>
  </si>
  <si>
    <t>KYW6010</t>
  </si>
  <si>
    <t>1-01-02002-002</t>
  </si>
  <si>
    <t>KYW6011</t>
  </si>
  <si>
    <t>1-01-02002-003</t>
  </si>
  <si>
    <t>KYW6012</t>
  </si>
  <si>
    <t>1-01-02002-004</t>
  </si>
  <si>
    <t>KYW6014</t>
  </si>
  <si>
    <t>1-01-02003-002</t>
  </si>
  <si>
    <t>KYW6015</t>
  </si>
  <si>
    <t>1-01-02001-001</t>
  </si>
  <si>
    <t>KYW6017</t>
  </si>
  <si>
    <t>1-01-02001-003</t>
  </si>
  <si>
    <t>KYW6018</t>
  </si>
  <si>
    <t>1-01-02001-004</t>
  </si>
  <si>
    <t>KYW6019</t>
  </si>
  <si>
    <t>1-01-02001-005</t>
  </si>
  <si>
    <t>KYW6020</t>
  </si>
  <si>
    <t>1-01-02001-006</t>
  </si>
  <si>
    <t>MWW3002</t>
  </si>
  <si>
    <t>3-00-09023-001</t>
  </si>
  <si>
    <t>SAW0070</t>
  </si>
  <si>
    <t>1-01-05023-001</t>
  </si>
  <si>
    <t>SAW0071</t>
  </si>
  <si>
    <t>1-01-05023-002</t>
  </si>
  <si>
    <t>SAW0072</t>
  </si>
  <si>
    <t>1-01-05023-003</t>
  </si>
  <si>
    <t>SAW0073</t>
  </si>
  <si>
    <t>1-01-05023-004</t>
  </si>
  <si>
    <t>SAW0091</t>
  </si>
  <si>
    <t>1-01-05024-001</t>
  </si>
  <si>
    <t>SAW0094</t>
  </si>
  <si>
    <t>1-01-05026-001</t>
  </si>
  <si>
    <t>SAW0095</t>
  </si>
  <si>
    <t>1-01-05026-002</t>
  </si>
  <si>
    <t>SAW0098</t>
  </si>
  <si>
    <t>1-01-05022-001</t>
  </si>
  <si>
    <t>SAW0100</t>
  </si>
  <si>
    <t>1-01-05022-003</t>
  </si>
  <si>
    <t>SAW0101</t>
  </si>
  <si>
    <t>1-01-05022-004</t>
  </si>
  <si>
    <t>SAW0102</t>
  </si>
  <si>
    <t>1-01-05022-005</t>
  </si>
  <si>
    <t>SAW0104</t>
  </si>
  <si>
    <t>1-01-05025-002</t>
  </si>
  <si>
    <t>SAW0105</t>
  </si>
  <si>
    <t>1-01-05025-003</t>
  </si>
  <si>
    <t>SAW0176</t>
  </si>
  <si>
    <t>1-01-05018-002</t>
  </si>
  <si>
    <t>SAW0177</t>
  </si>
  <si>
    <t>1-01-05018-003</t>
  </si>
  <si>
    <t>SAW0178</t>
  </si>
  <si>
    <t>1-01-05018-004</t>
  </si>
  <si>
    <t>SAW0179</t>
  </si>
  <si>
    <t>SAW0180</t>
  </si>
  <si>
    <t>SAW0183</t>
  </si>
  <si>
    <t>1-01-05016-001</t>
  </si>
  <si>
    <t>SAW0184</t>
  </si>
  <si>
    <t>1-01-05016-002</t>
  </si>
  <si>
    <t>SAW0185</t>
  </si>
  <si>
    <t>1-01-05016-003</t>
  </si>
  <si>
    <t>SAW0186</t>
  </si>
  <si>
    <t>1-01-05016-004</t>
  </si>
  <si>
    <t>SAW0187</t>
  </si>
  <si>
    <t>1-01-05016-005</t>
  </si>
  <si>
    <t>SAW0188</t>
  </si>
  <si>
    <t>1-01-05016-006</t>
  </si>
  <si>
    <t>SAW0228</t>
  </si>
  <si>
    <t>1-01-05007-001</t>
  </si>
  <si>
    <t>SAW0229</t>
  </si>
  <si>
    <t>1-01-05007-002</t>
  </si>
  <si>
    <t>SAW0230</t>
  </si>
  <si>
    <t>1-01-05007-003</t>
  </si>
  <si>
    <t>SAW0231</t>
  </si>
  <si>
    <t>1-01-05007-004</t>
  </si>
  <si>
    <t>SAW0232</t>
  </si>
  <si>
    <t>1-01-05007-005</t>
  </si>
  <si>
    <t>SAW0233</t>
  </si>
  <si>
    <t>SAW0234</t>
  </si>
  <si>
    <t>1-01-05007-007</t>
  </si>
  <si>
    <t>SAW0235</t>
  </si>
  <si>
    <t>1-01-05007-008</t>
  </si>
  <si>
    <t>SAW0236</t>
  </si>
  <si>
    <t>1-01-05007-009</t>
  </si>
  <si>
    <t>SAW0237</t>
  </si>
  <si>
    <t>SAW0238</t>
  </si>
  <si>
    <t>SAW0239</t>
  </si>
  <si>
    <t>1-01-05007-012</t>
  </si>
  <si>
    <t>SAW0241</t>
  </si>
  <si>
    <t>1-01-05007-013</t>
  </si>
  <si>
    <t>SAW0306</t>
  </si>
  <si>
    <t>1-01-05030-012</t>
  </si>
  <si>
    <t>SAW0243</t>
  </si>
  <si>
    <t>1-01-05007-014</t>
  </si>
  <si>
    <t>SAW0250</t>
  </si>
  <si>
    <t>SAW0262</t>
  </si>
  <si>
    <t>1-01-05010-001</t>
  </si>
  <si>
    <t>SAW0263</t>
  </si>
  <si>
    <t>SAW0264</t>
  </si>
  <si>
    <t>1-01-05010-003</t>
  </si>
  <si>
    <t>SAW0265</t>
  </si>
  <si>
    <t>SAW0266</t>
  </si>
  <si>
    <t>1-01-05010-005</t>
  </si>
  <si>
    <t>SAW0267</t>
  </si>
  <si>
    <t>SAW0268</t>
  </si>
  <si>
    <t>1-01-05010-007</t>
  </si>
  <si>
    <t>SAW0274</t>
  </si>
  <si>
    <t>SHW1205</t>
  </si>
  <si>
    <t>1-01-14004-002</t>
  </si>
  <si>
    <t>MAW2004</t>
  </si>
  <si>
    <t>1-01-10013-001</t>
  </si>
  <si>
    <t>SHW1306</t>
  </si>
  <si>
    <t>1-01-14001-013</t>
  </si>
  <si>
    <t>MAW2009</t>
  </si>
  <si>
    <t>1-01-10015-002</t>
  </si>
  <si>
    <t>MAW2010</t>
  </si>
  <si>
    <t>MAW2022</t>
  </si>
  <si>
    <t>1-01-10016-003</t>
  </si>
  <si>
    <t>MAW2036</t>
  </si>
  <si>
    <t>1-01-10006-001</t>
  </si>
  <si>
    <t>BAW5023</t>
  </si>
  <si>
    <t>1-01-07001-008</t>
  </si>
  <si>
    <t>SHW1340</t>
  </si>
  <si>
    <t>1-01-14001-018</t>
  </si>
  <si>
    <t>MAW2136</t>
  </si>
  <si>
    <t>1-01-10028-005</t>
  </si>
  <si>
    <t>MAW2152</t>
  </si>
  <si>
    <t>1-01-10031-001</t>
  </si>
  <si>
    <t>MAW2164</t>
  </si>
  <si>
    <t>1-01-10017-007</t>
  </si>
  <si>
    <t>MAW2165</t>
  </si>
  <si>
    <t>1-01-10017-008</t>
  </si>
  <si>
    <t>MAW2166</t>
  </si>
  <si>
    <t>1-01-10017-009</t>
  </si>
  <si>
    <t>MAW2211</t>
  </si>
  <si>
    <t>1-01-10008-012</t>
  </si>
  <si>
    <t>MAW2212</t>
  </si>
  <si>
    <t>1-01-10008-013</t>
  </si>
  <si>
    <t>MAW2240</t>
  </si>
  <si>
    <t>1-01-10023-003</t>
  </si>
  <si>
    <t>MAW2241</t>
  </si>
  <si>
    <t>1-01-10023-004</t>
  </si>
  <si>
    <t>NPW2025</t>
  </si>
  <si>
    <t>1-01-18007-003</t>
  </si>
  <si>
    <t>NPW2026</t>
  </si>
  <si>
    <t>1-01-18007-004</t>
  </si>
  <si>
    <t>NPW2027</t>
  </si>
  <si>
    <t>1-01-18007-005</t>
  </si>
  <si>
    <t>NPW2028</t>
  </si>
  <si>
    <t>1-01-18007-006</t>
  </si>
  <si>
    <t>NPW2029</t>
  </si>
  <si>
    <t>1-01-18007-007</t>
  </si>
  <si>
    <t>NPW2075</t>
  </si>
  <si>
    <t>1-01-18006-004</t>
  </si>
  <si>
    <t>NPW2078</t>
  </si>
  <si>
    <t>1-01-18006-007</t>
  </si>
  <si>
    <t>NPW2080</t>
  </si>
  <si>
    <t>1-01-18006-009</t>
  </si>
  <si>
    <t>NPW2081</t>
  </si>
  <si>
    <t>1-01-18006-010</t>
  </si>
  <si>
    <t>NPW2082</t>
  </si>
  <si>
    <t>1-01-18006-011</t>
  </si>
  <si>
    <t>NPW2083</t>
  </si>
  <si>
    <t>1-01-18006-012</t>
  </si>
  <si>
    <t>SHW1337</t>
  </si>
  <si>
    <t>KCW0031</t>
  </si>
  <si>
    <t>1-01-01005-001</t>
  </si>
  <si>
    <t>KCW0035</t>
  </si>
  <si>
    <t>KCW0036</t>
  </si>
  <si>
    <t>1-01-01009-003</t>
  </si>
  <si>
    <t>KCW0037</t>
  </si>
  <si>
    <t>1-01-01009-004</t>
  </si>
  <si>
    <t>KCW0038</t>
  </si>
  <si>
    <t>1-01-01009-005</t>
  </si>
  <si>
    <t>KCW0040</t>
  </si>
  <si>
    <t>1-01-01009-007</t>
  </si>
  <si>
    <t>KCW0045</t>
  </si>
  <si>
    <t>1-01-01009-012</t>
  </si>
  <si>
    <t>KCW0057</t>
  </si>
  <si>
    <t>1-01-01008-001</t>
  </si>
  <si>
    <t>KCW0058</t>
  </si>
  <si>
    <t>1-01-01008-002</t>
  </si>
  <si>
    <t>KCW0059</t>
  </si>
  <si>
    <t>1-01-01008-003</t>
  </si>
  <si>
    <t>KCW0060</t>
  </si>
  <si>
    <t>1-01-01008-004</t>
  </si>
  <si>
    <t>KCW0061</t>
  </si>
  <si>
    <t>1-01-01008-005</t>
  </si>
  <si>
    <t>KCW0062</t>
  </si>
  <si>
    <t>1-01-01008-006</t>
  </si>
  <si>
    <t>KCW0063</t>
  </si>
  <si>
    <t>1-01-01008-007</t>
  </si>
  <si>
    <t>KCW0072</t>
  </si>
  <si>
    <t>1-01-01007-002</t>
  </si>
  <si>
    <t>KCW0079</t>
  </si>
  <si>
    <t>1-01-01007-009</t>
  </si>
  <si>
    <t>KCW0081</t>
  </si>
  <si>
    <t>1-01-01007-011</t>
  </si>
  <si>
    <t>KCW0082</t>
  </si>
  <si>
    <t>1-01-01007-012</t>
  </si>
  <si>
    <t>KCW0086</t>
  </si>
  <si>
    <t>1-01-01001-003</t>
  </si>
  <si>
    <t>KCW0175</t>
  </si>
  <si>
    <t>KCW0125</t>
  </si>
  <si>
    <t>1-01-01002-006</t>
  </si>
  <si>
    <t>KCW0130</t>
  </si>
  <si>
    <t>1-01-01002-011</t>
  </si>
  <si>
    <t>KCW0174</t>
  </si>
  <si>
    <t>RAW3007</t>
  </si>
  <si>
    <t>1-01-12014-007</t>
  </si>
  <si>
    <t>KCW0170</t>
  </si>
  <si>
    <t>1-01-01015-016</t>
  </si>
  <si>
    <t>SAW0079</t>
  </si>
  <si>
    <t>1-01-05021-003</t>
  </si>
  <si>
    <t>SAW0086</t>
  </si>
  <si>
    <t>1-01-05020-001</t>
  </si>
  <si>
    <t>SAW0087</t>
  </si>
  <si>
    <t>1-01-05020-002</t>
  </si>
  <si>
    <t>SAW0088</t>
  </si>
  <si>
    <t>1-01-05020-003</t>
  </si>
  <si>
    <t>SHW1042</t>
  </si>
  <si>
    <t>1-01-15018-002</t>
  </si>
  <si>
    <t>SHW1043</t>
  </si>
  <si>
    <t>SHW1048</t>
  </si>
  <si>
    <t>1-01-15017-001</t>
  </si>
  <si>
    <t>MOW6001</t>
  </si>
  <si>
    <t>1-01-11003-001</t>
  </si>
  <si>
    <t>MOW6002</t>
  </si>
  <si>
    <t>MOW6003</t>
  </si>
  <si>
    <t>1-01-11003-003</t>
  </si>
  <si>
    <t>MOW6006</t>
  </si>
  <si>
    <t>1-01-11002-001</t>
  </si>
  <si>
    <t>MOW6007</t>
  </si>
  <si>
    <t>1-01-11002-002</t>
  </si>
  <si>
    <t>MOW6008</t>
  </si>
  <si>
    <t>MOW6030</t>
  </si>
  <si>
    <t>1-01-11001-001</t>
  </si>
  <si>
    <t>MOW6037</t>
  </si>
  <si>
    <t>1-01-11005-004</t>
  </si>
  <si>
    <t>MOW6038</t>
  </si>
  <si>
    <t>1-01-11005-005</t>
  </si>
  <si>
    <t>MOW6039</t>
  </si>
  <si>
    <t>1-01-11005-006</t>
  </si>
  <si>
    <t>MOW6047</t>
  </si>
  <si>
    <t>1-01-11004-008</t>
  </si>
  <si>
    <t>MOW6110</t>
  </si>
  <si>
    <t>1-01-11007-007</t>
  </si>
  <si>
    <t>MOW6049</t>
  </si>
  <si>
    <t>1-01-11004-009</t>
  </si>
  <si>
    <t>MOW6050</t>
  </si>
  <si>
    <t>1-01-11004-010</t>
  </si>
  <si>
    <t>MOW6058</t>
  </si>
  <si>
    <t>1-01-11006-008</t>
  </si>
  <si>
    <t>MOW6059</t>
  </si>
  <si>
    <t>1-01-11006-009</t>
  </si>
  <si>
    <t>MOW6060</t>
  </si>
  <si>
    <t>1-01-11006-010</t>
  </si>
  <si>
    <t>MOW6061</t>
  </si>
  <si>
    <t>1-01-11006-011</t>
  </si>
  <si>
    <t>MOW6066</t>
  </si>
  <si>
    <t>1-01-11010-002</t>
  </si>
  <si>
    <t>MOW6075</t>
  </si>
  <si>
    <t>1-01-11009-001</t>
  </si>
  <si>
    <t>MOW6086</t>
  </si>
  <si>
    <t>1-01-11008-001</t>
  </si>
  <si>
    <t>MOW6087</t>
  </si>
  <si>
    <t>1-01-11008-002</t>
  </si>
  <si>
    <t>MOW6088</t>
  </si>
  <si>
    <t>1-01-11008-003</t>
  </si>
  <si>
    <t>MOW6089</t>
  </si>
  <si>
    <t>1-01-11008-004</t>
  </si>
  <si>
    <t>MOW6090</t>
  </si>
  <si>
    <t>1-01-11008-005</t>
  </si>
  <si>
    <t>MOW6091</t>
  </si>
  <si>
    <t>1-01-11008-006</t>
  </si>
  <si>
    <t>MOW6105</t>
  </si>
  <si>
    <t>1-01-11007-002</t>
  </si>
  <si>
    <t>MOW6106</t>
  </si>
  <si>
    <t>MOW6107</t>
  </si>
  <si>
    <t>1-01-11007-004</t>
  </si>
  <si>
    <t>MOW6108</t>
  </si>
  <si>
    <t>1-01-11007-005</t>
  </si>
  <si>
    <t>MOW6109</t>
  </si>
  <si>
    <t>1-01-11007-006</t>
  </si>
  <si>
    <t>SAW0271</t>
  </si>
  <si>
    <t>1-01-05011-003</t>
  </si>
  <si>
    <t>SAW0272</t>
  </si>
  <si>
    <t>SAW0273</t>
  </si>
  <si>
    <t>1-01-05011-005</t>
  </si>
  <si>
    <t>SAW0283</t>
  </si>
  <si>
    <t>SAW0285</t>
  </si>
  <si>
    <t>SAW0286</t>
  </si>
  <si>
    <t>1-01-05009-004</t>
  </si>
  <si>
    <t>SAW0287</t>
  </si>
  <si>
    <t>1-01-05009-005</t>
  </si>
  <si>
    <t>SAW0288</t>
  </si>
  <si>
    <t>1-01-05009-006</t>
  </si>
  <si>
    <t>SAW0289</t>
  </si>
  <si>
    <t>1-01-05009-007</t>
  </si>
  <si>
    <t>AYW5013</t>
  </si>
  <si>
    <t>1-01-17008-013</t>
  </si>
  <si>
    <t>AYW5014</t>
  </si>
  <si>
    <t>AYW5039</t>
  </si>
  <si>
    <t>1-01-17011-009</t>
  </si>
  <si>
    <t>AYW5089</t>
  </si>
  <si>
    <t>AYW5090</t>
  </si>
  <si>
    <t>1-01-17016-012</t>
  </si>
  <si>
    <t>AYW5091</t>
  </si>
  <si>
    <t>1-01-17016-013</t>
  </si>
  <si>
    <t>AYW5128</t>
  </si>
  <si>
    <t>1-01-17014-006</t>
  </si>
  <si>
    <t>AYW5194</t>
  </si>
  <si>
    <t>1-01-17023-008</t>
  </si>
  <si>
    <t>AYW5135</t>
  </si>
  <si>
    <t>1-01-17004-006</t>
  </si>
  <si>
    <t>SAW0303</t>
  </si>
  <si>
    <t>1-01-05030-009</t>
  </si>
  <si>
    <t>AYW5154</t>
  </si>
  <si>
    <t>1-01-17001-016</t>
  </si>
  <si>
    <t>AYW5155</t>
  </si>
  <si>
    <t>1-01-17001-017</t>
  </si>
  <si>
    <t>AYW5156</t>
  </si>
  <si>
    <t>1-01-17001-018</t>
  </si>
  <si>
    <t>AYW5166</t>
  </si>
  <si>
    <t>1-01-17003-009</t>
  </si>
  <si>
    <t>SHW1339</t>
  </si>
  <si>
    <t>1-01-14001-016</t>
  </si>
  <si>
    <t>MWW3267</t>
  </si>
  <si>
    <t>1-01-09017-007</t>
  </si>
  <si>
    <t>AYW5193</t>
  </si>
  <si>
    <t>1-01-17023-007</t>
  </si>
  <si>
    <t>BAW5030</t>
  </si>
  <si>
    <t>1-01-07001-006</t>
  </si>
  <si>
    <t>BAW5031</t>
  </si>
  <si>
    <t>1-01-07001-007</t>
  </si>
  <si>
    <t>BAW5048</t>
  </si>
  <si>
    <t>1-01-07003-009</t>
  </si>
  <si>
    <t>AYW5196</t>
  </si>
  <si>
    <t>1-01-17023-010</t>
  </si>
  <si>
    <t>BAW5177</t>
  </si>
  <si>
    <t>1-01-08007-004</t>
  </si>
  <si>
    <t>BAW5175</t>
  </si>
  <si>
    <t>1-01-08007-003</t>
  </si>
  <si>
    <t>BAW5076</t>
  </si>
  <si>
    <t>1-01-07004-002</t>
  </si>
  <si>
    <t>BAW5077</t>
  </si>
  <si>
    <t>1-01-07004-003</t>
  </si>
  <si>
    <t>BAW5079</t>
  </si>
  <si>
    <t>1-01-08002-001</t>
  </si>
  <si>
    <t>BAW5080</t>
  </si>
  <si>
    <t>1-01-08002-002</t>
  </si>
  <si>
    <t>BAW5105</t>
  </si>
  <si>
    <t>1-01-07014-001</t>
  </si>
  <si>
    <t>BAW5106</t>
  </si>
  <si>
    <t>1-01-07014-002</t>
  </si>
  <si>
    <t>BAW5124</t>
  </si>
  <si>
    <t>1-01-07012-002</t>
  </si>
  <si>
    <t>BAW5136</t>
  </si>
  <si>
    <t>1-01-07009-002</t>
  </si>
  <si>
    <t>BAW5137</t>
  </si>
  <si>
    <t>1-01-07009-003</t>
  </si>
  <si>
    <t>BAW5155</t>
  </si>
  <si>
    <t>1-01-08008-003</t>
  </si>
  <si>
    <t>BAW5164</t>
  </si>
  <si>
    <t>1-01-08012-002</t>
  </si>
  <si>
    <t>BAW5168</t>
  </si>
  <si>
    <t>1-01-08010-001</t>
  </si>
  <si>
    <t>CHW3004</t>
  </si>
  <si>
    <t>1-01-04001-004</t>
  </si>
  <si>
    <t>CHW3005</t>
  </si>
  <si>
    <t>1-01-04001-005</t>
  </si>
  <si>
    <t>CHW3013</t>
  </si>
  <si>
    <t>CHW3020</t>
  </si>
  <si>
    <t>RAW3086</t>
  </si>
  <si>
    <t>1-01-12016-014</t>
  </si>
  <si>
    <t>CHW3041</t>
  </si>
  <si>
    <t>CHW3037</t>
  </si>
  <si>
    <t>1-01-04007-006</t>
  </si>
  <si>
    <t>KYW6004</t>
  </si>
  <si>
    <t>1-01-02005-004</t>
  </si>
  <si>
    <t>KYW6006</t>
  </si>
  <si>
    <t>1-01-02006-002</t>
  </si>
  <si>
    <t>KYW6022</t>
  </si>
  <si>
    <t>1-01-02001-008</t>
  </si>
  <si>
    <t>KYW6023</t>
  </si>
  <si>
    <t>1-01-02001-009</t>
  </si>
  <si>
    <t>KYW6024</t>
  </si>
  <si>
    <t>1-01-02001-010</t>
  </si>
  <si>
    <t>KNW6003</t>
  </si>
  <si>
    <t>1-01-03002-002</t>
  </si>
  <si>
    <t>KNW6017</t>
  </si>
  <si>
    <t>MOW6185</t>
  </si>
  <si>
    <t>KNW6019</t>
  </si>
  <si>
    <t>1-01-03001-003</t>
  </si>
  <si>
    <t>KNW6020</t>
  </si>
  <si>
    <t>1-01-03001-004</t>
  </si>
  <si>
    <t>KNW6027</t>
  </si>
  <si>
    <t>1-01-03004-006</t>
  </si>
  <si>
    <t>KNW6033</t>
  </si>
  <si>
    <t>1-01-03006-001</t>
  </si>
  <si>
    <t>KNW6034</t>
  </si>
  <si>
    <t>1-01-03006-002</t>
  </si>
  <si>
    <t>KNW6043</t>
  </si>
  <si>
    <t>1-01-03005-002</t>
  </si>
  <si>
    <t>KNW6044</t>
  </si>
  <si>
    <t>1-01-03005-003</t>
  </si>
  <si>
    <t>MWW3006</t>
  </si>
  <si>
    <t>1-01-09023-005</t>
  </si>
  <si>
    <t>MWW3009</t>
  </si>
  <si>
    <t>1-01-09025-003</t>
  </si>
  <si>
    <t>MWW3022</t>
  </si>
  <si>
    <t>1-01-09003-001</t>
  </si>
  <si>
    <t>MWW3037</t>
  </si>
  <si>
    <t>1-01-09001-002</t>
  </si>
  <si>
    <t>MWW3038</t>
  </si>
  <si>
    <t>AYW5218</t>
  </si>
  <si>
    <t>1-01-17001-020</t>
  </si>
  <si>
    <t>SHW1256</t>
  </si>
  <si>
    <t>1-01-14007-005</t>
  </si>
  <si>
    <t>MWW3065</t>
  </si>
  <si>
    <t>1-01-09004-004</t>
  </si>
  <si>
    <t>MWW3090</t>
  </si>
  <si>
    <t>1-01-09009-005</t>
  </si>
  <si>
    <t>MWW3106</t>
  </si>
  <si>
    <t>1-01-09010-005</t>
  </si>
  <si>
    <t>MWW3121</t>
  </si>
  <si>
    <t>1-01-09020-012</t>
  </si>
  <si>
    <t>MWW3137</t>
  </si>
  <si>
    <t>1-01-09018-005</t>
  </si>
  <si>
    <t>MWW3138</t>
  </si>
  <si>
    <t>1-01-09018-006</t>
  </si>
  <si>
    <t>MWW3139</t>
  </si>
  <si>
    <t>1-01-09018-007</t>
  </si>
  <si>
    <t>MWW3147</t>
  </si>
  <si>
    <t>1-01-09021-008</t>
  </si>
  <si>
    <t>KCW0005</t>
  </si>
  <si>
    <t>1-01-01010-005</t>
  </si>
  <si>
    <t>KCW0006</t>
  </si>
  <si>
    <t>1-01-01010-006</t>
  </si>
  <si>
    <t>KCW0007</t>
  </si>
  <si>
    <t>1-01-01010-007</t>
  </si>
  <si>
    <t>KCW0008</t>
  </si>
  <si>
    <t>1-01-01010-008</t>
  </si>
  <si>
    <t>KCW0009</t>
  </si>
  <si>
    <t>1-01-01010-009</t>
  </si>
  <si>
    <t>KCW0010</t>
  </si>
  <si>
    <t>1-01-01010-010</t>
  </si>
  <si>
    <t>KCW0013</t>
  </si>
  <si>
    <t>1-01-01013-002</t>
  </si>
  <si>
    <t>KCW0023</t>
  </si>
  <si>
    <t>1-01-01012-005</t>
  </si>
  <si>
    <t>KCW0067</t>
  </si>
  <si>
    <t>1-01-01008-011</t>
  </si>
  <si>
    <t>KCW0068</t>
  </si>
  <si>
    <t>1-01-01008-012</t>
  </si>
  <si>
    <t>KCW0069</t>
  </si>
  <si>
    <t>1-01-01008-013</t>
  </si>
  <si>
    <t>KCW0166</t>
  </si>
  <si>
    <t>1-01-01015-012</t>
  </si>
  <si>
    <t>KYW6062</t>
  </si>
  <si>
    <t>KCW0101</t>
  </si>
  <si>
    <t>RAW3101</t>
  </si>
  <si>
    <t>1-01-12017-007</t>
  </si>
  <si>
    <t>KCW0173</t>
  </si>
  <si>
    <t>1-01-01015-019</t>
  </si>
  <si>
    <t>KCW0169</t>
  </si>
  <si>
    <t>1-01-01015-015</t>
  </si>
  <si>
    <t>KCW0134</t>
  </si>
  <si>
    <t>1-01-01002-015</t>
  </si>
  <si>
    <t>KCW0135</t>
  </si>
  <si>
    <t>1-01-01002-016</t>
  </si>
  <si>
    <t>SAW0304</t>
  </si>
  <si>
    <t>KCW0171</t>
  </si>
  <si>
    <t>1-01-01015-017</t>
  </si>
  <si>
    <t>KCW0144</t>
  </si>
  <si>
    <t>KCW0145</t>
  </si>
  <si>
    <t>1-01-01014-006</t>
  </si>
  <si>
    <t>KCW0147</t>
  </si>
  <si>
    <t>1-01-01014-008</t>
  </si>
  <si>
    <t>KCW0148</t>
  </si>
  <si>
    <t>3-00-01014-006</t>
  </si>
  <si>
    <t>KCW0152</t>
  </si>
  <si>
    <t>KCW0151</t>
  </si>
  <si>
    <t>1-01-01014-012</t>
  </si>
  <si>
    <t>KCWxxxx</t>
  </si>
  <si>
    <t>CHW3038</t>
  </si>
  <si>
    <t>1-01-04007-007</t>
  </si>
  <si>
    <t>CHW3040</t>
  </si>
  <si>
    <t>1-01-04007-008</t>
  </si>
  <si>
    <t>KCW0048</t>
  </si>
  <si>
    <t>1-01-01009-015</t>
  </si>
  <si>
    <t>KCW0051</t>
  </si>
  <si>
    <t>1-01-01009-018</t>
  </si>
  <si>
    <t>KCW0052</t>
  </si>
  <si>
    <t>1-01-01009-019</t>
  </si>
  <si>
    <t>KCW0111</t>
  </si>
  <si>
    <t>1-01-01004-004</t>
  </si>
  <si>
    <t>KCW0112</t>
  </si>
  <si>
    <t>1-01-01004-005</t>
  </si>
  <si>
    <t>KCW0113</t>
  </si>
  <si>
    <t>1-01-01004-006</t>
  </si>
  <si>
    <t>KCW0117</t>
  </si>
  <si>
    <t>1-01-01004-010</t>
  </si>
  <si>
    <t>BAW5337</t>
  </si>
  <si>
    <t>1-01-07007-001</t>
  </si>
  <si>
    <t>BAW5341</t>
  </si>
  <si>
    <t>1-01-07009-004</t>
  </si>
  <si>
    <t>BAW5342</t>
  </si>
  <si>
    <t>1-01-07006-001</t>
  </si>
  <si>
    <t>BAW5344</t>
  </si>
  <si>
    <t>1-01-07007-002</t>
  </si>
  <si>
    <t>BAW5346</t>
  </si>
  <si>
    <t>1-01-07011-002</t>
  </si>
  <si>
    <t>BAW5347</t>
  </si>
  <si>
    <t>1-01-07012-003</t>
  </si>
  <si>
    <t>BAW5348</t>
  </si>
  <si>
    <t>1-01-07010-002</t>
  </si>
  <si>
    <t>MAW2340</t>
  </si>
  <si>
    <t>1-01-10001-002</t>
  </si>
  <si>
    <t>MAW2341</t>
  </si>
  <si>
    <t>1-01-10003-002</t>
  </si>
  <si>
    <t>MAW2342</t>
  </si>
  <si>
    <t>1-01-10002-001</t>
  </si>
  <si>
    <t>MAW2343</t>
  </si>
  <si>
    <t>1-01-10003-003</t>
  </si>
  <si>
    <t>MAW2345</t>
  </si>
  <si>
    <t>1-01-10001-003</t>
  </si>
  <si>
    <t>MAW2346</t>
  </si>
  <si>
    <t>1-01-10002-002</t>
  </si>
  <si>
    <t>MAW2347</t>
  </si>
  <si>
    <t>1-01-10003-004</t>
  </si>
  <si>
    <t>BAW5398</t>
  </si>
  <si>
    <t>1-01-07003-010</t>
  </si>
  <si>
    <t>YAW4870</t>
  </si>
  <si>
    <t>1-01-13005-004</t>
  </si>
  <si>
    <t>MAW2357</t>
  </si>
  <si>
    <t>1-01-10005-002</t>
  </si>
  <si>
    <t>MAW2359</t>
  </si>
  <si>
    <t>1-01-10005-003</t>
  </si>
  <si>
    <t>YAW4869</t>
  </si>
  <si>
    <t>1-01-13005-005</t>
  </si>
  <si>
    <t>MAW2451</t>
  </si>
  <si>
    <t>1-01-10013-004</t>
  </si>
  <si>
    <t>SHW1158</t>
  </si>
  <si>
    <t>1-01-16007-005</t>
  </si>
  <si>
    <t>RAW3102</t>
  </si>
  <si>
    <t>1-01-12017-008</t>
  </si>
  <si>
    <t>MAW2459</t>
  </si>
  <si>
    <t>1-01-10024-002</t>
  </si>
  <si>
    <t>MAW2460</t>
  </si>
  <si>
    <t>1-01-10023-006</t>
  </si>
  <si>
    <t>MAW2461</t>
  </si>
  <si>
    <t>1-01-10006-003</t>
  </si>
  <si>
    <t>MAW2462</t>
  </si>
  <si>
    <t>1-01-10028-007</t>
  </si>
  <si>
    <t>MAW2472</t>
  </si>
  <si>
    <t>MAW2473</t>
  </si>
  <si>
    <t>1-01-10024-003</t>
  </si>
  <si>
    <t>MAW2474</t>
  </si>
  <si>
    <t>MWW3343</t>
  </si>
  <si>
    <t>1-01-09004-005</t>
  </si>
  <si>
    <t>MWW3345</t>
  </si>
  <si>
    <t>1-01-09018-008</t>
  </si>
  <si>
    <t>MWW3347</t>
  </si>
  <si>
    <t>1-01-08009-011</t>
  </si>
  <si>
    <t>SAW0442</t>
  </si>
  <si>
    <t>1-01-05001-008</t>
  </si>
  <si>
    <t>SAW0446</t>
  </si>
  <si>
    <t>1-01-05012-004</t>
  </si>
  <si>
    <t>SAW0447</t>
  </si>
  <si>
    <t>1-01-05012-005</t>
  </si>
  <si>
    <t>SAW0453</t>
  </si>
  <si>
    <t>1-01-05004-009</t>
  </si>
  <si>
    <t>SAW0455</t>
  </si>
  <si>
    <t>1-01-05015-003</t>
  </si>
  <si>
    <t>SAW0456</t>
  </si>
  <si>
    <t>SAW0460</t>
  </si>
  <si>
    <t>1-01-05008-001</t>
  </si>
  <si>
    <t>SAW0461</t>
  </si>
  <si>
    <t>1-01-05008-002</t>
  </si>
  <si>
    <t>SHW1305</t>
  </si>
  <si>
    <t>SHW1492</t>
  </si>
  <si>
    <t>1-01-15009-008</t>
  </si>
  <si>
    <t>SHW1495</t>
  </si>
  <si>
    <t>1-01-15001-015</t>
  </si>
  <si>
    <t>SHW1496</t>
  </si>
  <si>
    <t>1-01-15012-010</t>
  </si>
  <si>
    <t>AYW5399</t>
  </si>
  <si>
    <t>1-01-17016-015</t>
  </si>
  <si>
    <t>AYW5400</t>
  </si>
  <si>
    <t>1-01-17026-004</t>
  </si>
  <si>
    <t>AYW5401</t>
  </si>
  <si>
    <t>1-01-17025-005</t>
  </si>
  <si>
    <t>AYW5403</t>
  </si>
  <si>
    <t>1-01-17020-007</t>
  </si>
  <si>
    <t>AYW5404</t>
  </si>
  <si>
    <t>1-01-17002-005</t>
  </si>
  <si>
    <t>AYW5405</t>
  </si>
  <si>
    <t>1-01-17007-006</t>
  </si>
  <si>
    <t>AYW5406</t>
  </si>
  <si>
    <t>1-01-17005-006</t>
  </si>
  <si>
    <t>AYW5407</t>
  </si>
  <si>
    <t>1-01-17013-007</t>
  </si>
  <si>
    <t>AYW5408</t>
  </si>
  <si>
    <t>1-01-17012-005</t>
  </si>
  <si>
    <t>BAW5404</t>
  </si>
  <si>
    <t>1-01-08008-004</t>
  </si>
  <si>
    <t>MAW2560</t>
  </si>
  <si>
    <t>MAW2574</t>
  </si>
  <si>
    <t>1-01-10008-014</t>
  </si>
  <si>
    <t>MAW2577</t>
  </si>
  <si>
    <t>1-01-10010-006</t>
  </si>
  <si>
    <t>MOW6194</t>
  </si>
  <si>
    <t>1-01-11007-008</t>
  </si>
  <si>
    <t>NPW2218</t>
  </si>
  <si>
    <t>1-01-18007-009</t>
  </si>
  <si>
    <t>NPW2219</t>
  </si>
  <si>
    <t>1-01-18007-010</t>
  </si>
  <si>
    <t>NPW2220</t>
  </si>
  <si>
    <t>1-01-18007-011</t>
  </si>
  <si>
    <t>SHW1639</t>
  </si>
  <si>
    <t>1-01-14001-023</t>
  </si>
  <si>
    <t>YAW4822</t>
  </si>
  <si>
    <t>1-01-13023-004</t>
  </si>
  <si>
    <t>YAW4838</t>
  </si>
  <si>
    <t>YAW4853</t>
  </si>
  <si>
    <t>1-01-13029-006</t>
  </si>
  <si>
    <t>YAW4854</t>
  </si>
  <si>
    <t>1-01-13029-007</t>
  </si>
  <si>
    <t>YAW4857</t>
  </si>
  <si>
    <t>1-01-13027-003</t>
  </si>
  <si>
    <t>YAW4859</t>
  </si>
  <si>
    <t>1-01-13025-009</t>
  </si>
  <si>
    <t>YAW4862</t>
  </si>
  <si>
    <t>1-01-07014-005</t>
  </si>
  <si>
    <t>YAW4864</t>
  </si>
  <si>
    <t>1-01-13026-007</t>
  </si>
  <si>
    <t>YAW4865</t>
  </si>
  <si>
    <t>1-01-07014-006</t>
  </si>
  <si>
    <t>YAW4866</t>
  </si>
  <si>
    <t>1-01-13003-002</t>
  </si>
  <si>
    <t>YAW4867</t>
  </si>
  <si>
    <t>1-01-13003-003</t>
  </si>
  <si>
    <t>YAW4874</t>
  </si>
  <si>
    <t>1-01-13005-007</t>
  </si>
  <si>
    <t>KCW0046</t>
  </si>
  <si>
    <t>SHW1268</t>
  </si>
  <si>
    <t>1-01-14007-011</t>
  </si>
  <si>
    <t>SHW1240</t>
  </si>
  <si>
    <t>1-01-14001-002</t>
  </si>
  <si>
    <t>KCW0236</t>
  </si>
  <si>
    <t>1-01-01002-017</t>
  </si>
  <si>
    <t>MAW2210</t>
  </si>
  <si>
    <t>1-01-10008-011</t>
  </si>
  <si>
    <t>KCW0039</t>
  </si>
  <si>
    <t>1-01-01009-006</t>
  </si>
  <si>
    <t>KCW0107</t>
  </si>
  <si>
    <t>SAW0080</t>
  </si>
  <si>
    <t>1-01-05021-004</t>
  </si>
  <si>
    <t>KCW0115</t>
  </si>
  <si>
    <t>1-01-01004-008</t>
  </si>
  <si>
    <t>KCW0116</t>
  </si>
  <si>
    <t>1-01-01004-009</t>
  </si>
  <si>
    <t>AYW5316</t>
  </si>
  <si>
    <t>1-01-17001-021</t>
  </si>
  <si>
    <t>AYW5385</t>
  </si>
  <si>
    <t>1-01-17011-010</t>
  </si>
  <si>
    <t>BAW5271</t>
  </si>
  <si>
    <t>1-01-07009-006</t>
  </si>
  <si>
    <t>BAW5324</t>
  </si>
  <si>
    <t>1-01-08002-003</t>
  </si>
  <si>
    <t>BAW5325</t>
  </si>
  <si>
    <t>1-01-08002-004</t>
  </si>
  <si>
    <t>BAW5327</t>
  </si>
  <si>
    <t>BAW5405</t>
  </si>
  <si>
    <t>1-01-08012-003</t>
  </si>
  <si>
    <t>MAW2443</t>
  </si>
  <si>
    <t>1-01-10030-008</t>
  </si>
  <si>
    <t>MAW2478</t>
  </si>
  <si>
    <t>1-01-10024-005</t>
  </si>
  <si>
    <t>MAW2571</t>
  </si>
  <si>
    <t>1-01-10008-015</t>
  </si>
  <si>
    <t>MAW2572</t>
  </si>
  <si>
    <t>1-01-10008-016</t>
  </si>
  <si>
    <t>MWW3354</t>
  </si>
  <si>
    <t>1-01-09005-004</t>
  </si>
  <si>
    <t>MWW3355</t>
  </si>
  <si>
    <t>1-01-09006-010</t>
  </si>
  <si>
    <t>MWW3356</t>
  </si>
  <si>
    <t>1-01-09006-011</t>
  </si>
  <si>
    <t>SAW0419</t>
  </si>
  <si>
    <t>1-01-05001-009</t>
  </si>
  <si>
    <t>SAW0495</t>
  </si>
  <si>
    <t>1-01-05024-003</t>
  </si>
  <si>
    <t>SAW0505</t>
  </si>
  <si>
    <t>1-01-05030-015</t>
  </si>
  <si>
    <t>SHW1460</t>
  </si>
  <si>
    <t>SHW1487</t>
  </si>
  <si>
    <t>1-01-14001-028</t>
  </si>
  <si>
    <t>SHW1505</t>
  </si>
  <si>
    <t>SHW1506</t>
  </si>
  <si>
    <t>1-01-15013-010</t>
  </si>
  <si>
    <t>SHW1508</t>
  </si>
  <si>
    <t>1-01-15012-011</t>
  </si>
  <si>
    <t>SHW1511</t>
  </si>
  <si>
    <t>SHW1539</t>
  </si>
  <si>
    <t>1-01-14001-029</t>
  </si>
  <si>
    <t>SHW1541</t>
  </si>
  <si>
    <t>1-01-14001-030</t>
  </si>
  <si>
    <t>SHW1628</t>
  </si>
  <si>
    <t>1-01-14001-031</t>
  </si>
  <si>
    <t>SHW1629</t>
  </si>
  <si>
    <t>1-01-14001-032</t>
  </si>
  <si>
    <t>SAW0108</t>
  </si>
  <si>
    <t>1-01-05031-001</t>
  </si>
  <si>
    <t>KCW0034</t>
  </si>
  <si>
    <t>1-01-01009-001</t>
  </si>
  <si>
    <t>YAW4178</t>
  </si>
  <si>
    <t>1-01-13021-001</t>
  </si>
  <si>
    <t>MAW2006</t>
  </si>
  <si>
    <t>1-01-10013-003</t>
  </si>
  <si>
    <t>SHW1129</t>
  </si>
  <si>
    <t>1-01-14016-004</t>
  </si>
  <si>
    <t>YAW4750</t>
  </si>
  <si>
    <t>1-01-13005-009</t>
  </si>
  <si>
    <t>AYW5392</t>
  </si>
  <si>
    <t>1-01-17001-022</t>
  </si>
  <si>
    <t>BAW5401</t>
  </si>
  <si>
    <t>1-01-07004-004</t>
  </si>
  <si>
    <t>KCW0195</t>
  </si>
  <si>
    <t>1-01-01009-022</t>
  </si>
  <si>
    <t>KCW0197</t>
  </si>
  <si>
    <t>1-01-01016-002</t>
  </si>
  <si>
    <t>KCW0221</t>
  </si>
  <si>
    <t>3-00-01014-004</t>
  </si>
  <si>
    <t>KCW0222</t>
  </si>
  <si>
    <t>3-00-01014-005</t>
  </si>
  <si>
    <t>KCW0252</t>
  </si>
  <si>
    <t>KCW0254</t>
  </si>
  <si>
    <t>KCW0257</t>
  </si>
  <si>
    <t>1-01-01009-023</t>
  </si>
  <si>
    <t>KCW0263</t>
  </si>
  <si>
    <t>1-01-01010-014</t>
  </si>
  <si>
    <t>KCW0265</t>
  </si>
  <si>
    <t>1-01-01010-015</t>
  </si>
  <si>
    <t>MAW2551</t>
  </si>
  <si>
    <t>1-01-10011-011</t>
  </si>
  <si>
    <t>MAW2561</t>
  </si>
  <si>
    <t>1-01-10024-006</t>
  </si>
  <si>
    <t>MAW2563</t>
  </si>
  <si>
    <t>1-01-10028-009</t>
  </si>
  <si>
    <t>MAW2564</t>
  </si>
  <si>
    <t>1-01-10028-010</t>
  </si>
  <si>
    <t>MOW6135</t>
  </si>
  <si>
    <t>1-01-11010-003</t>
  </si>
  <si>
    <t>MWW3368</t>
  </si>
  <si>
    <t>1-01-09003-002</t>
  </si>
  <si>
    <t>MWW3369</t>
  </si>
  <si>
    <t>NPW2216</t>
  </si>
  <si>
    <t>1-01-18007-012</t>
  </si>
  <si>
    <t>SAW0520</t>
  </si>
  <si>
    <t>1-01-05012-006</t>
  </si>
  <si>
    <t>SAW0526</t>
  </si>
  <si>
    <t>1-01-05007-016</t>
  </si>
  <si>
    <t>SHW1622</t>
  </si>
  <si>
    <t>1-01-14009-006</t>
  </si>
  <si>
    <t>SHW1626</t>
  </si>
  <si>
    <t>SHW1638</t>
  </si>
  <si>
    <t>1-01-14001-034</t>
  </si>
  <si>
    <t>SHW1641</t>
  </si>
  <si>
    <t>1-01-14011-005</t>
  </si>
  <si>
    <t>SHW1653</t>
  </si>
  <si>
    <t>YAW4749</t>
  </si>
  <si>
    <t>1-01-13005-010</t>
  </si>
  <si>
    <t>KCW0140</t>
  </si>
  <si>
    <t>1-01-01014-001</t>
  </si>
  <si>
    <t>KCW0141</t>
  </si>
  <si>
    <t>1-01-01014-002</t>
  </si>
  <si>
    <t>KCW0142</t>
  </si>
  <si>
    <t>1-01-01014-003</t>
  </si>
  <si>
    <t>KCW0155</t>
  </si>
  <si>
    <t>1-01-01015-003</t>
  </si>
  <si>
    <t>KCW0156</t>
  </si>
  <si>
    <t>1-01-01015-004</t>
  </si>
  <si>
    <t>KCW0158</t>
  </si>
  <si>
    <t>1-01-01015-006</t>
  </si>
  <si>
    <t>SHW1050</t>
  </si>
  <si>
    <t>1-01-15017-003</t>
  </si>
  <si>
    <t>CHW3018</t>
  </si>
  <si>
    <t>1-01-04004-005</t>
  </si>
  <si>
    <t>KCW0165</t>
  </si>
  <si>
    <t>KCW0168</t>
  </si>
  <si>
    <t>1-01-01015-014</t>
  </si>
  <si>
    <t>KCW0159</t>
  </si>
  <si>
    <t>3-00-01015-001</t>
  </si>
  <si>
    <t>MAW2568</t>
  </si>
  <si>
    <t>1-01-10021-004</t>
  </si>
  <si>
    <t>KCW0157</t>
  </si>
  <si>
    <t>1-01-01015-005</t>
  </si>
  <si>
    <t>SAW0055</t>
  </si>
  <si>
    <t>1-01-05028-003</t>
  </si>
  <si>
    <t>MWW3085</t>
  </si>
  <si>
    <t>1-01-09007-007</t>
  </si>
  <si>
    <t>KCW0094</t>
  </si>
  <si>
    <t>1-01-01001-011</t>
  </si>
  <si>
    <t>MAT2337</t>
  </si>
  <si>
    <t>1-01-10008-017</t>
  </si>
  <si>
    <t>TAW6035</t>
  </si>
  <si>
    <t>1-01-06010-001</t>
  </si>
  <si>
    <t>TAW6038</t>
  </si>
  <si>
    <t>1-01-06010-003</t>
  </si>
  <si>
    <t>TAW6040</t>
  </si>
  <si>
    <t>1-01-06010-005</t>
  </si>
  <si>
    <t>TAW6045</t>
  </si>
  <si>
    <t>1-01-06010-008</t>
  </si>
  <si>
    <t>TAW6053</t>
  </si>
  <si>
    <t>1-01-06009-002</t>
  </si>
  <si>
    <t>TAW6054</t>
  </si>
  <si>
    <t>1-01-06009-003</t>
  </si>
  <si>
    <t>TAW6095</t>
  </si>
  <si>
    <t>1-01-06010-011</t>
  </si>
  <si>
    <t>TAW6100</t>
  </si>
  <si>
    <t>3-00-06010-001</t>
  </si>
  <si>
    <t>TAW6102</t>
  </si>
  <si>
    <t>1-01-06009-004</t>
  </si>
  <si>
    <t>TAW6112</t>
  </si>
  <si>
    <t>1-01-06010-013</t>
  </si>
  <si>
    <t>TAW6113</t>
  </si>
  <si>
    <t>1-01-06010-014</t>
  </si>
  <si>
    <t>TAW6128</t>
  </si>
  <si>
    <t>1-01-06009-007</t>
  </si>
  <si>
    <t>TAW6131</t>
  </si>
  <si>
    <t>1-01-06009-008</t>
  </si>
  <si>
    <t>TAW6138</t>
  </si>
  <si>
    <t>1-01-06009-009</t>
  </si>
  <si>
    <t>TAW6175</t>
  </si>
  <si>
    <t>1-01-06008-009</t>
  </si>
  <si>
    <t>TAW6176</t>
  </si>
  <si>
    <t>1-01-06008-010</t>
  </si>
  <si>
    <t>TAW6189</t>
  </si>
  <si>
    <t>1-01-06010-015</t>
  </si>
  <si>
    <t>TAW6223</t>
  </si>
  <si>
    <t>1-01-06009-011</t>
  </si>
  <si>
    <t>TAW6041</t>
  </si>
  <si>
    <t>1-01-06010-016</t>
  </si>
  <si>
    <t>YAW4728</t>
  </si>
  <si>
    <t>1-01-07014-007</t>
  </si>
  <si>
    <t>YAW4782</t>
  </si>
  <si>
    <t>1-01-13026-008</t>
  </si>
  <si>
    <t>AYW5426</t>
  </si>
  <si>
    <t>1-01-17008-018</t>
  </si>
  <si>
    <t>AYW5433</t>
  </si>
  <si>
    <t>1-01-17008-019</t>
  </si>
  <si>
    <t>AYW5437</t>
  </si>
  <si>
    <t>1-01-17008-020</t>
  </si>
  <si>
    <t>AYW5439</t>
  </si>
  <si>
    <t>1-01-17008-021</t>
  </si>
  <si>
    <t>AYW5457</t>
  </si>
  <si>
    <t>1-01-17020-008</t>
  </si>
  <si>
    <t>AYW5466</t>
  </si>
  <si>
    <t>1-01-17001-023</t>
  </si>
  <si>
    <t>BAW5433</t>
  </si>
  <si>
    <t>1-01-07008-001</t>
  </si>
  <si>
    <t>KCW0298</t>
  </si>
  <si>
    <t>1-01-01002-018</t>
  </si>
  <si>
    <t>KCW0299</t>
  </si>
  <si>
    <t>1-01-01001-022</t>
  </si>
  <si>
    <t>KCW0305</t>
  </si>
  <si>
    <t>1-01-01001-023</t>
  </si>
  <si>
    <t>KNW6155</t>
  </si>
  <si>
    <t>1-01-03001-005</t>
  </si>
  <si>
    <t>KNW6156</t>
  </si>
  <si>
    <t>1-01-03001-006</t>
  </si>
  <si>
    <t>MWW3394</t>
  </si>
  <si>
    <t>1-01-09016-014</t>
  </si>
  <si>
    <t>MWW3406</t>
  </si>
  <si>
    <t>1-01-09004-006</t>
  </si>
  <si>
    <t>MWW3407</t>
  </si>
  <si>
    <t>1-01-09003-003</t>
  </si>
  <si>
    <t>MWW3408</t>
  </si>
  <si>
    <t>1-01-09007-009</t>
  </si>
  <si>
    <t>MAW2636</t>
  </si>
  <si>
    <t>1-01-10017-013</t>
  </si>
  <si>
    <t>MAW2680</t>
  </si>
  <si>
    <t>1-01-10003-006</t>
  </si>
  <si>
    <t>MAW2682</t>
  </si>
  <si>
    <t>1-01-10001-006</t>
  </si>
  <si>
    <t>MAW2683</t>
  </si>
  <si>
    <t>1-01-10004-004</t>
  </si>
  <si>
    <t>MAW2684</t>
  </si>
  <si>
    <t>1-01-10004-005</t>
  </si>
  <si>
    <t>MOW6202</t>
  </si>
  <si>
    <t>1-01-11003-004</t>
  </si>
  <si>
    <t>MOW6207</t>
  </si>
  <si>
    <t>1-01-11008-007</t>
  </si>
  <si>
    <t>MOW6209</t>
  </si>
  <si>
    <t>1-01-11002-004</t>
  </si>
  <si>
    <t>SAW0592</t>
  </si>
  <si>
    <t>1-01-05001-011</t>
  </si>
  <si>
    <t>SAW0595</t>
  </si>
  <si>
    <t>1-01-05004-010</t>
  </si>
  <si>
    <t>SHW1748</t>
  </si>
  <si>
    <t>1-01-15012-012</t>
  </si>
  <si>
    <t>SHW1792</t>
  </si>
  <si>
    <t>1-01-14010-004</t>
  </si>
  <si>
    <t>TAW6234</t>
  </si>
  <si>
    <t>1-01-06002-005</t>
  </si>
  <si>
    <t>MAW2699</t>
  </si>
  <si>
    <t>MAW2701</t>
  </si>
  <si>
    <t>1-01-10005-006</t>
  </si>
  <si>
    <t>MAW2703</t>
  </si>
  <si>
    <t>1-01-10005-007</t>
  </si>
  <si>
    <t>MAW2704</t>
  </si>
  <si>
    <t>1-01-10004-006</t>
  </si>
  <si>
    <t>MAW2705</t>
  </si>
  <si>
    <t>1-01-10001-007</t>
  </si>
  <si>
    <t>MAW2708</t>
  </si>
  <si>
    <t>1-01-10003-007</t>
  </si>
  <si>
    <t>MAW2711</t>
  </si>
  <si>
    <t>1-01-10001-008</t>
  </si>
  <si>
    <t>MAW2715</t>
  </si>
  <si>
    <t>1-01-10003-008</t>
  </si>
  <si>
    <t>MAW2720</t>
  </si>
  <si>
    <t>1-01-10004-008</t>
  </si>
  <si>
    <t>MOW6242</t>
  </si>
  <si>
    <t>1-01-11001-002</t>
  </si>
  <si>
    <t>MOW6243</t>
  </si>
  <si>
    <t>1-01-11001-003</t>
  </si>
  <si>
    <t>MOW6250</t>
  </si>
  <si>
    <t>1-01-11001-004</t>
  </si>
  <si>
    <t>MWW3432</t>
  </si>
  <si>
    <t>1-01-09001-005</t>
  </si>
  <si>
    <t>NPW2234</t>
  </si>
  <si>
    <t>1-01-18006-014</t>
  </si>
  <si>
    <t>NPW2236</t>
  </si>
  <si>
    <t>1-01-18006-015</t>
  </si>
  <si>
    <t>SAW0634</t>
  </si>
  <si>
    <t>1-01-05012-007</t>
  </si>
  <si>
    <t>SAW0635</t>
  </si>
  <si>
    <t>1-01-05012-008</t>
  </si>
  <si>
    <t>SAW0637</t>
  </si>
  <si>
    <t>1-01-05012-009</t>
  </si>
  <si>
    <t>SAW0638</t>
  </si>
  <si>
    <t>1-01-05012-010</t>
  </si>
  <si>
    <t>SAW0639</t>
  </si>
  <si>
    <t>1-01-05012-011</t>
  </si>
  <si>
    <t>SAW0640</t>
  </si>
  <si>
    <t>1-01-05012-012</t>
  </si>
  <si>
    <t>AYW5451</t>
  </si>
  <si>
    <t>BAW5334</t>
  </si>
  <si>
    <t>1-01-08007-006</t>
  </si>
  <si>
    <t>BAW5429</t>
  </si>
  <si>
    <t>1-01-07012-004</t>
  </si>
  <si>
    <t>BAW5432</t>
  </si>
  <si>
    <t>1-01-07014-008</t>
  </si>
  <si>
    <t>BAW5440</t>
  </si>
  <si>
    <t>1-01-07012-005</t>
  </si>
  <si>
    <t>BAW5480</t>
  </si>
  <si>
    <t>1-01-08005-001</t>
  </si>
  <si>
    <t>BAW5487</t>
  </si>
  <si>
    <t>1-01-08005-002</t>
  </si>
  <si>
    <t>MWW3390</t>
  </si>
  <si>
    <t>1-01-09020-013</t>
  </si>
  <si>
    <t>SAW0107</t>
  </si>
  <si>
    <t>1-01-05025-004</t>
  </si>
  <si>
    <t>SHW1313</t>
  </si>
  <si>
    <t>1-01-14012-004</t>
  </si>
  <si>
    <t>SHW1560</t>
  </si>
  <si>
    <t>1-01-15001-019</t>
  </si>
  <si>
    <t>KNW6177</t>
  </si>
  <si>
    <t>1-01-03005-008</t>
  </si>
  <si>
    <t>KNW6178</t>
  </si>
  <si>
    <t>1-01-03005-009</t>
  </si>
  <si>
    <t>KNW6179</t>
  </si>
  <si>
    <t>1-01-03005-010</t>
  </si>
  <si>
    <t>KNW6180</t>
  </si>
  <si>
    <t>1-01-03005-011</t>
  </si>
  <si>
    <t>SHW1812</t>
  </si>
  <si>
    <t>1-01-15009-012</t>
  </si>
  <si>
    <t>SHW1813</t>
  </si>
  <si>
    <t>1-01-15009-013</t>
  </si>
  <si>
    <t>SHW1814</t>
  </si>
  <si>
    <t>1-01-15009-014</t>
  </si>
  <si>
    <t>SAW0068</t>
  </si>
  <si>
    <t>1-01-05029-004</t>
  </si>
  <si>
    <t>AYW5234</t>
  </si>
  <si>
    <t>1-01-17022-006</t>
  </si>
  <si>
    <t>AYW5303</t>
  </si>
  <si>
    <t>KCW0275</t>
  </si>
  <si>
    <t>1-01-01014-016</t>
  </si>
  <si>
    <t>SHW1030</t>
  </si>
  <si>
    <t>1-01-15012-001</t>
  </si>
  <si>
    <t>MAW2746</t>
  </si>
  <si>
    <t>1-01-10002-007</t>
  </si>
  <si>
    <t>MAW2757</t>
  </si>
  <si>
    <t>1-01-10002-010</t>
  </si>
  <si>
    <t>MAW2766</t>
  </si>
  <si>
    <t>1-01-10002-011</t>
  </si>
  <si>
    <t>MAW2767</t>
  </si>
  <si>
    <t>1-01-10001-010</t>
  </si>
  <si>
    <t>MAW2770</t>
  </si>
  <si>
    <t>1-01-10003-011</t>
  </si>
  <si>
    <t>MAW2771</t>
  </si>
  <si>
    <t>1-01-10003-012</t>
  </si>
  <si>
    <t>MAW2772</t>
  </si>
  <si>
    <t>1-01-10004-012</t>
  </si>
  <si>
    <t>MAW2776</t>
  </si>
  <si>
    <t>1-01-10003-013</t>
  </si>
  <si>
    <t>MAW2777</t>
  </si>
  <si>
    <t>1-01-10002-012</t>
  </si>
  <si>
    <t>MAW2668</t>
  </si>
  <si>
    <t>1-01-10024-007</t>
  </si>
  <si>
    <t>MAW2756</t>
  </si>
  <si>
    <t>1-01-10002-009</t>
  </si>
  <si>
    <t>KCW0143</t>
  </si>
  <si>
    <t>1-01-01014-004</t>
  </si>
  <si>
    <t>SH1497</t>
  </si>
  <si>
    <t>1-02-15009-019</t>
  </si>
  <si>
    <t>MD0665</t>
  </si>
  <si>
    <t>1-02-10002-013</t>
  </si>
  <si>
    <t>MD1035</t>
  </si>
  <si>
    <t>1-02-10001-012</t>
  </si>
  <si>
    <t>MD1109</t>
  </si>
  <si>
    <t>1-02-10001-013</t>
  </si>
  <si>
    <t>MD0925</t>
  </si>
  <si>
    <t>1-02-10004-014</t>
  </si>
  <si>
    <t>SG0783</t>
  </si>
  <si>
    <t>1-02-05012-013</t>
  </si>
  <si>
    <t>KCN00136</t>
  </si>
  <si>
    <t>1-03-01009-024</t>
  </si>
  <si>
    <t>KCN00138</t>
  </si>
  <si>
    <t>SGG00409</t>
  </si>
  <si>
    <t>1-03-05037-001</t>
  </si>
  <si>
    <t>SGG00426</t>
  </si>
  <si>
    <t>1-03-05037-002</t>
  </si>
  <si>
    <t>SHS00082</t>
  </si>
  <si>
    <t>1-03-16003-006</t>
  </si>
  <si>
    <t>TNY00267</t>
  </si>
  <si>
    <t>1-03-11006-003</t>
  </si>
  <si>
    <t>KCN00127</t>
  </si>
  <si>
    <t>1-03-01009-025</t>
  </si>
  <si>
    <t>SHE00208</t>
  </si>
  <si>
    <t>1-03-16011-010</t>
  </si>
  <si>
    <t>KCW0099</t>
  </si>
  <si>
    <t>1-01-01001-016</t>
  </si>
  <si>
    <t>YGN01446</t>
  </si>
  <si>
    <t>3-00-13042-001</t>
  </si>
  <si>
    <t>YAM7603</t>
  </si>
  <si>
    <t>3-00-13040-001</t>
  </si>
  <si>
    <t>HTY_6</t>
  </si>
  <si>
    <t>3-00-13008-001</t>
  </si>
  <si>
    <t>291 Waizayandar</t>
  </si>
  <si>
    <t>3-00-13011-001</t>
  </si>
  <si>
    <t>KCN00109</t>
  </si>
  <si>
    <t>SH1131</t>
  </si>
  <si>
    <t>SH0168</t>
  </si>
  <si>
    <t>ANSH_0015</t>
  </si>
  <si>
    <t>SH1088</t>
  </si>
  <si>
    <t>YN4000</t>
  </si>
  <si>
    <t>AYYN_0636</t>
  </si>
  <si>
    <t>YN2138</t>
  </si>
  <si>
    <t>AYYN_0639</t>
  </si>
  <si>
    <t>YN2133</t>
  </si>
  <si>
    <t>AYYN_0635</t>
  </si>
  <si>
    <t>YN1718</t>
  </si>
  <si>
    <t>AYYN_0623</t>
  </si>
  <si>
    <t>YN1688</t>
  </si>
  <si>
    <t>AYYN_0621</t>
  </si>
  <si>
    <t>YN1431</t>
  </si>
  <si>
    <t>AYYN_0617</t>
  </si>
  <si>
    <t>YN1430</t>
  </si>
  <si>
    <t>AYYN_0616</t>
  </si>
  <si>
    <t>YN1425</t>
  </si>
  <si>
    <t>YN1424</t>
  </si>
  <si>
    <t>AYYN_0610</t>
  </si>
  <si>
    <t>YN1423</t>
  </si>
  <si>
    <t>YN1422</t>
  </si>
  <si>
    <t>AYYN_0608</t>
  </si>
  <si>
    <t>YN1421</t>
  </si>
  <si>
    <t>AYYN_0003</t>
  </si>
  <si>
    <t>YN1420</t>
  </si>
  <si>
    <t>AYYN_0002</t>
  </si>
  <si>
    <t>YN1419</t>
  </si>
  <si>
    <t>AYYN_0001</t>
  </si>
  <si>
    <t>YN1354</t>
  </si>
  <si>
    <t>AYYN_0028</t>
  </si>
  <si>
    <t>YN1353</t>
  </si>
  <si>
    <t>AYYN_0027</t>
  </si>
  <si>
    <t>YN1352</t>
  </si>
  <si>
    <t>AYYN_0026</t>
  </si>
  <si>
    <t>YN1351</t>
  </si>
  <si>
    <t>AYYN_0025</t>
  </si>
  <si>
    <t>YN1350</t>
  </si>
  <si>
    <t>AYYN_0024</t>
  </si>
  <si>
    <t>YN1349</t>
  </si>
  <si>
    <t>AYYN_0023</t>
  </si>
  <si>
    <t>YN1347</t>
  </si>
  <si>
    <t>YN1346</t>
  </si>
  <si>
    <t>AYYN_0020</t>
  </si>
  <si>
    <t>YN1345</t>
  </si>
  <si>
    <t>AYYN_0019</t>
  </si>
  <si>
    <t>YN1340</t>
  </si>
  <si>
    <t>AYYN_0018</t>
  </si>
  <si>
    <t>YN1339</t>
  </si>
  <si>
    <t>AYYN_0017</t>
  </si>
  <si>
    <t>YN1307</t>
  </si>
  <si>
    <t>AYYN_0060</t>
  </si>
  <si>
    <t>YN1306</t>
  </si>
  <si>
    <t>AYYN_0059</t>
  </si>
  <si>
    <t>YN1273</t>
  </si>
  <si>
    <t>AYYN_0049</t>
  </si>
  <si>
    <t>YN1272</t>
  </si>
  <si>
    <t>AYYN_0048</t>
  </si>
  <si>
    <t>YN1266</t>
  </si>
  <si>
    <t>AYYN_0047</t>
  </si>
  <si>
    <t>YN1241</t>
  </si>
  <si>
    <t>AYYN_0046</t>
  </si>
  <si>
    <t>YN1209</t>
  </si>
  <si>
    <t>AYYN_0042</t>
  </si>
  <si>
    <t>YN1203</t>
  </si>
  <si>
    <t>AYYN_0038</t>
  </si>
  <si>
    <t>YN1202</t>
  </si>
  <si>
    <t>AYYN_0037</t>
  </si>
  <si>
    <t>YN1201</t>
  </si>
  <si>
    <t>AYYN_0036</t>
  </si>
  <si>
    <t>YN1200</t>
  </si>
  <si>
    <t>AYYN_0035</t>
  </si>
  <si>
    <t>YN1198</t>
  </si>
  <si>
    <t>AYYN_0034</t>
  </si>
  <si>
    <t>YN1178</t>
  </si>
  <si>
    <t>AYYN_0194</t>
  </si>
  <si>
    <t>YN1173</t>
  </si>
  <si>
    <t>AYYN_0193</t>
  </si>
  <si>
    <t>YN1166</t>
  </si>
  <si>
    <t>AYYN_0192</t>
  </si>
  <si>
    <t>YN1159</t>
  </si>
  <si>
    <t>AYYN_0191</t>
  </si>
  <si>
    <t>YN1148</t>
  </si>
  <si>
    <t>AYYN_0190</t>
  </si>
  <si>
    <t>YN1143</t>
  </si>
  <si>
    <t>AYYN_0189</t>
  </si>
  <si>
    <t>YN1142</t>
  </si>
  <si>
    <t>AYYN_0188</t>
  </si>
  <si>
    <t>YN1139</t>
  </si>
  <si>
    <t>AYYN_0187</t>
  </si>
  <si>
    <t>YN1132</t>
  </si>
  <si>
    <t>AYYN_0186</t>
  </si>
  <si>
    <t>YN1128</t>
  </si>
  <si>
    <t>AYYN_0185</t>
  </si>
  <si>
    <t>YN1122</t>
  </si>
  <si>
    <t>AYYN_0184</t>
  </si>
  <si>
    <t>YN1121</t>
  </si>
  <si>
    <t>AYYN_0183</t>
  </si>
  <si>
    <t>YN1120</t>
  </si>
  <si>
    <t>AYYN_0182</t>
  </si>
  <si>
    <t>YN1115</t>
  </si>
  <si>
    <t>AYYN_0220</t>
  </si>
  <si>
    <t>YN1111</t>
  </si>
  <si>
    <t>AYYN_0219</t>
  </si>
  <si>
    <t>YN1110</t>
  </si>
  <si>
    <t>AYYN_0180</t>
  </si>
  <si>
    <t>YN1108</t>
  </si>
  <si>
    <t>AYYN_0179</t>
  </si>
  <si>
    <t>YN1107</t>
  </si>
  <si>
    <t>AYYN_0218</t>
  </si>
  <si>
    <t>YN1105</t>
  </si>
  <si>
    <t>AYYN_0178</t>
  </si>
  <si>
    <t>YN1101</t>
  </si>
  <si>
    <t>AYYN_0177</t>
  </si>
  <si>
    <t>YN1099</t>
  </si>
  <si>
    <t>AYYN_0217</t>
  </si>
  <si>
    <t>YN1095</t>
  </si>
  <si>
    <t>AYYN_0216</t>
  </si>
  <si>
    <t>YN1094</t>
  </si>
  <si>
    <t>AYYN_0215</t>
  </si>
  <si>
    <t>YN1092</t>
  </si>
  <si>
    <t>AYYN_0214</t>
  </si>
  <si>
    <t>YN1090</t>
  </si>
  <si>
    <t>AYYN_0213</t>
  </si>
  <si>
    <t>YN1089</t>
  </si>
  <si>
    <t>AYYN_0176</t>
  </si>
  <si>
    <t>YN1085</t>
  </si>
  <si>
    <t>AYYN_0175</t>
  </si>
  <si>
    <t>YN1084</t>
  </si>
  <si>
    <t>AYYN_0174</t>
  </si>
  <si>
    <t>YN1083</t>
  </si>
  <si>
    <t>AYYN_0212</t>
  </si>
  <si>
    <t>YN1080</t>
  </si>
  <si>
    <t>AYYN_0211</t>
  </si>
  <si>
    <t>YN1079</t>
  </si>
  <si>
    <t>AYYN_0210</t>
  </si>
  <si>
    <t>YN1073</t>
  </si>
  <si>
    <t>AYYN_0173</t>
  </si>
  <si>
    <t>YN1072</t>
  </si>
  <si>
    <t>AYYN_0209</t>
  </si>
  <si>
    <t>YN1063</t>
  </si>
  <si>
    <t>AYYN_0208</t>
  </si>
  <si>
    <t>YN1060</t>
  </si>
  <si>
    <t>AYYN_0172</t>
  </si>
  <si>
    <t>YN1051</t>
  </si>
  <si>
    <t>AYYN_0207</t>
  </si>
  <si>
    <t>YN1048</t>
  </si>
  <si>
    <t>AYYN_0241</t>
  </si>
  <si>
    <t>YN1047</t>
  </si>
  <si>
    <t>YN1044</t>
  </si>
  <si>
    <t>YN1043</t>
  </si>
  <si>
    <t>AYYN_0240</t>
  </si>
  <si>
    <t>YN1041</t>
  </si>
  <si>
    <t>AYYN_0239</t>
  </si>
  <si>
    <t>YN1039</t>
  </si>
  <si>
    <t>AYYN_0238</t>
  </si>
  <si>
    <t>YN1036</t>
  </si>
  <si>
    <t>AYYN_0170</t>
  </si>
  <si>
    <t>YN1035</t>
  </si>
  <si>
    <t>AYYN_0237</t>
  </si>
  <si>
    <t>YN1034</t>
  </si>
  <si>
    <t>AYYN_0236</t>
  </si>
  <si>
    <t>YN1033</t>
  </si>
  <si>
    <t>AYYN_0169</t>
  </si>
  <si>
    <t>YN1032</t>
  </si>
  <si>
    <t>AYYN_0168</t>
  </si>
  <si>
    <t>YN1030</t>
  </si>
  <si>
    <t>AYYN_0235</t>
  </si>
  <si>
    <t>YN1027</t>
  </si>
  <si>
    <t>AYYN_0566</t>
  </si>
  <si>
    <t>YN1026</t>
  </si>
  <si>
    <t>AYYN_0565</t>
  </si>
  <si>
    <t>YN1025</t>
  </si>
  <si>
    <t>AYYN_0167</t>
  </si>
  <si>
    <t>YN1022</t>
  </si>
  <si>
    <t>AYYN_0564</t>
  </si>
  <si>
    <t>YN1018</t>
  </si>
  <si>
    <t>AYYN_0563</t>
  </si>
  <si>
    <t>YN1016</t>
  </si>
  <si>
    <t>AYYN_0166</t>
  </si>
  <si>
    <t>YN1015</t>
  </si>
  <si>
    <t>AYYN_0165</t>
  </si>
  <si>
    <t>YN1014</t>
  </si>
  <si>
    <t>AYYN_0234</t>
  </si>
  <si>
    <t>YN1012</t>
  </si>
  <si>
    <t>AYYN_0164</t>
  </si>
  <si>
    <t>YN1011</t>
  </si>
  <si>
    <t>AYYN_0163</t>
  </si>
  <si>
    <t>YN1008</t>
  </si>
  <si>
    <t>AYYN_0562</t>
  </si>
  <si>
    <t>YN1007</t>
  </si>
  <si>
    <t>AYYN_0561</t>
  </si>
  <si>
    <t>YN1006</t>
  </si>
  <si>
    <t>AYYN_0560</t>
  </si>
  <si>
    <t>YN1005</t>
  </si>
  <si>
    <t>AYYN_0162</t>
  </si>
  <si>
    <t>YN1004</t>
  </si>
  <si>
    <t>AYYN_0161</t>
  </si>
  <si>
    <t>YN1003</t>
  </si>
  <si>
    <t>AYYN_0233</t>
  </si>
  <si>
    <t>YN0998</t>
  </si>
  <si>
    <t>AYYN_0559</t>
  </si>
  <si>
    <t>YN0993</t>
  </si>
  <si>
    <t>AYYN_0232</t>
  </si>
  <si>
    <t>YN0992</t>
  </si>
  <si>
    <t>AYYN_0231</t>
  </si>
  <si>
    <t>YN0989</t>
  </si>
  <si>
    <t>AYYN_0558</t>
  </si>
  <si>
    <t>YN0988</t>
  </si>
  <si>
    <t>AYYN_0557</t>
  </si>
  <si>
    <t>YN0986</t>
  </si>
  <si>
    <t>AYYN_0556</t>
  </si>
  <si>
    <t>YN0980</t>
  </si>
  <si>
    <t>AYYN_0230</t>
  </si>
  <si>
    <t>YN0971</t>
  </si>
  <si>
    <t>AYYN_0158</t>
  </si>
  <si>
    <t>YN0964</t>
  </si>
  <si>
    <t>AYYN_0229</t>
  </si>
  <si>
    <t>YN0963</t>
  </si>
  <si>
    <t>AYYN_0228</t>
  </si>
  <si>
    <t>YN0961</t>
  </si>
  <si>
    <t>AYYN_0227</t>
  </si>
  <si>
    <t>YN0952</t>
  </si>
  <si>
    <t>AYYN_0157</t>
  </si>
  <si>
    <t>YN0940</t>
  </si>
  <si>
    <t>AYYN_0421</t>
  </si>
  <si>
    <t>YN0934</t>
  </si>
  <si>
    <t>AYYN_0155</t>
  </si>
  <si>
    <t>YN0930</t>
  </si>
  <si>
    <t>YN0923</t>
  </si>
  <si>
    <t>AYYN_0420</t>
  </si>
  <si>
    <t>YN0922</t>
  </si>
  <si>
    <t>YN0921</t>
  </si>
  <si>
    <t>YN0915</t>
  </si>
  <si>
    <t>AYYN_0417</t>
  </si>
  <si>
    <t>YN0914</t>
  </si>
  <si>
    <t>YN0906</t>
  </si>
  <si>
    <t>AYYN_0152</t>
  </si>
  <si>
    <t>YN0903</t>
  </si>
  <si>
    <t>AYYN_0398</t>
  </si>
  <si>
    <t>YN0900</t>
  </si>
  <si>
    <t>AYYN_0151</t>
  </si>
  <si>
    <t>YN0887</t>
  </si>
  <si>
    <t>YN0884</t>
  </si>
  <si>
    <t>YN0877</t>
  </si>
  <si>
    <t>AYYN_0412</t>
  </si>
  <si>
    <t>YN0876</t>
  </si>
  <si>
    <t>YN0875</t>
  </si>
  <si>
    <t>AYYN_0395</t>
  </si>
  <si>
    <t>YN0873</t>
  </si>
  <si>
    <t>AYYN_0410</t>
  </si>
  <si>
    <t>YN0867</t>
  </si>
  <si>
    <t>AYYN_0409</t>
  </si>
  <si>
    <t>YN0865</t>
  </si>
  <si>
    <t>AYYN_0408</t>
  </si>
  <si>
    <t>YN0864_C</t>
  </si>
  <si>
    <t>AYYN_9976</t>
  </si>
  <si>
    <t>YN0863</t>
  </si>
  <si>
    <t>AYYN_0393</t>
  </si>
  <si>
    <t>YN0853</t>
  </si>
  <si>
    <t>AYYN_0406</t>
  </si>
  <si>
    <t>YN0848</t>
  </si>
  <si>
    <t>YN0843_C</t>
  </si>
  <si>
    <t>AYYN_9978</t>
  </si>
  <si>
    <t>YN0838</t>
  </si>
  <si>
    <t>YN0835</t>
  </si>
  <si>
    <t>AYYN_0402</t>
  </si>
  <si>
    <t>YN0833</t>
  </si>
  <si>
    <t>AYYN_0390</t>
  </si>
  <si>
    <t>YN0826</t>
  </si>
  <si>
    <t>YN0825</t>
  </si>
  <si>
    <t>AYYN_0388</t>
  </si>
  <si>
    <t>YN0824</t>
  </si>
  <si>
    <t>AYYN_0555</t>
  </si>
  <si>
    <t>YN0820</t>
  </si>
  <si>
    <t>AYYN_0554</t>
  </si>
  <si>
    <t>YN0818</t>
  </si>
  <si>
    <t>YN0816</t>
  </si>
  <si>
    <t>AYYN_0387</t>
  </si>
  <si>
    <t>YN0815</t>
  </si>
  <si>
    <t>YN0808</t>
  </si>
  <si>
    <t>AYYN_0386</t>
  </si>
  <si>
    <t>YN0807</t>
  </si>
  <si>
    <t>AYYN_0385</t>
  </si>
  <si>
    <t>YN0803</t>
  </si>
  <si>
    <t>AYYN_0147</t>
  </si>
  <si>
    <t>YN0802</t>
  </si>
  <si>
    <t>YN0799</t>
  </si>
  <si>
    <t>AYYN_0383</t>
  </si>
  <si>
    <t>YN0789</t>
  </si>
  <si>
    <t>AYYN_0551</t>
  </si>
  <si>
    <t>YN0787</t>
  </si>
  <si>
    <t>AYYN_0146</t>
  </si>
  <si>
    <t>YN0782</t>
  </si>
  <si>
    <t>AYYN_0380</t>
  </si>
  <si>
    <t>YN0779</t>
  </si>
  <si>
    <t>AYYN_0378</t>
  </si>
  <si>
    <t>YN0778</t>
  </si>
  <si>
    <t>AYYN_0550</t>
  </si>
  <si>
    <t>YN0777</t>
  </si>
  <si>
    <t>AYYN_0377</t>
  </si>
  <si>
    <t>YN0776</t>
  </si>
  <si>
    <t>AYYN_0376</t>
  </si>
  <si>
    <t>YN0769</t>
  </si>
  <si>
    <t>AYYN_0373</t>
  </si>
  <si>
    <t>YN0766</t>
  </si>
  <si>
    <t>AYYN_0548</t>
  </si>
  <si>
    <t>YN0765</t>
  </si>
  <si>
    <t>AYYN_0372</t>
  </si>
  <si>
    <t>YN0760</t>
  </si>
  <si>
    <t>AYYN_0375</t>
  </si>
  <si>
    <t>YN0759</t>
  </si>
  <si>
    <t>YN0757</t>
  </si>
  <si>
    <t>AYYN_0374</t>
  </si>
  <si>
    <t>YN0754</t>
  </si>
  <si>
    <t>AYYN_0370</t>
  </si>
  <si>
    <t>YN0753</t>
  </si>
  <si>
    <t>AYYN_0526</t>
  </si>
  <si>
    <t>YN0740</t>
  </si>
  <si>
    <t>AYYN_0367</t>
  </si>
  <si>
    <t>YN0728</t>
  </si>
  <si>
    <t>AYYN_0525</t>
  </si>
  <si>
    <t>YN0727</t>
  </si>
  <si>
    <t>YN0723</t>
  </si>
  <si>
    <t>AYYN_0364</t>
  </si>
  <si>
    <t>YN0722</t>
  </si>
  <si>
    <t>YN0717</t>
  </si>
  <si>
    <t>AYYN_0362</t>
  </si>
  <si>
    <t>YN0716</t>
  </si>
  <si>
    <t>YN0714</t>
  </si>
  <si>
    <t>AYYN_0361</t>
  </si>
  <si>
    <t>YN0713</t>
  </si>
  <si>
    <t>AYYN_0524</t>
  </si>
  <si>
    <t>YN0710</t>
  </si>
  <si>
    <t>AYYN_0523</t>
  </si>
  <si>
    <t>YN0708</t>
  </si>
  <si>
    <t>AYYN_0359</t>
  </si>
  <si>
    <t>YN0707</t>
  </si>
  <si>
    <t>AYYN_0542</t>
  </si>
  <si>
    <t>YN0699</t>
  </si>
  <si>
    <t>AYYN_0541</t>
  </si>
  <si>
    <t>YN0697</t>
  </si>
  <si>
    <t>AYYN_0540</t>
  </si>
  <si>
    <t>YN0696</t>
  </si>
  <si>
    <t>AYYN_0357</t>
  </si>
  <si>
    <t>YN0695</t>
  </si>
  <si>
    <t>AYYN_0522</t>
  </si>
  <si>
    <t>YN0693</t>
  </si>
  <si>
    <t>AYYN_0539</t>
  </si>
  <si>
    <t>YN0691</t>
  </si>
  <si>
    <t>AYYN_0355</t>
  </si>
  <si>
    <t>YN0689</t>
  </si>
  <si>
    <t>YN0685</t>
  </si>
  <si>
    <t>AYYN_0537</t>
  </si>
  <si>
    <t>YN0680</t>
  </si>
  <si>
    <t>AYYN_0521</t>
  </si>
  <si>
    <t>YN0676</t>
  </si>
  <si>
    <t>YN0668</t>
  </si>
  <si>
    <t>YN0665_R</t>
  </si>
  <si>
    <t>AYYN_0030</t>
  </si>
  <si>
    <t>YN0659</t>
  </si>
  <si>
    <t>AYYN_0351</t>
  </si>
  <si>
    <t>YN0657</t>
  </si>
  <si>
    <t>YN0644</t>
  </si>
  <si>
    <t>AYYN_0535</t>
  </si>
  <si>
    <t>YN0639</t>
  </si>
  <si>
    <t>YN0636</t>
  </si>
  <si>
    <t>AYYN_0143</t>
  </si>
  <si>
    <t>YN0635</t>
  </si>
  <si>
    <t>YN0632</t>
  </si>
  <si>
    <t>AYYN_0350</t>
  </si>
  <si>
    <t>YN0630</t>
  </si>
  <si>
    <t>AYYN_0349</t>
  </si>
  <si>
    <t>YN0627</t>
  </si>
  <si>
    <t>AYYN_0348</t>
  </si>
  <si>
    <t>YN0626</t>
  </si>
  <si>
    <t>AYYN_0142</t>
  </si>
  <si>
    <t>YN0625</t>
  </si>
  <si>
    <t>YN0620</t>
  </si>
  <si>
    <t>YN0619</t>
  </si>
  <si>
    <t>AYYN_0347</t>
  </si>
  <si>
    <t>YN0617</t>
  </si>
  <si>
    <t>AYYN_0320</t>
  </si>
  <si>
    <t>YN0614</t>
  </si>
  <si>
    <t>AYYN_0532</t>
  </si>
  <si>
    <t>YN0612</t>
  </si>
  <si>
    <t>AYYN_0516</t>
  </si>
  <si>
    <t>YN0610</t>
  </si>
  <si>
    <t>AYYN_0505</t>
  </si>
  <si>
    <t>YN0609</t>
  </si>
  <si>
    <t>YN0608</t>
  </si>
  <si>
    <t>AYYN_0515</t>
  </si>
  <si>
    <t>YN0601</t>
  </si>
  <si>
    <t>AYYN_0514</t>
  </si>
  <si>
    <t>YN0599_R</t>
  </si>
  <si>
    <t>YN0591</t>
  </si>
  <si>
    <t>YN0585</t>
  </si>
  <si>
    <t>AYYN_0315</t>
  </si>
  <si>
    <t>YN0579</t>
  </si>
  <si>
    <t>AYYN_0314</t>
  </si>
  <si>
    <t>YN0576</t>
  </si>
  <si>
    <t>AYYN_0313</t>
  </si>
  <si>
    <t>YN0572</t>
  </si>
  <si>
    <t>AYYN_0512</t>
  </si>
  <si>
    <t>YN0570</t>
  </si>
  <si>
    <t>AYYN_0503</t>
  </si>
  <si>
    <t>YN0569</t>
  </si>
  <si>
    <t>AYYN_0502</t>
  </si>
  <si>
    <t>YN0567</t>
  </si>
  <si>
    <t>AYYN_0531</t>
  </si>
  <si>
    <t>YN0565</t>
  </si>
  <si>
    <t>AYYN_0511</t>
  </si>
  <si>
    <t>YN0560</t>
  </si>
  <si>
    <t>AYYN_0312</t>
  </si>
  <si>
    <t>YN0559</t>
  </si>
  <si>
    <t>AYYN_0501</t>
  </si>
  <si>
    <t>YN0558</t>
  </si>
  <si>
    <t>AYYN_0510</t>
  </si>
  <si>
    <t>YN0549</t>
  </si>
  <si>
    <t>AYYN_0500</t>
  </si>
  <si>
    <t>YN0548</t>
  </si>
  <si>
    <t>YN0547</t>
  </si>
  <si>
    <t>AYYN_0311</t>
  </si>
  <si>
    <t>YN0546</t>
  </si>
  <si>
    <t>YN0545</t>
  </si>
  <si>
    <t>YN0544</t>
  </si>
  <si>
    <t>AYYN_0140</t>
  </si>
  <si>
    <t>YN0543</t>
  </si>
  <si>
    <t>AYYN_0310</t>
  </si>
  <si>
    <t>YN0541</t>
  </si>
  <si>
    <t>AYYN_0343</t>
  </si>
  <si>
    <t>YN0538</t>
  </si>
  <si>
    <t>YN0536</t>
  </si>
  <si>
    <t>AYYN_0342</t>
  </si>
  <si>
    <t>YN0534</t>
  </si>
  <si>
    <t>AYYN_0308</t>
  </si>
  <si>
    <t>YN0533</t>
  </si>
  <si>
    <t>AYYN_0498</t>
  </si>
  <si>
    <t>YN0531</t>
  </si>
  <si>
    <t>AYYN_0509</t>
  </si>
  <si>
    <t>YN0530_C</t>
  </si>
  <si>
    <t>AYYN_9966</t>
  </si>
  <si>
    <t>YN0529</t>
  </si>
  <si>
    <t>AYYN_0307</t>
  </si>
  <si>
    <t>YN0525</t>
  </si>
  <si>
    <t>AYYN_0497</t>
  </si>
  <si>
    <t>YN0524</t>
  </si>
  <si>
    <t>YN0517</t>
  </si>
  <si>
    <t>AYYN_0305</t>
  </si>
  <si>
    <t>YN0515</t>
  </si>
  <si>
    <t>YN0514</t>
  </si>
  <si>
    <t>AYYN_0496</t>
  </si>
  <si>
    <t>YN0513</t>
  </si>
  <si>
    <t>AYYN_0507</t>
  </si>
  <si>
    <t>YN0512</t>
  </si>
  <si>
    <t>YN0511_R</t>
  </si>
  <si>
    <t>AYYN_0063</t>
  </si>
  <si>
    <t>YN0509</t>
  </si>
  <si>
    <t>AYYN_0304</t>
  </si>
  <si>
    <t>YN0505</t>
  </si>
  <si>
    <t>AYYN_0138</t>
  </si>
  <si>
    <t>YN0504</t>
  </si>
  <si>
    <t>AYYN_0137</t>
  </si>
  <si>
    <t>YN0500</t>
  </si>
  <si>
    <t>AYYN_0136</t>
  </si>
  <si>
    <t>YN0497</t>
  </si>
  <si>
    <t>AYYN_0303</t>
  </si>
  <si>
    <t>YN0496</t>
  </si>
  <si>
    <t>YN0494</t>
  </si>
  <si>
    <t>AYYN_0302</t>
  </si>
  <si>
    <t>YN0491</t>
  </si>
  <si>
    <t>AYYN_0134</t>
  </si>
  <si>
    <t>YN0487</t>
  </si>
  <si>
    <t>AYYN_0301</t>
  </si>
  <si>
    <t>YN0484</t>
  </si>
  <si>
    <t>AYYN_0495</t>
  </si>
  <si>
    <t>YN0481</t>
  </si>
  <si>
    <t>YN0479</t>
  </si>
  <si>
    <t>AYYN_0133</t>
  </si>
  <si>
    <t>YN0478</t>
  </si>
  <si>
    <t>AYYN_0479</t>
  </si>
  <si>
    <t>YN0477</t>
  </si>
  <si>
    <t>AYYN_0478</t>
  </si>
  <si>
    <t>YN0476</t>
  </si>
  <si>
    <t>AYYN_0477</t>
  </si>
  <si>
    <t>YN0475</t>
  </si>
  <si>
    <t>AYYN_0493</t>
  </si>
  <si>
    <t>YN0474</t>
  </si>
  <si>
    <t>YN0472</t>
  </si>
  <si>
    <t>YN0471</t>
  </si>
  <si>
    <t>AYYN_0476</t>
  </si>
  <si>
    <t>YN0469</t>
  </si>
  <si>
    <t>AYYN_0299</t>
  </si>
  <si>
    <t>YN0463</t>
  </si>
  <si>
    <t>AYYN_0475</t>
  </si>
  <si>
    <t>YN0462</t>
  </si>
  <si>
    <t>AYYN_0298</t>
  </si>
  <si>
    <t>YN0461</t>
  </si>
  <si>
    <t>AYYN_0336</t>
  </si>
  <si>
    <t>YN0460</t>
  </si>
  <si>
    <t>AYYN_0131</t>
  </si>
  <si>
    <t>YN0455</t>
  </si>
  <si>
    <t>AYYN_0297</t>
  </si>
  <si>
    <t>YN0448</t>
  </si>
  <si>
    <t>AYYN_0492</t>
  </si>
  <si>
    <t>YN0447</t>
  </si>
  <si>
    <t>AYYN_0491</t>
  </si>
  <si>
    <t>YN0444</t>
  </si>
  <si>
    <t>AYYN_0295</t>
  </si>
  <si>
    <t>YN0443</t>
  </si>
  <si>
    <t>YN0442</t>
  </si>
  <si>
    <t>AYYN_0335</t>
  </si>
  <si>
    <t>YN0440</t>
  </si>
  <si>
    <t>AYYN_0293</t>
  </si>
  <si>
    <t>YN0439</t>
  </si>
  <si>
    <t>YN0438</t>
  </si>
  <si>
    <t>AYYN_0130</t>
  </si>
  <si>
    <t>YN0437</t>
  </si>
  <si>
    <t>AYYN_0473</t>
  </si>
  <si>
    <t>YN0434</t>
  </si>
  <si>
    <t>AYYN_0472</t>
  </si>
  <si>
    <t>YN0433</t>
  </si>
  <si>
    <t>AYYN_0490</t>
  </si>
  <si>
    <t>YN0432</t>
  </si>
  <si>
    <t>AYYN_0292</t>
  </si>
  <si>
    <t>YN0430</t>
  </si>
  <si>
    <t>AYYN_0291</t>
  </si>
  <si>
    <t>YN0427</t>
  </si>
  <si>
    <t>AYYN_0489</t>
  </si>
  <si>
    <t>YN0422</t>
  </si>
  <si>
    <t>YN0421</t>
  </si>
  <si>
    <t>AYYN_0290</t>
  </si>
  <si>
    <t>YN0420</t>
  </si>
  <si>
    <t>AYYN_0471</t>
  </si>
  <si>
    <t>YN0417</t>
  </si>
  <si>
    <t>AYYN_0470</t>
  </si>
  <si>
    <t>YN0415</t>
  </si>
  <si>
    <t>YN0412</t>
  </si>
  <si>
    <t>AYYN_0127</t>
  </si>
  <si>
    <t>YN0407</t>
  </si>
  <si>
    <t>AYYN_0487</t>
  </si>
  <si>
    <t>YN0406</t>
  </si>
  <si>
    <t>AYYN_0124</t>
  </si>
  <si>
    <t>YN0405</t>
  </si>
  <si>
    <t>AYYN_0486</t>
  </si>
  <si>
    <t>YN0402</t>
  </si>
  <si>
    <t>YN0400</t>
  </si>
  <si>
    <t>AYYN_0122</t>
  </si>
  <si>
    <t>YN0399</t>
  </si>
  <si>
    <t>AYYN_0288</t>
  </si>
  <si>
    <t>YN0395</t>
  </si>
  <si>
    <t>AYYN_0332</t>
  </si>
  <si>
    <t>YN0392</t>
  </si>
  <si>
    <t>AYYN_0287</t>
  </si>
  <si>
    <t>YN0391</t>
  </si>
  <si>
    <t>YN0389</t>
  </si>
  <si>
    <t>AYYN_0468</t>
  </si>
  <si>
    <t>YN0386</t>
  </si>
  <si>
    <t>AYYN_0286</t>
  </si>
  <si>
    <t>YN0384_C</t>
  </si>
  <si>
    <t>AYYN_9989</t>
  </si>
  <si>
    <t>YN0382</t>
  </si>
  <si>
    <t>AYYN_0120</t>
  </si>
  <si>
    <t>YN0381</t>
  </si>
  <si>
    <t>AYYN_0484</t>
  </si>
  <si>
    <t>YN0379</t>
  </si>
  <si>
    <t>YN0377</t>
  </si>
  <si>
    <t>YN0376</t>
  </si>
  <si>
    <t>AYYN_0483</t>
  </si>
  <si>
    <t>YN0373</t>
  </si>
  <si>
    <t>AYYN_0467</t>
  </si>
  <si>
    <t>YN0371</t>
  </si>
  <si>
    <t>YN0369</t>
  </si>
  <si>
    <t>AYYN_0283</t>
  </si>
  <si>
    <t>YN0366</t>
  </si>
  <si>
    <t>AYYN_0466</t>
  </si>
  <si>
    <t>YN0365</t>
  </si>
  <si>
    <t>AYYN_0465</t>
  </si>
  <si>
    <t>YN0363</t>
  </si>
  <si>
    <t>AYYN_0464</t>
  </si>
  <si>
    <t>YN0361</t>
  </si>
  <si>
    <t>AYYN_0282</t>
  </si>
  <si>
    <t>YN0359</t>
  </si>
  <si>
    <t>AYYN_0329</t>
  </si>
  <si>
    <t>YN0358</t>
  </si>
  <si>
    <t>AYYN_0281</t>
  </si>
  <si>
    <t>YN0356</t>
  </si>
  <si>
    <t>AYYN_0328</t>
  </si>
  <si>
    <t>YN0354</t>
  </si>
  <si>
    <t>AYYN_0280</t>
  </si>
  <si>
    <t>YN0352</t>
  </si>
  <si>
    <t>AYYN_0482</t>
  </si>
  <si>
    <t>YN0349</t>
  </si>
  <si>
    <t>AYYN_0279</t>
  </si>
  <si>
    <t>YN0345</t>
  </si>
  <si>
    <t>AYYN_0278</t>
  </si>
  <si>
    <t>YN0342</t>
  </si>
  <si>
    <t>AYYN_0463</t>
  </si>
  <si>
    <t>YN0340</t>
  </si>
  <si>
    <t>AYYN_0117</t>
  </si>
  <si>
    <t>YN0339</t>
  </si>
  <si>
    <t>AYYN_0449</t>
  </si>
  <si>
    <t>YN0337</t>
  </si>
  <si>
    <t>AYYN_0462</t>
  </si>
  <si>
    <t>YN0336</t>
  </si>
  <si>
    <t>AYYN_0461</t>
  </si>
  <si>
    <t>YN0334</t>
  </si>
  <si>
    <t>AYYN_0481</t>
  </si>
  <si>
    <t>YN0332_C</t>
  </si>
  <si>
    <t>AYYN_9991</t>
  </si>
  <si>
    <t>YN0331</t>
  </si>
  <si>
    <t>AYYN_0277</t>
  </si>
  <si>
    <t>YN0330</t>
  </si>
  <si>
    <t>AYYN_0326</t>
  </si>
  <si>
    <t>YN0327</t>
  </si>
  <si>
    <t>AYYN_0115</t>
  </si>
  <si>
    <t>YN0325</t>
  </si>
  <si>
    <t>AYYN_0276</t>
  </si>
  <si>
    <t>YN0324</t>
  </si>
  <si>
    <t>AYYN_0460</t>
  </si>
  <si>
    <t>YN0318</t>
  </si>
  <si>
    <t>AYYN_0114</t>
  </si>
  <si>
    <t>YN0317</t>
  </si>
  <si>
    <t>AYYN_0275</t>
  </si>
  <si>
    <t>YN0315</t>
  </si>
  <si>
    <t>AYYN_0459</t>
  </si>
  <si>
    <t>YN0312</t>
  </si>
  <si>
    <t>AYYN_0458</t>
  </si>
  <si>
    <t>YN0310</t>
  </si>
  <si>
    <t>AYYN_0447</t>
  </si>
  <si>
    <t>YN0309</t>
  </si>
  <si>
    <t>AYYN_0480</t>
  </si>
  <si>
    <t>YN0306</t>
  </si>
  <si>
    <t>AYYN_0446</t>
  </si>
  <si>
    <t>YN0304</t>
  </si>
  <si>
    <t>AYYN_0457</t>
  </si>
  <si>
    <t>YN0303</t>
  </si>
  <si>
    <t>AYYN_0274</t>
  </si>
  <si>
    <t>YN0299</t>
  </si>
  <si>
    <t>YN0298</t>
  </si>
  <si>
    <t>AYYN_0445</t>
  </si>
  <si>
    <t>YN0296</t>
  </si>
  <si>
    <t>AYYN_0273</t>
  </si>
  <si>
    <t>YN0294</t>
  </si>
  <si>
    <t>AYYN_0272</t>
  </si>
  <si>
    <t>YN0293</t>
  </si>
  <si>
    <t>YN0286</t>
  </si>
  <si>
    <t>AYYN_0444</t>
  </si>
  <si>
    <t>YN0285</t>
  </si>
  <si>
    <t>AYYN_0443</t>
  </si>
  <si>
    <t>YN0281</t>
  </si>
  <si>
    <t>YN0280</t>
  </si>
  <si>
    <t>AYYN_0455</t>
  </si>
  <si>
    <t>YN0279</t>
  </si>
  <si>
    <t>YN0278</t>
  </si>
  <si>
    <t>YN0275</t>
  </si>
  <si>
    <t>AYYN_0439</t>
  </si>
  <si>
    <t>YN0274</t>
  </si>
  <si>
    <t>AYYN_0109</t>
  </si>
  <si>
    <t>YN0273</t>
  </si>
  <si>
    <t>AYYN_0268</t>
  </si>
  <si>
    <t>YN0270</t>
  </si>
  <si>
    <t>AYYN_0271</t>
  </si>
  <si>
    <t>YN0266</t>
  </si>
  <si>
    <t>AYYN_0108</t>
  </si>
  <si>
    <t>YN0260</t>
  </si>
  <si>
    <t>AYYN_0438</t>
  </si>
  <si>
    <t>YN0258</t>
  </si>
  <si>
    <t>AYYN_0105</t>
  </si>
  <si>
    <t>YN0256</t>
  </si>
  <si>
    <t>AYYN_0267</t>
  </si>
  <si>
    <t>YN0254</t>
  </si>
  <si>
    <t>AYYN_0437</t>
  </si>
  <si>
    <t>YN0250</t>
  </si>
  <si>
    <t>YN0247</t>
  </si>
  <si>
    <t>AYYN_0436</t>
  </si>
  <si>
    <t>YN0246</t>
  </si>
  <si>
    <t>AYYN_0453</t>
  </si>
  <si>
    <t>YN0245</t>
  </si>
  <si>
    <t>AYYN_0435</t>
  </si>
  <si>
    <t>YN0243</t>
  </si>
  <si>
    <t>AYYN_0434</t>
  </si>
  <si>
    <t>YN0242</t>
  </si>
  <si>
    <t>AYYN_0103</t>
  </si>
  <si>
    <t>YN0241</t>
  </si>
  <si>
    <t>AYYN_0452</t>
  </si>
  <si>
    <t>YN0238</t>
  </si>
  <si>
    <t>AYYN_0270</t>
  </si>
  <si>
    <t>YN0237</t>
  </si>
  <si>
    <t>AYYN_0102</t>
  </si>
  <si>
    <t>YN0232</t>
  </si>
  <si>
    <t>YN0229</t>
  </si>
  <si>
    <t>AYYN_0101</t>
  </si>
  <si>
    <t>YN0228</t>
  </si>
  <si>
    <t>AYYN_0263</t>
  </si>
  <si>
    <t>YN0225</t>
  </si>
  <si>
    <t>AYYN_0433</t>
  </si>
  <si>
    <t>YN0224</t>
  </si>
  <si>
    <t>YN0222</t>
  </si>
  <si>
    <t>AYYN_0432</t>
  </si>
  <si>
    <t>YN0221</t>
  </si>
  <si>
    <t>YN0220</t>
  </si>
  <si>
    <t>AYYN_0098</t>
  </si>
  <si>
    <t>YN0219</t>
  </si>
  <si>
    <t>AYYN_0097</t>
  </si>
  <si>
    <t>YN0218</t>
  </si>
  <si>
    <t>AYYN_0262</t>
  </si>
  <si>
    <t>YN0210</t>
  </si>
  <si>
    <t>AYYN_0096</t>
  </si>
  <si>
    <t>YN0208</t>
  </si>
  <si>
    <t>AYYN_0259</t>
  </si>
  <si>
    <t>YN0206</t>
  </si>
  <si>
    <t>AYYN_0258</t>
  </si>
  <si>
    <t>YN0205</t>
  </si>
  <si>
    <t>AYYN_0257</t>
  </si>
  <si>
    <t>YN0204</t>
  </si>
  <si>
    <t>AYYN_0431</t>
  </si>
  <si>
    <t>YN0202</t>
  </si>
  <si>
    <t>YN0199</t>
  </si>
  <si>
    <t>AYYN_0451</t>
  </si>
  <si>
    <t>YN0198</t>
  </si>
  <si>
    <t>AYYN_0430</t>
  </si>
  <si>
    <t>YN0196</t>
  </si>
  <si>
    <t>AYYN_0255</t>
  </si>
  <si>
    <t>YN0195</t>
  </si>
  <si>
    <t>AYYN_0429</t>
  </si>
  <si>
    <t>YN0194</t>
  </si>
  <si>
    <t>AYYN_0428</t>
  </si>
  <si>
    <t>YN0191</t>
  </si>
  <si>
    <t>AYYN_0253</t>
  </si>
  <si>
    <t>YN0190</t>
  </si>
  <si>
    <t>AYYN_0252</t>
  </si>
  <si>
    <t>YN0189</t>
  </si>
  <si>
    <t>AYYN_0593</t>
  </si>
  <si>
    <t>YN0186</t>
  </si>
  <si>
    <t>AYYN_0607</t>
  </si>
  <si>
    <t>YN0185</t>
  </si>
  <si>
    <t>AYYN_0094</t>
  </si>
  <si>
    <t>YN0184</t>
  </si>
  <si>
    <t>YN0176</t>
  </si>
  <si>
    <t>AYYN_0592</t>
  </si>
  <si>
    <t>YN0173</t>
  </si>
  <si>
    <t>AYYN_0591</t>
  </si>
  <si>
    <t>YN0171</t>
  </si>
  <si>
    <t>AYYN_0248</t>
  </si>
  <si>
    <t>YN0169</t>
  </si>
  <si>
    <t>AYYN_0590</t>
  </si>
  <si>
    <t>YN0168</t>
  </si>
  <si>
    <t>AYYN_0589</t>
  </si>
  <si>
    <t>YN0167</t>
  </si>
  <si>
    <t>AYYN_0091</t>
  </si>
  <si>
    <t>YN0165</t>
  </si>
  <si>
    <t>AYYN_0246</t>
  </si>
  <si>
    <t>YN0164</t>
  </si>
  <si>
    <t>AYYN_0245</t>
  </si>
  <si>
    <t>YN0162</t>
  </si>
  <si>
    <t>AYYN_0090</t>
  </si>
  <si>
    <t>YN0156</t>
  </si>
  <si>
    <t>YN0155</t>
  </si>
  <si>
    <t>AYYN_0588</t>
  </si>
  <si>
    <t>YN0154</t>
  </si>
  <si>
    <t>YN0151</t>
  </si>
  <si>
    <t>AYYN_0587</t>
  </si>
  <si>
    <t>YN0150</t>
  </si>
  <si>
    <t>AYYN_0586</t>
  </si>
  <si>
    <t>YN0149</t>
  </si>
  <si>
    <t>AYYN_0585</t>
  </si>
  <si>
    <t>YN0146</t>
  </si>
  <si>
    <t>AYYN_0584</t>
  </si>
  <si>
    <t>YN0145</t>
  </si>
  <si>
    <t>YN0144_R</t>
  </si>
  <si>
    <t>AYYN_0618</t>
  </si>
  <si>
    <t>YN0142</t>
  </si>
  <si>
    <t>AYYN_0582</t>
  </si>
  <si>
    <t>YN0140</t>
  </si>
  <si>
    <t>AYYN_0581</t>
  </si>
  <si>
    <t>YN0139</t>
  </si>
  <si>
    <t>AYYN_0087</t>
  </si>
  <si>
    <t>YN0137</t>
  </si>
  <si>
    <t>AYYN_0605</t>
  </si>
  <si>
    <t>YN0135</t>
  </si>
  <si>
    <t>YN0134</t>
  </si>
  <si>
    <t>YN0133</t>
  </si>
  <si>
    <t>YN0131</t>
  </si>
  <si>
    <t>AYYN_0578</t>
  </si>
  <si>
    <t>YN0130</t>
  </si>
  <si>
    <t>AYYN_0604</t>
  </si>
  <si>
    <t>YN0129</t>
  </si>
  <si>
    <t>AYYN_0577</t>
  </si>
  <si>
    <t>YN0128</t>
  </si>
  <si>
    <t>YN0127</t>
  </si>
  <si>
    <t>AYYN_0085</t>
  </si>
  <si>
    <t>YN0126</t>
  </si>
  <si>
    <t>AYYN_0084</t>
  </si>
  <si>
    <t>YN0124</t>
  </si>
  <si>
    <t>YN0122</t>
  </si>
  <si>
    <t>YN0121</t>
  </si>
  <si>
    <t>AYYN_0082</t>
  </si>
  <si>
    <t>YN0120</t>
  </si>
  <si>
    <t>YN0117</t>
  </si>
  <si>
    <t>AYYN_0573</t>
  </si>
  <si>
    <t>YN0116</t>
  </si>
  <si>
    <t>AYYN_0572</t>
  </si>
  <si>
    <t>YN0113</t>
  </si>
  <si>
    <t>AYYN_0571</t>
  </si>
  <si>
    <t>YN0112</t>
  </si>
  <si>
    <t>YN0108</t>
  </si>
  <si>
    <t>AYYN_0568</t>
  </si>
  <si>
    <t>YN0106</t>
  </si>
  <si>
    <t>AYYN_0603</t>
  </si>
  <si>
    <t>YN0104</t>
  </si>
  <si>
    <t>AYYN_0567</t>
  </si>
  <si>
    <t>YN0103</t>
  </si>
  <si>
    <t>AYYN_0602</t>
  </si>
  <si>
    <t>YN0102</t>
  </si>
  <si>
    <t>AYYN_0601</t>
  </si>
  <si>
    <t>YN0100</t>
  </si>
  <si>
    <t>AYYN_0079</t>
  </si>
  <si>
    <t>YN0099</t>
  </si>
  <si>
    <t>AYYN_0600</t>
  </si>
  <si>
    <t>YN0097</t>
  </si>
  <si>
    <t>YN0096</t>
  </si>
  <si>
    <t>AYYN_0078</t>
  </si>
  <si>
    <t>YN0094</t>
  </si>
  <si>
    <t>AYYN_0598</t>
  </si>
  <si>
    <t>YN0093</t>
  </si>
  <si>
    <t>AYYN_0597</t>
  </si>
  <si>
    <t>YN0091</t>
  </si>
  <si>
    <t>AYYN_0596</t>
  </si>
  <si>
    <t>YN0088</t>
  </si>
  <si>
    <t>AYYN_0077</t>
  </si>
  <si>
    <t>YN0084_C</t>
  </si>
  <si>
    <t>AYYN_9998</t>
  </si>
  <si>
    <t>YN0083</t>
  </si>
  <si>
    <t>AYYN_0075</t>
  </si>
  <si>
    <t>YN0080</t>
  </si>
  <si>
    <t>AYYN_0202</t>
  </si>
  <si>
    <t>YN0075</t>
  </si>
  <si>
    <t>AYYN_0201</t>
  </si>
  <si>
    <t>YN0074</t>
  </si>
  <si>
    <t>AYYN_0205</t>
  </si>
  <si>
    <t>YN0070</t>
  </si>
  <si>
    <t>AYYN_0204</t>
  </si>
  <si>
    <t>YN0069</t>
  </si>
  <si>
    <t>AYYN_0074</t>
  </si>
  <si>
    <t>YN0064</t>
  </si>
  <si>
    <t>AYYN_0073</t>
  </si>
  <si>
    <t>YN0063</t>
  </si>
  <si>
    <t>AYYN_0200</t>
  </si>
  <si>
    <t>YN0062</t>
  </si>
  <si>
    <t>AYYN_0199</t>
  </si>
  <si>
    <t>YN0060</t>
  </si>
  <si>
    <t>AYYN_0198</t>
  </si>
  <si>
    <t>YN0059</t>
  </si>
  <si>
    <t>AYYN_0072</t>
  </si>
  <si>
    <t>YN0053</t>
  </si>
  <si>
    <t>AYYN_0203</t>
  </si>
  <si>
    <t>YN0052</t>
  </si>
  <si>
    <t>AYYN_0070</t>
  </si>
  <si>
    <t>YN0048</t>
  </si>
  <si>
    <t>AYYN_0069</t>
  </si>
  <si>
    <t>YN0044</t>
  </si>
  <si>
    <t>AYYN_0068</t>
  </si>
  <si>
    <t>YN0042</t>
  </si>
  <si>
    <t>AYYN_0197</t>
  </si>
  <si>
    <t>YN0038</t>
  </si>
  <si>
    <t>AYYN_0067</t>
  </si>
  <si>
    <t>YN0034</t>
  </si>
  <si>
    <t>YN0033</t>
  </si>
  <si>
    <t>YN0026</t>
  </si>
  <si>
    <t>AYYN_0196</t>
  </si>
  <si>
    <t>YN0022</t>
  </si>
  <si>
    <t>AYYN_0065</t>
  </si>
  <si>
    <t>YN0020</t>
  </si>
  <si>
    <t>AYYN_0222</t>
  </si>
  <si>
    <t>YN0014</t>
  </si>
  <si>
    <t>AYYN_0064</t>
  </si>
  <si>
    <t>YN0013</t>
  </si>
  <si>
    <t>AYYN_0221</t>
  </si>
  <si>
    <t>ACAY_0013</t>
  </si>
  <si>
    <t>ASTN_0028</t>
  </si>
  <si>
    <t>ASTN_0043</t>
  </si>
  <si>
    <t>ASTN_0021</t>
  </si>
  <si>
    <t>ASTN_0039</t>
  </si>
  <si>
    <t>ASTN_0031</t>
  </si>
  <si>
    <t>ASTN_0030</t>
  </si>
  <si>
    <t>ASTN_0033</t>
  </si>
  <si>
    <t>ASTN_0056</t>
  </si>
  <si>
    <t>ASTN_0022</t>
  </si>
  <si>
    <t>ASTN_0008</t>
  </si>
  <si>
    <t>ASTN_0058</t>
  </si>
  <si>
    <t>ASTN_0016</t>
  </si>
  <si>
    <t>ASTN_0015</t>
  </si>
  <si>
    <t>ASTN_0013</t>
  </si>
  <si>
    <t>TN0736</t>
  </si>
  <si>
    <t>TN0733</t>
  </si>
  <si>
    <t>TN0675</t>
  </si>
  <si>
    <t>TN0594</t>
  </si>
  <si>
    <t>TN0560</t>
  </si>
  <si>
    <t>ASTN_0044</t>
  </si>
  <si>
    <t>TN0544</t>
  </si>
  <si>
    <t>ASTN_0040</t>
  </si>
  <si>
    <t>TN0535</t>
  </si>
  <si>
    <t>TN0526</t>
  </si>
  <si>
    <t>ASTN_0037</t>
  </si>
  <si>
    <t>TN0517</t>
  </si>
  <si>
    <t>TN0513</t>
  </si>
  <si>
    <t>ASTN_0034</t>
  </si>
  <si>
    <t>TN0512</t>
  </si>
  <si>
    <t>TN0511</t>
  </si>
  <si>
    <t>ASTN_0032</t>
  </si>
  <si>
    <t>TN0502</t>
  </si>
  <si>
    <t>TN0498</t>
  </si>
  <si>
    <t>TN0495</t>
  </si>
  <si>
    <t>ASTN_0029</t>
  </si>
  <si>
    <t>TN0494</t>
  </si>
  <si>
    <t>TN0490</t>
  </si>
  <si>
    <t>ASTN_0027</t>
  </si>
  <si>
    <t>TN0465</t>
  </si>
  <si>
    <t>ASTN_0025</t>
  </si>
  <si>
    <t>TN0464</t>
  </si>
  <si>
    <t>ASTN_0024</t>
  </si>
  <si>
    <t>TN0461</t>
  </si>
  <si>
    <t>TN0459</t>
  </si>
  <si>
    <t>TN0458</t>
  </si>
  <si>
    <t>TN0447</t>
  </si>
  <si>
    <t>TN0444</t>
  </si>
  <si>
    <t>TN0443</t>
  </si>
  <si>
    <t>ASTN_0014</t>
  </si>
  <si>
    <t>TN0442</t>
  </si>
  <si>
    <t>TN0441</t>
  </si>
  <si>
    <t>ASTN_0012</t>
  </si>
  <si>
    <t>TN0439</t>
  </si>
  <si>
    <t>ASTN_0011</t>
  </si>
  <si>
    <t>TN0438</t>
  </si>
  <si>
    <t>ASTN_0010</t>
  </si>
  <si>
    <t>TN0436</t>
  </si>
  <si>
    <t>TN0435</t>
  </si>
  <si>
    <t>ASTN_0007</t>
  </si>
  <si>
    <t>TN0433</t>
  </si>
  <si>
    <t>ASTN_0005</t>
  </si>
  <si>
    <t>TN0432</t>
  </si>
  <si>
    <t>ASTN_0004</t>
  </si>
  <si>
    <t>TN0429</t>
  </si>
  <si>
    <t>ASTN_0001</t>
  </si>
  <si>
    <t>ANSH_0043</t>
  </si>
  <si>
    <t>ANSH_0003</t>
  </si>
  <si>
    <t>ANSH_0040</t>
  </si>
  <si>
    <t>ANSH_0007</t>
  </si>
  <si>
    <t>ANSH_0041</t>
  </si>
  <si>
    <t>ANSH_0005</t>
  </si>
  <si>
    <t>ANSH_0018</t>
  </si>
  <si>
    <t>ANSH_0037</t>
  </si>
  <si>
    <t>ANSH_0011</t>
  </si>
  <si>
    <t>ANSH_0026</t>
  </si>
  <si>
    <t>ANSH_0019</t>
  </si>
  <si>
    <t>ANSH_0009</t>
  </si>
  <si>
    <t>ANSH_0004</t>
  </si>
  <si>
    <t>ANSH_0033</t>
  </si>
  <si>
    <t>ANSH_0025</t>
  </si>
  <si>
    <t>ANSH_0030</t>
  </si>
  <si>
    <t>ANSH_0087</t>
  </si>
  <si>
    <t>SH1110</t>
  </si>
  <si>
    <t>SH0888</t>
  </si>
  <si>
    <t>ANSH_0080</t>
  </si>
  <si>
    <t>SH0617</t>
  </si>
  <si>
    <t>SH0570</t>
  </si>
  <si>
    <t>SH0563</t>
  </si>
  <si>
    <t>SH0518</t>
  </si>
  <si>
    <t>SH0514</t>
  </si>
  <si>
    <t>SH0513</t>
  </si>
  <si>
    <t>ANSH_0032</t>
  </si>
  <si>
    <t>SH0509</t>
  </si>
  <si>
    <t>ANSH_0031</t>
  </si>
  <si>
    <t>SH0505</t>
  </si>
  <si>
    <t>SH0489</t>
  </si>
  <si>
    <t>SH0463</t>
  </si>
  <si>
    <t>ANSH_0027</t>
  </si>
  <si>
    <t>SH0462</t>
  </si>
  <si>
    <t>SH0461</t>
  </si>
  <si>
    <t>SH0456</t>
  </si>
  <si>
    <t>ANSH_0023</t>
  </si>
  <si>
    <t>SH0454</t>
  </si>
  <si>
    <t>ANSH_0022</t>
  </si>
  <si>
    <t>SH0450</t>
  </si>
  <si>
    <t>SH0395</t>
  </si>
  <si>
    <t>SH0393</t>
  </si>
  <si>
    <t>ANSH_0017</t>
  </si>
  <si>
    <t>SH0283</t>
  </si>
  <si>
    <t>ANSH_0046</t>
  </si>
  <si>
    <t>SH0282</t>
  </si>
  <si>
    <t>ANSH_0001</t>
  </si>
  <si>
    <t>SH0258</t>
  </si>
  <si>
    <t>SH0238</t>
  </si>
  <si>
    <t>ANSH_0016</t>
  </si>
  <si>
    <t>SH0220</t>
  </si>
  <si>
    <t>SH0164</t>
  </si>
  <si>
    <t>ANSH_0014</t>
  </si>
  <si>
    <t>SH0160</t>
  </si>
  <si>
    <t>SH0151</t>
  </si>
  <si>
    <t>SH0132</t>
  </si>
  <si>
    <t>ANSH_0010</t>
  </si>
  <si>
    <t>SH0131</t>
  </si>
  <si>
    <t>SH0070</t>
  </si>
  <si>
    <t>SH0051</t>
  </si>
  <si>
    <t>SH0049</t>
  </si>
  <si>
    <t>SH0033</t>
  </si>
  <si>
    <t>SH0023</t>
  </si>
  <si>
    <t>ANSG_0461</t>
  </si>
  <si>
    <t>ANSG_0367</t>
  </si>
  <si>
    <t>ANSG_0369</t>
  </si>
  <si>
    <t>ANSG_0477</t>
  </si>
  <si>
    <t>ANSG_0374</t>
  </si>
  <si>
    <t>ANSG_0527</t>
  </si>
  <si>
    <t>ANSG_0526</t>
  </si>
  <si>
    <t>ANSG_0507</t>
  </si>
  <si>
    <t>ANSG_0500</t>
  </si>
  <si>
    <t>ANSG_0391</t>
  </si>
  <si>
    <t>ANSG_0502</t>
  </si>
  <si>
    <t>ANSG_0342</t>
  </si>
  <si>
    <t>ANSG_0521</t>
  </si>
  <si>
    <t>ANSG_0388</t>
  </si>
  <si>
    <t>ANSG_0389</t>
  </si>
  <si>
    <t>ANSG_0399</t>
  </si>
  <si>
    <t>ANSG_0386</t>
  </si>
  <si>
    <t>ANSG_0453</t>
  </si>
  <si>
    <t>ANSG_0366</t>
  </si>
  <si>
    <t>ANSG_0356</t>
  </si>
  <si>
    <t>ANSG_0341</t>
  </si>
  <si>
    <t>ANSG_0497</t>
  </si>
  <si>
    <t>ANSG_0430</t>
  </si>
  <si>
    <t>ANSG_0479</t>
  </si>
  <si>
    <t>ANSG_0395</t>
  </si>
  <si>
    <t>ANSG_0474</t>
  </si>
  <si>
    <t>ANSG_0450</t>
  </si>
  <si>
    <t>ANSG_0449</t>
  </si>
  <si>
    <t>ANSG_0426</t>
  </si>
  <si>
    <t>ANSG_0392</t>
  </si>
  <si>
    <t>ANSG_0488</t>
  </si>
  <si>
    <t>ANSG_0458</t>
  </si>
  <si>
    <t>ANSG_0400</t>
  </si>
  <si>
    <t>ANSG_0523</t>
  </si>
  <si>
    <t>ANSG_0444</t>
  </si>
  <si>
    <t>ANSG_0438</t>
  </si>
  <si>
    <t>ANSG_0402</t>
  </si>
  <si>
    <t>ANSG_0501</t>
  </si>
  <si>
    <t>ANSG_0415</t>
  </si>
  <si>
    <t>ANSG_0435</t>
  </si>
  <si>
    <t>ANSG_0487</t>
  </si>
  <si>
    <t>ANSG_0440</t>
  </si>
  <si>
    <t>ANSG_0448</t>
  </si>
  <si>
    <t>ANSG_0506</t>
  </si>
  <si>
    <t>ANSG_0518</t>
  </si>
  <si>
    <t>ANSG_0397</t>
  </si>
  <si>
    <t>ANSG_0384</t>
  </si>
  <si>
    <t>ANSG_0437</t>
  </si>
  <si>
    <t>ANSG_0431</t>
  </si>
  <si>
    <t>ANSG_0428</t>
  </si>
  <si>
    <t>ANSG_0427</t>
  </si>
  <si>
    <t>ANSG_0394</t>
  </si>
  <si>
    <t>ANSG_0359</t>
  </si>
  <si>
    <t>ANSG_0357</t>
  </si>
  <si>
    <t>ANSG_0354</t>
  </si>
  <si>
    <t>ANSG_0353</t>
  </si>
  <si>
    <t>ANSG_0352</t>
  </si>
  <si>
    <t>ANSG_0422</t>
  </si>
  <si>
    <t>ANSG_0451</t>
  </si>
  <si>
    <t>ANSG_0346</t>
  </si>
  <si>
    <t>ANSG_0350</t>
  </si>
  <si>
    <t>ANSG_0339</t>
  </si>
  <si>
    <t>ANSG_0517</t>
  </si>
  <si>
    <t>ANSG_0445</t>
  </si>
  <si>
    <t>ANSG_0520</t>
  </si>
  <si>
    <t>ANSG_0484</t>
  </si>
  <si>
    <t>ANSG_0443</t>
  </si>
  <si>
    <t>ANSG_0439</t>
  </si>
  <si>
    <t>ANSG_0496</t>
  </si>
  <si>
    <t>ANSG_0436</t>
  </si>
  <si>
    <t>ANSG_0460</t>
  </si>
  <si>
    <t>ANSG_0433</t>
  </si>
  <si>
    <t>ANSG_0486</t>
  </si>
  <si>
    <t>ANSG_0423</t>
  </si>
  <si>
    <t>ANSG_0493</t>
  </si>
  <si>
    <t>ANSG_0338</t>
  </si>
  <si>
    <t>ANSG_0376</t>
  </si>
  <si>
    <t>ANSG_0462</t>
  </si>
  <si>
    <t>ANSG_0387</t>
  </si>
  <si>
    <t>ANSG_0424</t>
  </si>
  <si>
    <t>ANSG_0455</t>
  </si>
  <si>
    <t>ANSG_0480</t>
  </si>
  <si>
    <t>ANSG_0489</t>
  </si>
  <si>
    <t>ANSG_0459</t>
  </si>
  <si>
    <t>ANSG_0416</t>
  </si>
  <si>
    <t>ANSG_0362</t>
  </si>
  <si>
    <t>SG0964</t>
  </si>
  <si>
    <t>SG0734</t>
  </si>
  <si>
    <t>SG0732</t>
  </si>
  <si>
    <t>ANSG_0522</t>
  </si>
  <si>
    <t>SG0623</t>
  </si>
  <si>
    <t>SG0576</t>
  </si>
  <si>
    <t>SG0571</t>
  </si>
  <si>
    <t>ANSG_0503</t>
  </si>
  <si>
    <t>SG0570</t>
  </si>
  <si>
    <t>SG0569</t>
  </si>
  <si>
    <t>SG0568</t>
  </si>
  <si>
    <t>SG0567</t>
  </si>
  <si>
    <t>ANSG_0499</t>
  </si>
  <si>
    <t>SG0566</t>
  </si>
  <si>
    <t>SG0565</t>
  </si>
  <si>
    <t>SG0564</t>
  </si>
  <si>
    <t>SG0563</t>
  </si>
  <si>
    <t>ANSG_0495</t>
  </si>
  <si>
    <t>SG0562</t>
  </si>
  <si>
    <t>ANSG_0494</t>
  </si>
  <si>
    <t>SG0561</t>
  </si>
  <si>
    <t>SG0559</t>
  </si>
  <si>
    <t>ANSG_0492</t>
  </si>
  <si>
    <t>SG0558</t>
  </si>
  <si>
    <t>ANSG_0491</t>
  </si>
  <si>
    <t>SG0557</t>
  </si>
  <si>
    <t>ANSG_0490</t>
  </si>
  <si>
    <t>SG0556</t>
  </si>
  <si>
    <t>SG0555</t>
  </si>
  <si>
    <t>SG0554</t>
  </si>
  <si>
    <t>SG0551</t>
  </si>
  <si>
    <t>SG0550</t>
  </si>
  <si>
    <t>SG0549</t>
  </si>
  <si>
    <t>SG0546</t>
  </si>
  <si>
    <t>SG0545</t>
  </si>
  <si>
    <t>ANSG_0482</t>
  </si>
  <si>
    <t>SG0544</t>
  </si>
  <si>
    <t>ANSG_0481</t>
  </si>
  <si>
    <t>SG0543</t>
  </si>
  <si>
    <t>SG0542</t>
  </si>
  <si>
    <t>SG0540</t>
  </si>
  <si>
    <t>ANSG_0478</t>
  </si>
  <si>
    <t>SG0539</t>
  </si>
  <si>
    <t>SG0538</t>
  </si>
  <si>
    <t>ANSG_0476</t>
  </si>
  <si>
    <t>SG0536</t>
  </si>
  <si>
    <t>SG0535</t>
  </si>
  <si>
    <t>ANSG_0473</t>
  </si>
  <si>
    <t>SG0534</t>
  </si>
  <si>
    <t>ANSG_0472</t>
  </si>
  <si>
    <t>SG0533</t>
  </si>
  <si>
    <t>ANSG_0471</t>
  </si>
  <si>
    <t>SG0532</t>
  </si>
  <si>
    <t>ANSG_0470</t>
  </si>
  <si>
    <t>SG0531</t>
  </si>
  <si>
    <t>ANSG_0469</t>
  </si>
  <si>
    <t>SG0522</t>
  </si>
  <si>
    <t>SG0515</t>
  </si>
  <si>
    <t>SG0506</t>
  </si>
  <si>
    <t>SG0504</t>
  </si>
  <si>
    <t>SG0503</t>
  </si>
  <si>
    <t>SG0502</t>
  </si>
  <si>
    <t>SG0501</t>
  </si>
  <si>
    <t>SG0499</t>
  </si>
  <si>
    <t>SG0498</t>
  </si>
  <si>
    <t>SG0497</t>
  </si>
  <si>
    <t>SG0495</t>
  </si>
  <si>
    <t>ANSG_0457</t>
  </si>
  <si>
    <t>SG0491</t>
  </si>
  <si>
    <t>ANSG_0456</t>
  </si>
  <si>
    <t>SG0484</t>
  </si>
  <si>
    <t>ANSG_0516</t>
  </si>
  <si>
    <t>SG0481</t>
  </si>
  <si>
    <t>ANSG_0515</t>
  </si>
  <si>
    <t>SG0476</t>
  </si>
  <si>
    <t>ANSG_0514</t>
  </si>
  <si>
    <t>SG0471</t>
  </si>
  <si>
    <t>ANSG_0513</t>
  </si>
  <si>
    <t>SG0469</t>
  </si>
  <si>
    <t>ANSG_0512</t>
  </si>
  <si>
    <t>SG0466</t>
  </si>
  <si>
    <t>ANSG_0510</t>
  </si>
  <si>
    <t>SG0465</t>
  </si>
  <si>
    <t>ANSG_0509</t>
  </si>
  <si>
    <t>SG0462</t>
  </si>
  <si>
    <t>SG0461</t>
  </si>
  <si>
    <t>SG0460</t>
  </si>
  <si>
    <t>ANSG_0505</t>
  </si>
  <si>
    <t>SG0459</t>
  </si>
  <si>
    <t>SG0458</t>
  </si>
  <si>
    <t>SG0455</t>
  </si>
  <si>
    <t>ANSG_0508</t>
  </si>
  <si>
    <t>SG0453</t>
  </si>
  <si>
    <t>SG0452</t>
  </si>
  <si>
    <t>SG0450</t>
  </si>
  <si>
    <t>SG0449</t>
  </si>
  <si>
    <t>SG0448</t>
  </si>
  <si>
    <t>SG0447</t>
  </si>
  <si>
    <t>ANSG_0504</t>
  </si>
  <si>
    <t>SG0431</t>
  </si>
  <si>
    <t>ANSG_0447</t>
  </si>
  <si>
    <t>SG0430</t>
  </si>
  <si>
    <t>SG0429</t>
  </si>
  <si>
    <t>ANSG_0420</t>
  </si>
  <si>
    <t>SG0427</t>
  </si>
  <si>
    <t>SG0426</t>
  </si>
  <si>
    <t>ANSG_0418</t>
  </si>
  <si>
    <t>SG0425</t>
  </si>
  <si>
    <t>ANSG_0417</t>
  </si>
  <si>
    <t>SG0424</t>
  </si>
  <si>
    <t>SG0423</t>
  </si>
  <si>
    <t>SG0421</t>
  </si>
  <si>
    <t>SG0420</t>
  </si>
  <si>
    <t>ANSG_0441</t>
  </si>
  <si>
    <t>SG0419</t>
  </si>
  <si>
    <t>SG0418</t>
  </si>
  <si>
    <t>SG0417</t>
  </si>
  <si>
    <t>ANSG_0414</t>
  </si>
  <si>
    <t>SG0416</t>
  </si>
  <si>
    <t>SG0415</t>
  </si>
  <si>
    <t>SG0407</t>
  </si>
  <si>
    <t>SG0396</t>
  </si>
  <si>
    <t>ANSG_0407</t>
  </si>
  <si>
    <t>SG0395</t>
  </si>
  <si>
    <t>SG0393</t>
  </si>
  <si>
    <t>SG0386</t>
  </si>
  <si>
    <t>SG0383</t>
  </si>
  <si>
    <t>ANSG_0406</t>
  </si>
  <si>
    <t>SG0382</t>
  </si>
  <si>
    <t>ANSG_0434</t>
  </si>
  <si>
    <t>SG0381</t>
  </si>
  <si>
    <t>SG0380</t>
  </si>
  <si>
    <t>ANSG_0432</t>
  </si>
  <si>
    <t>SG0379</t>
  </si>
  <si>
    <t>ANSG_0405</t>
  </si>
  <si>
    <t>SG0378</t>
  </si>
  <si>
    <t>SG0377</t>
  </si>
  <si>
    <t>ANSG_0404</t>
  </si>
  <si>
    <t>SG0376</t>
  </si>
  <si>
    <t>ANSG_0403</t>
  </si>
  <si>
    <t>SG0375</t>
  </si>
  <si>
    <t>SG0374</t>
  </si>
  <si>
    <t>SG0372</t>
  </si>
  <si>
    <t>SG0371</t>
  </si>
  <si>
    <t>SG0370</t>
  </si>
  <si>
    <t>ANSG_0429</t>
  </si>
  <si>
    <t>SG0369</t>
  </si>
  <si>
    <t>SG0368</t>
  </si>
  <si>
    <t>SG0367</t>
  </si>
  <si>
    <t>SG0364</t>
  </si>
  <si>
    <t>ANSG_0425</t>
  </si>
  <si>
    <t>SG0363</t>
  </si>
  <si>
    <t>ANSG_0398</t>
  </si>
  <si>
    <t>SG0362</t>
  </si>
  <si>
    <t>SG0361</t>
  </si>
  <si>
    <t>SG0360</t>
  </si>
  <si>
    <t>SG0344</t>
  </si>
  <si>
    <t>SG0161</t>
  </si>
  <si>
    <t>ANSG_0421</t>
  </si>
  <si>
    <t>SG0059</t>
  </si>
  <si>
    <t>SG0058</t>
  </si>
  <si>
    <t>SG0057</t>
  </si>
  <si>
    <t>SG0056</t>
  </si>
  <si>
    <t>ANSG_0365</t>
  </si>
  <si>
    <t>SG0055</t>
  </si>
  <si>
    <t>SG0054</t>
  </si>
  <si>
    <t>ANSG_0340</t>
  </si>
  <si>
    <t>SG0053</t>
  </si>
  <si>
    <t>SG0052</t>
  </si>
  <si>
    <t>SG0051</t>
  </si>
  <si>
    <t>SG0050</t>
  </si>
  <si>
    <t>ANSG_0368</t>
  </si>
  <si>
    <t>SG0049</t>
  </si>
  <si>
    <t>SG0048</t>
  </si>
  <si>
    <t>ANSG_0390</t>
  </si>
  <si>
    <t>SG0047</t>
  </si>
  <si>
    <t>SG0046</t>
  </si>
  <si>
    <t>SG0045</t>
  </si>
  <si>
    <t>SG0044</t>
  </si>
  <si>
    <t>SG0043</t>
  </si>
  <si>
    <t>ANSG_0385</t>
  </si>
  <si>
    <t>SG0042</t>
  </si>
  <si>
    <t>SG0041</t>
  </si>
  <si>
    <t>SG0040</t>
  </si>
  <si>
    <t>SG0039</t>
  </si>
  <si>
    <t>SG0037</t>
  </si>
  <si>
    <t>SG0036</t>
  </si>
  <si>
    <t>SG0035</t>
  </si>
  <si>
    <t>SG0034</t>
  </si>
  <si>
    <t>SG0033</t>
  </si>
  <si>
    <t>SG0032</t>
  </si>
  <si>
    <t>SG0031</t>
  </si>
  <si>
    <t>SG0030</t>
  </si>
  <si>
    <t>SG0029</t>
  </si>
  <si>
    <t>SG0028</t>
  </si>
  <si>
    <t>SG0027</t>
  </si>
  <si>
    <t>SG0026</t>
  </si>
  <si>
    <t>SG0025</t>
  </si>
  <si>
    <t>SG0024</t>
  </si>
  <si>
    <t>SG0023</t>
  </si>
  <si>
    <t>SG0022</t>
  </si>
  <si>
    <t>SG0021</t>
  </si>
  <si>
    <t>ANSG_0345</t>
  </si>
  <si>
    <t>SG0020</t>
  </si>
  <si>
    <t>SG0019</t>
  </si>
  <si>
    <t>ANSG_0396</t>
  </si>
  <si>
    <t>SG0018</t>
  </si>
  <si>
    <t>SG0017</t>
  </si>
  <si>
    <t>SG0016</t>
  </si>
  <si>
    <t>SG0015</t>
  </si>
  <si>
    <t>SG0014</t>
  </si>
  <si>
    <t>ANSG_0383</t>
  </si>
  <si>
    <t>SG0013</t>
  </si>
  <si>
    <t>SG0012</t>
  </si>
  <si>
    <t>SG0011</t>
  </si>
  <si>
    <t>SG0010</t>
  </si>
  <si>
    <t>SG0009</t>
  </si>
  <si>
    <t>ANSG_0378</t>
  </si>
  <si>
    <t>SG0008</t>
  </si>
  <si>
    <t>SG0007</t>
  </si>
  <si>
    <t>SG0006</t>
  </si>
  <si>
    <t>ANSG_0375</t>
  </si>
  <si>
    <t>SG0005</t>
  </si>
  <si>
    <t>SG0004</t>
  </si>
  <si>
    <t>SG0003</t>
  </si>
  <si>
    <t>ANSG_0372</t>
  </si>
  <si>
    <t>SG0002</t>
  </si>
  <si>
    <t>ANSG_0371</t>
  </si>
  <si>
    <t>SG0001</t>
  </si>
  <si>
    <t>ANSG_0370</t>
  </si>
  <si>
    <t>ACRK_0022</t>
  </si>
  <si>
    <t>ACRK_0012</t>
  </si>
  <si>
    <t>ACRK_0020</t>
  </si>
  <si>
    <t>ACRK_0010</t>
  </si>
  <si>
    <t>ACRK_0024</t>
  </si>
  <si>
    <t>ACRK_0016</t>
  </si>
  <si>
    <t>ACRK_0019</t>
  </si>
  <si>
    <t>ACRK_0006</t>
  </si>
  <si>
    <t>ACRK_0026</t>
  </si>
  <si>
    <t>ACRK_0021</t>
  </si>
  <si>
    <t>RA0251</t>
  </si>
  <si>
    <t>RA0249</t>
  </si>
  <si>
    <t>RA0247</t>
  </si>
  <si>
    <t>RA0241</t>
  </si>
  <si>
    <t>RA0240</t>
  </si>
  <si>
    <t>RA0239</t>
  </si>
  <si>
    <t>RA0237</t>
  </si>
  <si>
    <t>RA0216</t>
  </si>
  <si>
    <t>RA0193</t>
  </si>
  <si>
    <t>ACRK_0017</t>
  </si>
  <si>
    <t>RA0171</t>
  </si>
  <si>
    <t>RA0167</t>
  </si>
  <si>
    <t>ACRK_0015</t>
  </si>
  <si>
    <t>RA0165</t>
  </si>
  <si>
    <t>ACRK_0014</t>
  </si>
  <si>
    <t>RA0163</t>
  </si>
  <si>
    <t>ACRK_0013</t>
  </si>
  <si>
    <t>RA0160</t>
  </si>
  <si>
    <t>RA0149</t>
  </si>
  <si>
    <t>RA0140</t>
  </si>
  <si>
    <t>ACRK_0009</t>
  </si>
  <si>
    <t>RA0134</t>
  </si>
  <si>
    <t>ACRK_0008</t>
  </si>
  <si>
    <t>RA0112</t>
  </si>
  <si>
    <t>RA0072</t>
  </si>
  <si>
    <t>ACRK_0001</t>
  </si>
  <si>
    <t>ANNP_0238</t>
  </si>
  <si>
    <t>ANNP_0268</t>
  </si>
  <si>
    <t>ANNP_0211</t>
  </si>
  <si>
    <t>ANNP_0397</t>
  </si>
  <si>
    <t>ANNP_0258</t>
  </si>
  <si>
    <t>ANNP_0224</t>
  </si>
  <si>
    <t>ANNP_0285</t>
  </si>
  <si>
    <t>ANNP_0269</t>
  </si>
  <si>
    <t>ANNP_0288</t>
  </si>
  <si>
    <t>ANNP_0271</t>
  </si>
  <si>
    <t>ANNP_0232</t>
  </si>
  <si>
    <t>ANNP_0270</t>
  </si>
  <si>
    <t>ANNP_0249</t>
  </si>
  <si>
    <t>ANNP_0219</t>
  </si>
  <si>
    <t>ANNP_0204</t>
  </si>
  <si>
    <t>ANNP_0277</t>
  </si>
  <si>
    <t>ANNP_0300</t>
  </si>
  <si>
    <t>ANNP_0273</t>
  </si>
  <si>
    <t>ANNP_0228</t>
  </si>
  <si>
    <t>ANNP_0299</t>
  </si>
  <si>
    <t>ANNP_0263</t>
  </si>
  <si>
    <t>ANNP_0236</t>
  </si>
  <si>
    <t>ANNP_0396</t>
  </si>
  <si>
    <t>ANNP_0395</t>
  </si>
  <si>
    <t>ANNP_0393</t>
  </si>
  <si>
    <t>ANNP_0389</t>
  </si>
  <si>
    <t>ANNP_0373</t>
  </si>
  <si>
    <t>ANNP_0301</t>
  </si>
  <si>
    <t>ANNP_0266</t>
  </si>
  <si>
    <t>ANNP_0246</t>
  </si>
  <si>
    <t>ANNP_0282</t>
  </si>
  <si>
    <t>ANNP_0237</t>
  </si>
  <si>
    <t>ANNP_0385</t>
  </si>
  <si>
    <t>ANNP_0384</t>
  </si>
  <si>
    <t>ANNP_0272</t>
  </si>
  <si>
    <t>ANNP_0223</t>
  </si>
  <si>
    <t>ANNP_0363</t>
  </si>
  <si>
    <t>ANNP_0378</t>
  </si>
  <si>
    <t>ANNP_0319</t>
  </si>
  <si>
    <t>ANNP_0245</t>
  </si>
  <si>
    <t>ANNP_0242</t>
  </si>
  <si>
    <t>ANNP_0240</t>
  </si>
  <si>
    <t>ANNP_0221</t>
  </si>
  <si>
    <t>ANNP_0284</t>
  </si>
  <si>
    <t>ANNP_0233</t>
  </si>
  <si>
    <t>ANNP_0229</t>
  </si>
  <si>
    <t>ANNP_0213</t>
  </si>
  <si>
    <t>ANNP_0279</t>
  </si>
  <si>
    <t>ANNP_0215</t>
  </si>
  <si>
    <t>ANNP_0324</t>
  </si>
  <si>
    <t>ANNP_0280</t>
  </si>
  <si>
    <t>ANNP_0305</t>
  </si>
  <si>
    <t>ANNP_0297</t>
  </si>
  <si>
    <t>ANNP_0286</t>
  </si>
  <si>
    <t>ANNP_0281</t>
  </si>
  <si>
    <t>ANNP_0267</t>
  </si>
  <si>
    <t>ANNP_0254</t>
  </si>
  <si>
    <t>ANNP_0217</t>
  </si>
  <si>
    <t>ANNP_0206</t>
  </si>
  <si>
    <t>ANNP_0387</t>
  </si>
  <si>
    <t>ANNP_0383</t>
  </si>
  <si>
    <t>ANNP_0274</t>
  </si>
  <si>
    <t>ANNP_0335</t>
  </si>
  <si>
    <t>ANNP_0247</t>
  </si>
  <si>
    <t>ANNP_0337</t>
  </si>
  <si>
    <t>ANNP_0214</t>
  </si>
  <si>
    <t>ANNP_0259</t>
  </si>
  <si>
    <t>ANNP_0287</t>
  </si>
  <si>
    <t>ANNP_0369</t>
  </si>
  <si>
    <t>ANNP_0290</t>
  </si>
  <si>
    <t>ANNP_0261</t>
  </si>
  <si>
    <t>ANNP_0283</t>
  </si>
  <si>
    <t>NP0356_C</t>
  </si>
  <si>
    <t>ANNP_9978</t>
  </si>
  <si>
    <t>NP0322</t>
  </si>
  <si>
    <t>NP0305</t>
  </si>
  <si>
    <t>NP0304</t>
  </si>
  <si>
    <t>NP0303</t>
  </si>
  <si>
    <t>ANNP_0394</t>
  </si>
  <si>
    <t>NP0302</t>
  </si>
  <si>
    <t>NP0300</t>
  </si>
  <si>
    <t>ANNP_0392</t>
  </si>
  <si>
    <t>NP0298</t>
  </si>
  <si>
    <t>NP0295</t>
  </si>
  <si>
    <t>NP0293</t>
  </si>
  <si>
    <t>ANNP_0388</t>
  </si>
  <si>
    <t>NP0292</t>
  </si>
  <si>
    <t>NP0288</t>
  </si>
  <si>
    <t>ANNP_0386</t>
  </si>
  <si>
    <t>NP0284</t>
  </si>
  <si>
    <t>NP0281</t>
  </si>
  <si>
    <t>NP0279</t>
  </si>
  <si>
    <t>NP0278</t>
  </si>
  <si>
    <t>ANNP_0382</t>
  </si>
  <si>
    <t>NP0276</t>
  </si>
  <si>
    <t>ANNP_0381</t>
  </si>
  <si>
    <t>NP0273</t>
  </si>
  <si>
    <t>NP0271</t>
  </si>
  <si>
    <t>ANNP_0377</t>
  </si>
  <si>
    <t>NP0270</t>
  </si>
  <si>
    <t>ANNP_0376</t>
  </si>
  <si>
    <t>NP0269</t>
  </si>
  <si>
    <t>ANNP_0375</t>
  </si>
  <si>
    <t>NP0268</t>
  </si>
  <si>
    <t>ANNP_0374</t>
  </si>
  <si>
    <t>NP0267</t>
  </si>
  <si>
    <t>NP0266</t>
  </si>
  <si>
    <t>ANNP_0372</t>
  </si>
  <si>
    <t>NP0265</t>
  </si>
  <si>
    <t>ANNP_0371</t>
  </si>
  <si>
    <t>NP0264</t>
  </si>
  <si>
    <t>ANNP_0370</t>
  </si>
  <si>
    <t>NP0263</t>
  </si>
  <si>
    <t>NP0258</t>
  </si>
  <si>
    <t>ANNP_0368</t>
  </si>
  <si>
    <t>NP0257</t>
  </si>
  <si>
    <t>ANNP_0364</t>
  </si>
  <si>
    <t>NP0255</t>
  </si>
  <si>
    <t>NP0222</t>
  </si>
  <si>
    <t>NP0221</t>
  </si>
  <si>
    <t>NP0220</t>
  </si>
  <si>
    <t>ANNP_0205</t>
  </si>
  <si>
    <t>NP0219</t>
  </si>
  <si>
    <t>NP0130</t>
  </si>
  <si>
    <t>NP0129</t>
  </si>
  <si>
    <t>ANNP_0320</t>
  </si>
  <si>
    <t>NP0128</t>
  </si>
  <si>
    <t>ANNP_0336</t>
  </si>
  <si>
    <t>NP0127</t>
  </si>
  <si>
    <t>NP0126</t>
  </si>
  <si>
    <t>ANNP_0334</t>
  </si>
  <si>
    <t>NP0125</t>
  </si>
  <si>
    <t>ANNP_0333</t>
  </si>
  <si>
    <t>NP0124</t>
  </si>
  <si>
    <t>NP0123</t>
  </si>
  <si>
    <t>NP0122</t>
  </si>
  <si>
    <t>ANNP_0244</t>
  </si>
  <si>
    <t>NP0121</t>
  </si>
  <si>
    <t>NP0120</t>
  </si>
  <si>
    <t>NP0119</t>
  </si>
  <si>
    <t>NP0118</t>
  </si>
  <si>
    <t>NP0117</t>
  </si>
  <si>
    <t>ANNP_0318</t>
  </si>
  <si>
    <t>NP0116</t>
  </si>
  <si>
    <t>NP0114</t>
  </si>
  <si>
    <t>ANNP_0332</t>
  </si>
  <si>
    <t>NP0113</t>
  </si>
  <si>
    <t>ANNP_0331</t>
  </si>
  <si>
    <t>NP0109</t>
  </si>
  <si>
    <t>ANNP_0313</t>
  </si>
  <si>
    <t>NP0107</t>
  </si>
  <si>
    <t>ANNP_0311</t>
  </si>
  <si>
    <t>NP0106</t>
  </si>
  <si>
    <t>ANNP_0310</t>
  </si>
  <si>
    <t>NP0101</t>
  </si>
  <si>
    <t>NP0099_C</t>
  </si>
  <si>
    <t>ANNP_9982</t>
  </si>
  <si>
    <t>NP0096</t>
  </si>
  <si>
    <t>NP0095</t>
  </si>
  <si>
    <t>NP0094</t>
  </si>
  <si>
    <t>NP0093</t>
  </si>
  <si>
    <t>ANNP_0328</t>
  </si>
  <si>
    <t>NP0092</t>
  </si>
  <si>
    <t>NP0091</t>
  </si>
  <si>
    <t>ANNP_0327</t>
  </si>
  <si>
    <t>NP0090</t>
  </si>
  <si>
    <t>ANNP_0298</t>
  </si>
  <si>
    <t>NP0089</t>
  </si>
  <si>
    <t>ANNP_0326</t>
  </si>
  <si>
    <t>NP0088</t>
  </si>
  <si>
    <t>NP0087</t>
  </si>
  <si>
    <t>ANNP_0296</t>
  </si>
  <si>
    <t>NP0086</t>
  </si>
  <si>
    <t>ANNP_0295</t>
  </si>
  <si>
    <t>NP0085</t>
  </si>
  <si>
    <t>ANNP_0294</t>
  </si>
  <si>
    <t>NP0084</t>
  </si>
  <si>
    <t>ANNP_0293</t>
  </si>
  <si>
    <t>NP0083</t>
  </si>
  <si>
    <t>ANNP_0292</t>
  </si>
  <si>
    <t>NP0082</t>
  </si>
  <si>
    <t>ANNP_0325</t>
  </si>
  <si>
    <t>NP0081</t>
  </si>
  <si>
    <t>NP0080</t>
  </si>
  <si>
    <t>ANNP_0291</t>
  </si>
  <si>
    <t>NP0079</t>
  </si>
  <si>
    <t>ANNP_0323</t>
  </si>
  <si>
    <t>NP0078</t>
  </si>
  <si>
    <t>NP0077</t>
  </si>
  <si>
    <t>ANNP_0289</t>
  </si>
  <si>
    <t>NP0076</t>
  </si>
  <si>
    <t>NP0075</t>
  </si>
  <si>
    <t>NP0074</t>
  </si>
  <si>
    <t>ANNP_0322</t>
  </si>
  <si>
    <t>NP0073</t>
  </si>
  <si>
    <t>ANNP_0321</t>
  </si>
  <si>
    <t>NP0072</t>
  </si>
  <si>
    <t>NP0071</t>
  </si>
  <si>
    <t>NP0070</t>
  </si>
  <si>
    <t>NP0069</t>
  </si>
  <si>
    <t>NP0068</t>
  </si>
  <si>
    <t>NP0067</t>
  </si>
  <si>
    <t>NP0066</t>
  </si>
  <si>
    <t>NP0065</t>
  </si>
  <si>
    <t>NP0064</t>
  </si>
  <si>
    <t>ANNP_0278</t>
  </si>
  <si>
    <t>NP0063</t>
  </si>
  <si>
    <t>NP0062</t>
  </si>
  <si>
    <t>NP0061</t>
  </si>
  <si>
    <t>ANNP_0275</t>
  </si>
  <si>
    <t>NP0060</t>
  </si>
  <si>
    <t>NP0059</t>
  </si>
  <si>
    <t>NP0058</t>
  </si>
  <si>
    <t>ANNP_0239</t>
  </si>
  <si>
    <t>NP0057</t>
  </si>
  <si>
    <t>NP0056</t>
  </si>
  <si>
    <t>NP0055</t>
  </si>
  <si>
    <t>NP0054</t>
  </si>
  <si>
    <t>NP0053</t>
  </si>
  <si>
    <t>NP0052</t>
  </si>
  <si>
    <t>ANNP_0235</t>
  </si>
  <si>
    <t>NP0050</t>
  </si>
  <si>
    <t>NP0049</t>
  </si>
  <si>
    <t>NP0048</t>
  </si>
  <si>
    <t>ANNP_0231</t>
  </si>
  <si>
    <t>NP0047</t>
  </si>
  <si>
    <t>ANNP_0230</t>
  </si>
  <si>
    <t>NP0046</t>
  </si>
  <si>
    <t>NP0045</t>
  </si>
  <si>
    <t>NP0044</t>
  </si>
  <si>
    <t>ANNP_0227</t>
  </si>
  <si>
    <t>NP0043</t>
  </si>
  <si>
    <t>NP0042</t>
  </si>
  <si>
    <t>ANNP_0225</t>
  </si>
  <si>
    <t>NP0041</t>
  </si>
  <si>
    <t>NP0040</t>
  </si>
  <si>
    <t>NP0039</t>
  </si>
  <si>
    <t>NP0038</t>
  </si>
  <si>
    <t>NP0037</t>
  </si>
  <si>
    <t>ANNP_0220</t>
  </si>
  <si>
    <t>NP0036</t>
  </si>
  <si>
    <t>NP0035</t>
  </si>
  <si>
    <t>NP0034</t>
  </si>
  <si>
    <t>NP0033</t>
  </si>
  <si>
    <t>NP0032</t>
  </si>
  <si>
    <t>NP0031</t>
  </si>
  <si>
    <t>ANNP_0265</t>
  </si>
  <si>
    <t>NP0030</t>
  </si>
  <si>
    <t>ANNP_0264</t>
  </si>
  <si>
    <t>NP0029</t>
  </si>
  <si>
    <t>NP0028</t>
  </si>
  <si>
    <t>ANNP_0262</t>
  </si>
  <si>
    <t>NP0027</t>
  </si>
  <si>
    <t>NP0026</t>
  </si>
  <si>
    <t>ANNP_0260</t>
  </si>
  <si>
    <t>NP0025</t>
  </si>
  <si>
    <t>NP0024</t>
  </si>
  <si>
    <t>NP0023</t>
  </si>
  <si>
    <t>ANNP_0257</t>
  </si>
  <si>
    <t>NP0022</t>
  </si>
  <si>
    <t>NP0021</t>
  </si>
  <si>
    <t>ANNP_0255</t>
  </si>
  <si>
    <t>NP0020</t>
  </si>
  <si>
    <t>NP0019</t>
  </si>
  <si>
    <t>ANNP_0253</t>
  </si>
  <si>
    <t>NP0018</t>
  </si>
  <si>
    <t>NP0017</t>
  </si>
  <si>
    <t>ANNP_0251</t>
  </si>
  <si>
    <t>NP0016</t>
  </si>
  <si>
    <t>NP0015</t>
  </si>
  <si>
    <t>ANNP_0218</t>
  </si>
  <si>
    <t>NP0014</t>
  </si>
  <si>
    <t>NP0013</t>
  </si>
  <si>
    <t>ANNP_0250</t>
  </si>
  <si>
    <t>NP0012</t>
  </si>
  <si>
    <t>NP0011</t>
  </si>
  <si>
    <t>ANNP_0248</t>
  </si>
  <si>
    <t>NP0010</t>
  </si>
  <si>
    <t>ANNP_0216</t>
  </si>
  <si>
    <t>NP0009</t>
  </si>
  <si>
    <t>NP0008</t>
  </si>
  <si>
    <t>NP0007</t>
  </si>
  <si>
    <t>NP0006</t>
  </si>
  <si>
    <t>ANNP_0212</t>
  </si>
  <si>
    <t>NP0005</t>
  </si>
  <si>
    <t>NP0004</t>
  </si>
  <si>
    <t>NP0003</t>
  </si>
  <si>
    <t>NP0002</t>
  </si>
  <si>
    <t>ANNP_0209</t>
  </si>
  <si>
    <t>NP0001</t>
  </si>
  <si>
    <t>ANNP_0208</t>
  </si>
  <si>
    <t>ANMG_0182</t>
  </si>
  <si>
    <t>ANMG_0056</t>
  </si>
  <si>
    <t>ANMG_0030</t>
  </si>
  <si>
    <t>ANMG_0166</t>
  </si>
  <si>
    <t>ANMG_0020</t>
  </si>
  <si>
    <t>ANMG_0096</t>
  </si>
  <si>
    <t>ANMG_0025</t>
  </si>
  <si>
    <t>ANMG_0043</t>
  </si>
  <si>
    <t>ANMG_0001</t>
  </si>
  <si>
    <t>ANMG_0012</t>
  </si>
  <si>
    <t>ANMG_0008</t>
  </si>
  <si>
    <t>ANMG_0136</t>
  </si>
  <si>
    <t>ANMG_0121</t>
  </si>
  <si>
    <t>ANMG_0130</t>
  </si>
  <si>
    <t>ANMG_0137</t>
  </si>
  <si>
    <t>ANMG_0123</t>
  </si>
  <si>
    <t>ANMG_0126</t>
  </si>
  <si>
    <t>ANMG_0038</t>
  </si>
  <si>
    <t>ANMG_0018</t>
  </si>
  <si>
    <t>ASMO_0177</t>
  </si>
  <si>
    <t>ASMO_0167</t>
  </si>
  <si>
    <t>ASMO_0168</t>
  </si>
  <si>
    <t>ASMO_0173</t>
  </si>
  <si>
    <t>ASMO_0260</t>
  </si>
  <si>
    <t>ASMO_0197</t>
  </si>
  <si>
    <t>ASMO_0245</t>
  </si>
  <si>
    <t>ASMO_0111</t>
  </si>
  <si>
    <t>ASMO_0223</t>
  </si>
  <si>
    <t>ASMO_0142</t>
  </si>
  <si>
    <t>ASMO_0204</t>
  </si>
  <si>
    <t>ASMO_0160</t>
  </si>
  <si>
    <t>ASMO_0193</t>
  </si>
  <si>
    <t>ASMO_0158</t>
  </si>
  <si>
    <t>ASMO_0246</t>
  </si>
  <si>
    <t>ASMO_0175</t>
  </si>
  <si>
    <t>ASMO_0229</t>
  </si>
  <si>
    <t>ASMO_0215</t>
  </si>
  <si>
    <t>ASMO_0225</t>
  </si>
  <si>
    <t>ASMO_0247</t>
  </si>
  <si>
    <t>ASMO_0212</t>
  </si>
  <si>
    <t>ASMO_0228</t>
  </si>
  <si>
    <t>ASMO_0236</t>
  </si>
  <si>
    <t>ASMO_0219</t>
  </si>
  <si>
    <t>ASMO_0232</t>
  </si>
  <si>
    <t>ASMO_0234</t>
  </si>
  <si>
    <t>ASMO_0206</t>
  </si>
  <si>
    <t>ASMO_0208</t>
  </si>
  <si>
    <t>ASMO_0194</t>
  </si>
  <si>
    <t>ASMO_0279</t>
  </si>
  <si>
    <t>ASMO_0244</t>
  </si>
  <si>
    <t>ASMO_0178</t>
  </si>
  <si>
    <t>ASMO_0280</t>
  </si>
  <si>
    <t>ASMO_0182</t>
  </si>
  <si>
    <t>ASMO_0185</t>
  </si>
  <si>
    <t>ASMO_0186</t>
  </si>
  <si>
    <t>ASMO_0270</t>
  </si>
  <si>
    <t>ASMO_0196</t>
  </si>
  <si>
    <t>ASMO_0112</t>
  </si>
  <si>
    <t>ASMO_0109</t>
  </si>
  <si>
    <t>ASMO_0192</t>
  </si>
  <si>
    <t>ASMO_0237</t>
  </si>
  <si>
    <t>ASMO_0255</t>
  </si>
  <si>
    <t>ASMO_0304</t>
  </si>
  <si>
    <t>ASMO_0293</t>
  </si>
  <si>
    <t>ASMO_0251</t>
  </si>
  <si>
    <t>ASMO_0151</t>
  </si>
  <si>
    <t>ASMO_0214</t>
  </si>
  <si>
    <t>ASMO_0205</t>
  </si>
  <si>
    <t>ASMO_0291</t>
  </si>
  <si>
    <t>ASMO_0110</t>
  </si>
  <si>
    <t>ASMO_0235</t>
  </si>
  <si>
    <t>ASMO_0272</t>
  </si>
  <si>
    <t>ASMO_0271</t>
  </si>
  <si>
    <t>ASMO_0222</t>
  </si>
  <si>
    <t>ASMO_0152</t>
  </si>
  <si>
    <t>ASMO_0154</t>
  </si>
  <si>
    <t>ASMO_0133</t>
  </si>
  <si>
    <t>ASMO_0183</t>
  </si>
  <si>
    <t>ASMO_0184</t>
  </si>
  <si>
    <t>ASMO_0203</t>
  </si>
  <si>
    <t>ASMO_0188</t>
  </si>
  <si>
    <t>ASMO_0298</t>
  </si>
  <si>
    <t>ASMO_0243</t>
  </si>
  <si>
    <t>ASMO_0221</t>
  </si>
  <si>
    <t>ASMO_0176</t>
  </si>
  <si>
    <t>ASMO_0174</t>
  </si>
  <si>
    <t>ASMO_0296</t>
  </si>
  <si>
    <t>ASMO_0211</t>
  </si>
  <si>
    <t>ASMO_0169</t>
  </si>
  <si>
    <t>ASMO_0199</t>
  </si>
  <si>
    <t>ASMO_0300</t>
  </si>
  <si>
    <t>ASMO_0303</t>
  </si>
  <si>
    <t>ASMO_0299</t>
  </si>
  <si>
    <t>ASMO_0210</t>
  </si>
  <si>
    <t>ASMO_0239</t>
  </si>
  <si>
    <t>ASMO_0224</t>
  </si>
  <si>
    <t>ASMO_0170</t>
  </si>
  <si>
    <t>ASMO_0195</t>
  </si>
  <si>
    <t>ASMO_0216</t>
  </si>
  <si>
    <t>ASMO_0191</t>
  </si>
  <si>
    <t>MO1388</t>
  </si>
  <si>
    <t>MO0626</t>
  </si>
  <si>
    <t>MO0619</t>
  </si>
  <si>
    <t>MO0618</t>
  </si>
  <si>
    <t>MO0617</t>
  </si>
  <si>
    <t>ASMO_0302</t>
  </si>
  <si>
    <t>MO0616</t>
  </si>
  <si>
    <t>ASMO_0309</t>
  </si>
  <si>
    <t>MO0607</t>
  </si>
  <si>
    <t>MO0602</t>
  </si>
  <si>
    <t>MO0601</t>
  </si>
  <si>
    <t>MO0600</t>
  </si>
  <si>
    <t>ASMO_0308</t>
  </si>
  <si>
    <t>MO0598</t>
  </si>
  <si>
    <t>ASMO_0307</t>
  </si>
  <si>
    <t>MO0596</t>
  </si>
  <si>
    <t>MO0593</t>
  </si>
  <si>
    <t>ASMO_0278</t>
  </si>
  <si>
    <t>MO0588</t>
  </si>
  <si>
    <t>MO0587</t>
  </si>
  <si>
    <t>ASMO_0306</t>
  </si>
  <si>
    <t>MO0586</t>
  </si>
  <si>
    <t>ASMO_0269</t>
  </si>
  <si>
    <t>MO0585</t>
  </si>
  <si>
    <t>MO0584</t>
  </si>
  <si>
    <t>MO0583</t>
  </si>
  <si>
    <t>ASMO_0294</t>
  </si>
  <si>
    <t>MO0577</t>
  </si>
  <si>
    <t>MO0575</t>
  </si>
  <si>
    <t>MO0566</t>
  </si>
  <si>
    <t>ASMO_0290</t>
  </si>
  <si>
    <t>MO0564</t>
  </si>
  <si>
    <t>ASMO_0289</t>
  </si>
  <si>
    <t>MO0562</t>
  </si>
  <si>
    <t>ASMO_0288</t>
  </si>
  <si>
    <t>MO0558</t>
  </si>
  <si>
    <t>ASMO_0268</t>
  </si>
  <si>
    <t>MO0544</t>
  </si>
  <si>
    <t>ASMO_0287</t>
  </si>
  <si>
    <t>MO0543</t>
  </si>
  <si>
    <t>ASMO_0286</t>
  </si>
  <si>
    <t>MO0540</t>
  </si>
  <si>
    <t>ASMO_0285</t>
  </si>
  <si>
    <t>MO0526</t>
  </si>
  <si>
    <t>MO0518</t>
  </si>
  <si>
    <t>ASMO_0276</t>
  </si>
  <si>
    <t>MO0508</t>
  </si>
  <si>
    <t>MO0507</t>
  </si>
  <si>
    <t>MO0503</t>
  </si>
  <si>
    <t>MO0500</t>
  </si>
  <si>
    <t>MO0492</t>
  </si>
  <si>
    <t>MO0491</t>
  </si>
  <si>
    <t>MO0483</t>
  </si>
  <si>
    <t>MO0482</t>
  </si>
  <si>
    <t>MO0480</t>
  </si>
  <si>
    <t>MO0478</t>
  </si>
  <si>
    <t>MO0473</t>
  </si>
  <si>
    <t>MO0465</t>
  </si>
  <si>
    <t>MO0464</t>
  </si>
  <si>
    <t>MO0463</t>
  </si>
  <si>
    <t>MO0458</t>
  </si>
  <si>
    <t>ASMO_0242</t>
  </si>
  <si>
    <t>MO0454</t>
  </si>
  <si>
    <t>ASMO_0241</t>
  </si>
  <si>
    <t>MO0451</t>
  </si>
  <si>
    <t>ASMO_0240</t>
  </si>
  <si>
    <t>MO0449</t>
  </si>
  <si>
    <t>MO0443</t>
  </si>
  <si>
    <t>MO0442</t>
  </si>
  <si>
    <t>MO0441</t>
  </si>
  <si>
    <t>MO0440</t>
  </si>
  <si>
    <t>MO0439</t>
  </si>
  <si>
    <t>ASMO_0233</t>
  </si>
  <si>
    <t>MO0438</t>
  </si>
  <si>
    <t>MO0437</t>
  </si>
  <si>
    <t>ASMO_0231</t>
  </si>
  <si>
    <t>MO0436</t>
  </si>
  <si>
    <t>ASMO_0230</t>
  </si>
  <si>
    <t>MO0434</t>
  </si>
  <si>
    <t>MO0433</t>
  </si>
  <si>
    <t>MO0432</t>
  </si>
  <si>
    <t>ASMO_0227</t>
  </si>
  <si>
    <t>MO0431</t>
  </si>
  <si>
    <t>ASMO_0226</t>
  </si>
  <si>
    <t>MO0430</t>
  </si>
  <si>
    <t>MO0427</t>
  </si>
  <si>
    <t>ASMO_0252</t>
  </si>
  <si>
    <t>MO0426</t>
  </si>
  <si>
    <t>MO0425</t>
  </si>
  <si>
    <t>MO0424</t>
  </si>
  <si>
    <t>MO0423</t>
  </si>
  <si>
    <t>MO0420</t>
  </si>
  <si>
    <t>MO0419</t>
  </si>
  <si>
    <t>MO0418</t>
  </si>
  <si>
    <t>ASMO_0218</t>
  </si>
  <si>
    <t>MO0417</t>
  </si>
  <si>
    <t>ASMO_0217</t>
  </si>
  <si>
    <t>MO0416</t>
  </si>
  <si>
    <t>MO0415</t>
  </si>
  <si>
    <t>MO0414</t>
  </si>
  <si>
    <t>MO0410</t>
  </si>
  <si>
    <t>ASMO_0284</t>
  </si>
  <si>
    <t>MO0409</t>
  </si>
  <si>
    <t>ASMO_0213</t>
  </si>
  <si>
    <t>MO0408</t>
  </si>
  <si>
    <t>MO0403</t>
  </si>
  <si>
    <t>MO0395</t>
  </si>
  <si>
    <t>ASMO_0248</t>
  </si>
  <si>
    <t>MO0394</t>
  </si>
  <si>
    <t>MO0393</t>
  </si>
  <si>
    <t>ASMO_0282</t>
  </si>
  <si>
    <t>MO0392</t>
  </si>
  <si>
    <t>MO0391</t>
  </si>
  <si>
    <t>MO0390</t>
  </si>
  <si>
    <t>MO0389</t>
  </si>
  <si>
    <t>MO0388</t>
  </si>
  <si>
    <t>ASMO_0153</t>
  </si>
  <si>
    <t>MO0387</t>
  </si>
  <si>
    <t>MO0386</t>
  </si>
  <si>
    <t>ASMO_0209</t>
  </si>
  <si>
    <t>MO0385</t>
  </si>
  <si>
    <t>MO0384</t>
  </si>
  <si>
    <t>MO0376</t>
  </si>
  <si>
    <t>MO0371</t>
  </si>
  <si>
    <t>MO0370</t>
  </si>
  <si>
    <t>ASMO_0207</t>
  </si>
  <si>
    <t>MO0369</t>
  </si>
  <si>
    <t>MO0368</t>
  </si>
  <si>
    <t>MO0362</t>
  </si>
  <si>
    <t>MO0361</t>
  </si>
  <si>
    <t>MO0338</t>
  </si>
  <si>
    <t>MO0335</t>
  </si>
  <si>
    <t>ASMO_0114</t>
  </si>
  <si>
    <t>MO0328</t>
  </si>
  <si>
    <t>MO0327</t>
  </si>
  <si>
    <t>MO0322</t>
  </si>
  <si>
    <t>MO0321</t>
  </si>
  <si>
    <t>MO0320</t>
  </si>
  <si>
    <t>ASMO_0108</t>
  </si>
  <si>
    <t>MO0319</t>
  </si>
  <si>
    <t>MO0318</t>
  </si>
  <si>
    <t>MO0313</t>
  </si>
  <si>
    <t>ASMO_0200</t>
  </si>
  <si>
    <t>MO0312</t>
  </si>
  <si>
    <t>MO0195</t>
  </si>
  <si>
    <t>ASMO_0181</t>
  </si>
  <si>
    <t>MO0187</t>
  </si>
  <si>
    <t>MO0180</t>
  </si>
  <si>
    <t>ASMO_0179</t>
  </si>
  <si>
    <t>MO0173</t>
  </si>
  <si>
    <t>MO0170</t>
  </si>
  <si>
    <t>MO0166</t>
  </si>
  <si>
    <t>MO0162</t>
  </si>
  <si>
    <t>MO0161</t>
  </si>
  <si>
    <t>MO0160</t>
  </si>
  <si>
    <t>MO0157</t>
  </si>
  <si>
    <t>MO0153</t>
  </si>
  <si>
    <t>MO0151</t>
  </si>
  <si>
    <t>MO0150</t>
  </si>
  <si>
    <t>MO0147</t>
  </si>
  <si>
    <t>MO0145</t>
  </si>
  <si>
    <t>MO0144</t>
  </si>
  <si>
    <t>MO0140</t>
  </si>
  <si>
    <t>MO0139</t>
  </si>
  <si>
    <t>MO0138</t>
  </si>
  <si>
    <t>MO0137</t>
  </si>
  <si>
    <t>MO0131</t>
  </si>
  <si>
    <t>MO0130</t>
  </si>
  <si>
    <t>ASMO_0187</t>
  </si>
  <si>
    <t>MO0125</t>
  </si>
  <si>
    <t>MO0121</t>
  </si>
  <si>
    <t>MO0117</t>
  </si>
  <si>
    <t>MO0116</t>
  </si>
  <si>
    <t>MO0112</t>
  </si>
  <si>
    <t>MO0100</t>
  </si>
  <si>
    <t>MO0098</t>
  </si>
  <si>
    <t>MO0088</t>
  </si>
  <si>
    <t>MO0087</t>
  </si>
  <si>
    <t>MO0077</t>
  </si>
  <si>
    <t>ASMO_0190</t>
  </si>
  <si>
    <t>MO0072</t>
  </si>
  <si>
    <t>ASMO_0189</t>
  </si>
  <si>
    <t>MO0061</t>
  </si>
  <si>
    <t>MO0054</t>
  </si>
  <si>
    <t>ASMO_0157</t>
  </si>
  <si>
    <t>MO0041</t>
  </si>
  <si>
    <t>ASMO_0156</t>
  </si>
  <si>
    <t>MO0036</t>
  </si>
  <si>
    <t>MO0031</t>
  </si>
  <si>
    <t>MO0028</t>
  </si>
  <si>
    <t>MO0021</t>
  </si>
  <si>
    <t>ASMO_0159</t>
  </si>
  <si>
    <t>MO0016</t>
  </si>
  <si>
    <t>ANMG_0022</t>
  </si>
  <si>
    <t>ANMG_0029</t>
  </si>
  <si>
    <t>ANMG_0062</t>
  </si>
  <si>
    <t>ANMG_0154</t>
  </si>
  <si>
    <t>ANMG_0140</t>
  </si>
  <si>
    <t>ANMG_0098</t>
  </si>
  <si>
    <t>ANMG_0148</t>
  </si>
  <si>
    <t>ANMG_0050</t>
  </si>
  <si>
    <t>ANMG_0073</t>
  </si>
  <si>
    <t>ANMG_0040</t>
  </si>
  <si>
    <t>ANMG_0003</t>
  </si>
  <si>
    <t>ANMG_0152</t>
  </si>
  <si>
    <t>ANMG_0174</t>
  </si>
  <si>
    <t>ANMG_0041</t>
  </si>
  <si>
    <t>ANMG_0139</t>
  </si>
  <si>
    <t>ANMG_0032</t>
  </si>
  <si>
    <t>ANMG_0023</t>
  </si>
  <si>
    <t>ANMG_0010</t>
  </si>
  <si>
    <t>ANMG_0178</t>
  </si>
  <si>
    <t>ANMG_0147</t>
  </si>
  <si>
    <t>ANMG_0014</t>
  </si>
  <si>
    <t>ANMG_0144</t>
  </si>
  <si>
    <t>ANMG_0141</t>
  </si>
  <si>
    <t>ANMG_0102</t>
  </si>
  <si>
    <t>ANMG_0015</t>
  </si>
  <si>
    <t>ANMG_0103</t>
  </si>
  <si>
    <t>ANMG_0111</t>
  </si>
  <si>
    <t>ANMG_0099</t>
  </si>
  <si>
    <t>ANMG_0170</t>
  </si>
  <si>
    <t>ANMG_0165</t>
  </si>
  <si>
    <t>ANMG_0084</t>
  </si>
  <si>
    <t>ANMG_0044</t>
  </si>
  <si>
    <t>ANMG_0047</t>
  </si>
  <si>
    <t>ANMG_0177</t>
  </si>
  <si>
    <t>ANMG_0107</t>
  </si>
  <si>
    <t>ANMG_0131</t>
  </si>
  <si>
    <t>ANMG_0162</t>
  </si>
  <si>
    <t>ANMG_0168</t>
  </si>
  <si>
    <t>ANMG_0005</t>
  </si>
  <si>
    <t>ANMG_0060</t>
  </si>
  <si>
    <t>ANMG_0101</t>
  </si>
  <si>
    <t>ANMG_0105</t>
  </si>
  <si>
    <t>ANMG_0110</t>
  </si>
  <si>
    <t>ANMG_0054</t>
  </si>
  <si>
    <t>ANMG_0013</t>
  </si>
  <si>
    <t>ANMG_0009</t>
  </si>
  <si>
    <t>ANMG_0002</t>
  </si>
  <si>
    <t>ANMG_0097</t>
  </si>
  <si>
    <t>ANMG_0036</t>
  </si>
  <si>
    <t>MG1167</t>
  </si>
  <si>
    <t>MG0948</t>
  </si>
  <si>
    <t>ANMG_0181</t>
  </si>
  <si>
    <t>MG0867</t>
  </si>
  <si>
    <t>ANMG_0179</t>
  </si>
  <si>
    <t>MG0504</t>
  </si>
  <si>
    <t>MG0503</t>
  </si>
  <si>
    <t>ANMG_0186</t>
  </si>
  <si>
    <t>MG0498</t>
  </si>
  <si>
    <t>ANMG_0185</t>
  </si>
  <si>
    <t>MG0497</t>
  </si>
  <si>
    <t>MG0473</t>
  </si>
  <si>
    <t>MG0472</t>
  </si>
  <si>
    <t>MG0440_C</t>
  </si>
  <si>
    <t>ANMG_9991</t>
  </si>
  <si>
    <t>MG0439</t>
  </si>
  <si>
    <t>MG0438</t>
  </si>
  <si>
    <t>MG0437</t>
  </si>
  <si>
    <t>MG0436</t>
  </si>
  <si>
    <t>ANMG_0171</t>
  </si>
  <si>
    <t>MG0435</t>
  </si>
  <si>
    <t>MG0434</t>
  </si>
  <si>
    <t>ANMG_0169</t>
  </si>
  <si>
    <t>MG0433</t>
  </si>
  <si>
    <t>MG0432</t>
  </si>
  <si>
    <t>MG0431</t>
  </si>
  <si>
    <t>MG0430</t>
  </si>
  <si>
    <t>MG0427</t>
  </si>
  <si>
    <t>ANMG_0163</t>
  </si>
  <si>
    <t>MG0426</t>
  </si>
  <si>
    <t>MG0425</t>
  </si>
  <si>
    <t>ANMG_0161</t>
  </si>
  <si>
    <t>MG0424</t>
  </si>
  <si>
    <t>ANMG_0160</t>
  </si>
  <si>
    <t>MG0423</t>
  </si>
  <si>
    <t>ANMG_0159</t>
  </si>
  <si>
    <t>MG0422</t>
  </si>
  <si>
    <t>ANMG_0158</t>
  </si>
  <si>
    <t>MG0420</t>
  </si>
  <si>
    <t>ANMG_0157</t>
  </si>
  <si>
    <t>MG0419</t>
  </si>
  <si>
    <t>ANMG_0156</t>
  </si>
  <si>
    <t>MG0417</t>
  </si>
  <si>
    <t>MG0416</t>
  </si>
  <si>
    <t>ANMG_0153</t>
  </si>
  <si>
    <t>MG0415</t>
  </si>
  <si>
    <t>MG0414</t>
  </si>
  <si>
    <t>ANMG_0151</t>
  </si>
  <si>
    <t>MG0413</t>
  </si>
  <si>
    <t>ANMG_0150</t>
  </si>
  <si>
    <t>MG0412</t>
  </si>
  <si>
    <t>ANMG_0149</t>
  </si>
  <si>
    <t>MG0404</t>
  </si>
  <si>
    <t>MG0402</t>
  </si>
  <si>
    <t>MG0397</t>
  </si>
  <si>
    <t>ANMG_0146</t>
  </si>
  <si>
    <t>MG0376</t>
  </si>
  <si>
    <t>MG0346</t>
  </si>
  <si>
    <t>ANMG_0143</t>
  </si>
  <si>
    <t>MG0344</t>
  </si>
  <si>
    <t>ANMG_0117</t>
  </si>
  <si>
    <t>MG0342</t>
  </si>
  <si>
    <t>ANMG_0142</t>
  </si>
  <si>
    <t>MG0341</t>
  </si>
  <si>
    <t>ANMG_0115</t>
  </si>
  <si>
    <t>MG0340</t>
  </si>
  <si>
    <t>ANMG_0114</t>
  </si>
  <si>
    <t>MG0339</t>
  </si>
  <si>
    <t>MG0338</t>
  </si>
  <si>
    <t>MG0337</t>
  </si>
  <si>
    <t>MG0334</t>
  </si>
  <si>
    <t>MG0333</t>
  </si>
  <si>
    <t>MG0332</t>
  </si>
  <si>
    <t>ANMG_0138</t>
  </si>
  <si>
    <t>MG0330</t>
  </si>
  <si>
    <t>MG0329</t>
  </si>
  <si>
    <t>MG0328</t>
  </si>
  <si>
    <t>ANMG_0135</t>
  </si>
  <si>
    <t>MG0327</t>
  </si>
  <si>
    <t>MG0326</t>
  </si>
  <si>
    <t>ANMG_0109</t>
  </si>
  <si>
    <t>MG0324</t>
  </si>
  <si>
    <t>ANMG_0108</t>
  </si>
  <si>
    <t>MG0323</t>
  </si>
  <si>
    <t>MG0315</t>
  </si>
  <si>
    <t>MG0314</t>
  </si>
  <si>
    <t>MG0313</t>
  </si>
  <si>
    <t>ANMG_0104</t>
  </si>
  <si>
    <t>MG0312</t>
  </si>
  <si>
    <t>MG0311</t>
  </si>
  <si>
    <t>MG0310</t>
  </si>
  <si>
    <t>MG0309</t>
  </si>
  <si>
    <t>ANMG_0129</t>
  </si>
  <si>
    <t>MG0308</t>
  </si>
  <si>
    <t>ANMG_0128</t>
  </si>
  <si>
    <t>MG0297</t>
  </si>
  <si>
    <t>ANMG_0127</t>
  </si>
  <si>
    <t>MG0296</t>
  </si>
  <si>
    <t>MG0295</t>
  </si>
  <si>
    <t>ANMG_0100</t>
  </si>
  <si>
    <t>MG0294</t>
  </si>
  <si>
    <t>MG0293</t>
  </si>
  <si>
    <t>MG0292</t>
  </si>
  <si>
    <t>MG0291</t>
  </si>
  <si>
    <t>MG0289</t>
  </si>
  <si>
    <t>MG0279_C</t>
  </si>
  <si>
    <t>ANMG_9990</t>
  </si>
  <si>
    <t>MG0278</t>
  </si>
  <si>
    <t>ANMG_0087</t>
  </si>
  <si>
    <t>MG0277</t>
  </si>
  <si>
    <t>ANMG_0124</t>
  </si>
  <si>
    <t>MG0275</t>
  </si>
  <si>
    <t>MG0273</t>
  </si>
  <si>
    <t>MG0264</t>
  </si>
  <si>
    <t>ANMG_0081</t>
  </si>
  <si>
    <t>MG0263</t>
  </si>
  <si>
    <t>MG0262</t>
  </si>
  <si>
    <t>ANMG_0080</t>
  </si>
  <si>
    <t>MG0260</t>
  </si>
  <si>
    <t>MG0252</t>
  </si>
  <si>
    <t>ANMG_0119</t>
  </si>
  <si>
    <t>MG0251</t>
  </si>
  <si>
    <t>MG0250</t>
  </si>
  <si>
    <t>ANMG_0075</t>
  </si>
  <si>
    <t>MG0249</t>
  </si>
  <si>
    <t>ANMG_0118</t>
  </si>
  <si>
    <t>MG0246</t>
  </si>
  <si>
    <t>ANMG_0074</t>
  </si>
  <si>
    <t>MG0220</t>
  </si>
  <si>
    <t>ANMG_0184</t>
  </si>
  <si>
    <t>MG0219</t>
  </si>
  <si>
    <t>ANMG_0194</t>
  </si>
  <si>
    <t>MG0104</t>
  </si>
  <si>
    <t>MG0065</t>
  </si>
  <si>
    <t>MG0064</t>
  </si>
  <si>
    <t>MG0063</t>
  </si>
  <si>
    <t>MG0062</t>
  </si>
  <si>
    <t>ANMG_0049</t>
  </si>
  <si>
    <t>MG0061</t>
  </si>
  <si>
    <t>ANMG_0048</t>
  </si>
  <si>
    <t>MG0060</t>
  </si>
  <si>
    <t>ANMG_0057</t>
  </si>
  <si>
    <t>MG0059</t>
  </si>
  <si>
    <t>MG0058</t>
  </si>
  <si>
    <t>ANMG_0042</t>
  </si>
  <si>
    <t>MG0057</t>
  </si>
  <si>
    <t>MG0056</t>
  </si>
  <si>
    <t>MG0055</t>
  </si>
  <si>
    <t>ANMG_0039</t>
  </si>
  <si>
    <t>MG0054</t>
  </si>
  <si>
    <t>MG0053</t>
  </si>
  <si>
    <t>ANMG_0065</t>
  </si>
  <si>
    <t>MG0052</t>
  </si>
  <si>
    <t>ANMG_0064</t>
  </si>
  <si>
    <t>MG0050</t>
  </si>
  <si>
    <t>MG0049</t>
  </si>
  <si>
    <t>MG0048</t>
  </si>
  <si>
    <t>MG0047</t>
  </si>
  <si>
    <t>MG0046</t>
  </si>
  <si>
    <t>ANMG_0063</t>
  </si>
  <si>
    <t>MG0045</t>
  </si>
  <si>
    <t>MG0044</t>
  </si>
  <si>
    <t>ANMG_0007</t>
  </si>
  <si>
    <t>MG0043</t>
  </si>
  <si>
    <t>MG0042</t>
  </si>
  <si>
    <t>MG0041</t>
  </si>
  <si>
    <t>MG0040</t>
  </si>
  <si>
    <t>MG0039</t>
  </si>
  <si>
    <t>ANMG_0061</t>
  </si>
  <si>
    <t>MG0038</t>
  </si>
  <si>
    <t>MG0037</t>
  </si>
  <si>
    <t>ANMG_0028</t>
  </si>
  <si>
    <t>MG0036</t>
  </si>
  <si>
    <t>MG0035</t>
  </si>
  <si>
    <t>MG0034</t>
  </si>
  <si>
    <t>ANMG_0046</t>
  </si>
  <si>
    <t>MG0033</t>
  </si>
  <si>
    <t>MG0032</t>
  </si>
  <si>
    <t>MG0031</t>
  </si>
  <si>
    <t>MG0030</t>
  </si>
  <si>
    <t>ANMG_0055</t>
  </si>
  <si>
    <t>MG0029</t>
  </si>
  <si>
    <t>ANMG_0045</t>
  </si>
  <si>
    <t>MG0028</t>
  </si>
  <si>
    <t>ANMG_0004</t>
  </si>
  <si>
    <t>MG0027</t>
  </si>
  <si>
    <t>MG0026</t>
  </si>
  <si>
    <t>MG0025</t>
  </si>
  <si>
    <t>MG0024</t>
  </si>
  <si>
    <t>MG0023</t>
  </si>
  <si>
    <t>ANMG_0053</t>
  </si>
  <si>
    <t>MG0022</t>
  </si>
  <si>
    <t>MG0021</t>
  </si>
  <si>
    <t>MG0020</t>
  </si>
  <si>
    <t>MG0019</t>
  </si>
  <si>
    <t>MG0018</t>
  </si>
  <si>
    <t>MG0017</t>
  </si>
  <si>
    <t>MG0016</t>
  </si>
  <si>
    <t>MG0015</t>
  </si>
  <si>
    <t>ANMG_0059</t>
  </si>
  <si>
    <t>MG0013</t>
  </si>
  <si>
    <t>MG0012</t>
  </si>
  <si>
    <t>MG0011</t>
  </si>
  <si>
    <t>ANMG_0035</t>
  </si>
  <si>
    <t>MG0010</t>
  </si>
  <si>
    <t>MG0009</t>
  </si>
  <si>
    <t>ANMG_0033</t>
  </si>
  <si>
    <t>MG0007</t>
  </si>
  <si>
    <t>MG0006</t>
  </si>
  <si>
    <t>MG0005</t>
  </si>
  <si>
    <t>MG0004</t>
  </si>
  <si>
    <t>MG0003</t>
  </si>
  <si>
    <t>ANMG_0031</t>
  </si>
  <si>
    <t>MG0002</t>
  </si>
  <si>
    <t>MG0001</t>
  </si>
  <si>
    <t>ANMD_0120</t>
  </si>
  <si>
    <t>ANMD_0009</t>
  </si>
  <si>
    <t>ANMD_0121</t>
  </si>
  <si>
    <t>ANMD_0104</t>
  </si>
  <si>
    <t>ANMD_0102</t>
  </si>
  <si>
    <t>ANMD_0204</t>
  </si>
  <si>
    <t>ANMD_0207</t>
  </si>
  <si>
    <t>ANMD_0101</t>
  </si>
  <si>
    <t>ANMD_0245</t>
  </si>
  <si>
    <t>ANMD_0179</t>
  </si>
  <si>
    <t>ANMD_0232</t>
  </si>
  <si>
    <t>ANMD_0156</t>
  </si>
  <si>
    <t>ANMD_0061</t>
  </si>
  <si>
    <t>ANMD_0254</t>
  </si>
  <si>
    <t>ANMD_0135</t>
  </si>
  <si>
    <t>ANMD_0223</t>
  </si>
  <si>
    <t>ANMD_0242</t>
  </si>
  <si>
    <t>ANMD_0237</t>
  </si>
  <si>
    <t>ANMD_0238</t>
  </si>
  <si>
    <t>ANMD_0182</t>
  </si>
  <si>
    <t>ANMD_0113</t>
  </si>
  <si>
    <t>ANMD_0222</t>
  </si>
  <si>
    <t>ANMD_0064</t>
  </si>
  <si>
    <t>ANMD_0206</t>
  </si>
  <si>
    <t>ANMD_0094</t>
  </si>
  <si>
    <t>ANMD_0214</t>
  </si>
  <si>
    <t>ANMD_0219</t>
  </si>
  <si>
    <t>ANMD_0143</t>
  </si>
  <si>
    <t>ANMD_0241</t>
  </si>
  <si>
    <t>ANMD_0184</t>
  </si>
  <si>
    <t>ANMD_0075</t>
  </si>
  <si>
    <t>ANMD_0243</t>
  </si>
  <si>
    <t>ANMD_0141</t>
  </si>
  <si>
    <t>ANMD_0062</t>
  </si>
  <si>
    <t>ANMD_0216</t>
  </si>
  <si>
    <t>ANMD_0083</t>
  </si>
  <si>
    <t>ANMD_0116</t>
  </si>
  <si>
    <t>ANMD_0221</t>
  </si>
  <si>
    <t>ANMD_0142</t>
  </si>
  <si>
    <t>ANMD_0244</t>
  </si>
  <si>
    <t>ANMD_0155</t>
  </si>
  <si>
    <t>ANMD_0150</t>
  </si>
  <si>
    <t>ANMD_0124</t>
  </si>
  <si>
    <t>ANMD_0108</t>
  </si>
  <si>
    <t>ANMD_0212</t>
  </si>
  <si>
    <t>ANMD_0211</t>
  </si>
  <si>
    <t>ANMD_0197</t>
  </si>
  <si>
    <t>ANMD_0178</t>
  </si>
  <si>
    <t>ANMD_0209</t>
  </si>
  <si>
    <t>ANMD_0194</t>
  </si>
  <si>
    <t>ANMD_0123</t>
  </si>
  <si>
    <t>ANMD_0111</t>
  </si>
  <si>
    <t>ANMD_0107</t>
  </si>
  <si>
    <t>ANMD_0110</t>
  </si>
  <si>
    <t>ANMD_0144</t>
  </si>
  <si>
    <t>ANMD_0230</t>
  </si>
  <si>
    <t>ANMD_0072</t>
  </si>
  <si>
    <t>ANMD_0189</t>
  </si>
  <si>
    <t>ANMD_0082</t>
  </si>
  <si>
    <t>ANMD_0188</t>
  </si>
  <si>
    <t>ANMD_0151</t>
  </si>
  <si>
    <t>ANMD_0096</t>
  </si>
  <si>
    <t>ANMD_0210</t>
  </si>
  <si>
    <t>ANMD_0134</t>
  </si>
  <si>
    <t>ANMD_0063</t>
  </si>
  <si>
    <t>ANMD_0229</t>
  </si>
  <si>
    <t>ANMD_0180</t>
  </si>
  <si>
    <t>ANMD_0127</t>
  </si>
  <si>
    <t>ANMD_0138</t>
  </si>
  <si>
    <t>ANMD_0162</t>
  </si>
  <si>
    <t>ANMD_0137</t>
  </si>
  <si>
    <t>ANMD_0200</t>
  </si>
  <si>
    <t>ANMD_0126</t>
  </si>
  <si>
    <t>ANMD_0112</t>
  </si>
  <si>
    <t>ANMD_0103</t>
  </si>
  <si>
    <t>ANMD_0160</t>
  </si>
  <si>
    <t>ANMD_0030</t>
  </si>
  <si>
    <t>ANMD_0029</t>
  </si>
  <si>
    <t>ANMD_0027</t>
  </si>
  <si>
    <t>ANMD_0161</t>
  </si>
  <si>
    <t>ANMD_0035</t>
  </si>
  <si>
    <t>ANMD_0177</t>
  </si>
  <si>
    <t>ANMD_0114</t>
  </si>
  <si>
    <t>ANMD_0100</t>
  </si>
  <si>
    <t>ANMD_0074</t>
  </si>
  <si>
    <t>ANMD_0149</t>
  </si>
  <si>
    <t>ANMD_0233</t>
  </si>
  <si>
    <t>ANMD_0010</t>
  </si>
  <si>
    <t>ANMD_0133</t>
  </si>
  <si>
    <t>ANMD_0228</t>
  </si>
  <si>
    <t>ANMD_0159</t>
  </si>
  <si>
    <t>ANMD_0058</t>
  </si>
  <si>
    <t>MDY00987</t>
  </si>
  <si>
    <t>ANMD_3000</t>
  </si>
  <si>
    <t>MDY00985</t>
  </si>
  <si>
    <t>ANMD_9988</t>
  </si>
  <si>
    <t>MDY00922</t>
  </si>
  <si>
    <t>ANMD_9987</t>
  </si>
  <si>
    <t>ANMD_0032</t>
  </si>
  <si>
    <t>ANMD_0203</t>
  </si>
  <si>
    <t>ANMD_0215</t>
  </si>
  <si>
    <t>ANMD_0140</t>
  </si>
  <si>
    <t>ANMD_0087</t>
  </si>
  <si>
    <t>ANMD_0023</t>
  </si>
  <si>
    <t>ANMD_0130</t>
  </si>
  <si>
    <t>MDY00594</t>
  </si>
  <si>
    <t>ANMD_0175</t>
  </si>
  <si>
    <t>ANMD_0003</t>
  </si>
  <si>
    <t>ANMD_0192</t>
  </si>
  <si>
    <t>MDY00273</t>
  </si>
  <si>
    <t>ANMD_0131</t>
  </si>
  <si>
    <t>MD1019</t>
  </si>
  <si>
    <t>ANMD_0257</t>
  </si>
  <si>
    <t>MD0766</t>
  </si>
  <si>
    <t>ANMD_0256</t>
  </si>
  <si>
    <t>MD0765</t>
  </si>
  <si>
    <t>ANMD_0246</t>
  </si>
  <si>
    <t>MD0764</t>
  </si>
  <si>
    <t>ANMD_0255</t>
  </si>
  <si>
    <t>MD0714</t>
  </si>
  <si>
    <t>MD0713</t>
  </si>
  <si>
    <t>MD0712</t>
  </si>
  <si>
    <t>MD0711</t>
  </si>
  <si>
    <t>MD0710</t>
  </si>
  <si>
    <t>MD0707</t>
  </si>
  <si>
    <t>MD0706</t>
  </si>
  <si>
    <t>MD0705</t>
  </si>
  <si>
    <t>MD0704</t>
  </si>
  <si>
    <t>MD0703</t>
  </si>
  <si>
    <t>MD0702</t>
  </si>
  <si>
    <t>ANMD_0235</t>
  </si>
  <si>
    <t>MD0701</t>
  </si>
  <si>
    <t>ANMD_0234</t>
  </si>
  <si>
    <t>MD0700</t>
  </si>
  <si>
    <t>MD0699</t>
  </si>
  <si>
    <t>MD0698</t>
  </si>
  <si>
    <t>MD0697</t>
  </si>
  <si>
    <t>ANMD_0231</t>
  </si>
  <si>
    <t>MD0675</t>
  </si>
  <si>
    <t>MD0615</t>
  </si>
  <si>
    <t>ANMD_0265</t>
  </si>
  <si>
    <t>MD0583</t>
  </si>
  <si>
    <t>ANMD_0263</t>
  </si>
  <si>
    <t>MD0543</t>
  </si>
  <si>
    <t>MD0536</t>
  </si>
  <si>
    <t>ANMD_0227</t>
  </si>
  <si>
    <t>MD0534</t>
  </si>
  <si>
    <t>ANMD_0226</t>
  </si>
  <si>
    <t>MD0533</t>
  </si>
  <si>
    <t>ANMD_0225</t>
  </si>
  <si>
    <t>MD0523</t>
  </si>
  <si>
    <t>MD0520</t>
  </si>
  <si>
    <t>MD0508</t>
  </si>
  <si>
    <t>MD0507</t>
  </si>
  <si>
    <t>MD0505</t>
  </si>
  <si>
    <t>MD0504</t>
  </si>
  <si>
    <t>MD0502</t>
  </si>
  <si>
    <t>ANMD_0218</t>
  </si>
  <si>
    <t>MD0501</t>
  </si>
  <si>
    <t>ANMD_0217</t>
  </si>
  <si>
    <t>MD0497</t>
  </si>
  <si>
    <t>ANMD_0060</t>
  </si>
  <si>
    <t>MD0494</t>
  </si>
  <si>
    <t>MD0493</t>
  </si>
  <si>
    <t>MD0481</t>
  </si>
  <si>
    <t>MD0468</t>
  </si>
  <si>
    <t>MD0463</t>
  </si>
  <si>
    <t>MD0393</t>
  </si>
  <si>
    <t>ANMD_0047</t>
  </si>
  <si>
    <t>MD0372</t>
  </si>
  <si>
    <t>MD0371</t>
  </si>
  <si>
    <t>MD0370</t>
  </si>
  <si>
    <t>ANMD_0046</t>
  </si>
  <si>
    <t>MD0369</t>
  </si>
  <si>
    <t>MD0368</t>
  </si>
  <si>
    <t>ANMD_0208</t>
  </si>
  <si>
    <t>MD0365</t>
  </si>
  <si>
    <t>MD0359</t>
  </si>
  <si>
    <t>MD0358</t>
  </si>
  <si>
    <t>ANMD_0045</t>
  </si>
  <si>
    <t>MD0355</t>
  </si>
  <si>
    <t>MD0354</t>
  </si>
  <si>
    <t>MD0346</t>
  </si>
  <si>
    <t>MD0335</t>
  </si>
  <si>
    <t>ANMD_0037</t>
  </si>
  <si>
    <t>MD0334</t>
  </si>
  <si>
    <t>ANMD_0036</t>
  </si>
  <si>
    <t>MD0333</t>
  </si>
  <si>
    <t>MD0332</t>
  </si>
  <si>
    <t>ANMD_0034</t>
  </si>
  <si>
    <t>MD0331</t>
  </si>
  <si>
    <t>ANMD_0033</t>
  </si>
  <si>
    <t>MD0330</t>
  </si>
  <si>
    <t>MD0329</t>
  </si>
  <si>
    <t>ANMD_0031</t>
  </si>
  <si>
    <t>MD0328</t>
  </si>
  <si>
    <t>MD0327</t>
  </si>
  <si>
    <t>MD0326</t>
  </si>
  <si>
    <t>ANMD_0028</t>
  </si>
  <si>
    <t>MD0325</t>
  </si>
  <si>
    <t>MD0324</t>
  </si>
  <si>
    <t>ANMD_0026</t>
  </si>
  <si>
    <t>MD0322</t>
  </si>
  <si>
    <t>ANMD_0024</t>
  </si>
  <si>
    <t>MD0321</t>
  </si>
  <si>
    <t>MD0320</t>
  </si>
  <si>
    <t>MD0282</t>
  </si>
  <si>
    <t>ANMD_0020</t>
  </si>
  <si>
    <t>MD0281</t>
  </si>
  <si>
    <t>ANMD_0019</t>
  </si>
  <si>
    <t>MD0280</t>
  </si>
  <si>
    <t>MD0279</t>
  </si>
  <si>
    <t>ANMD_0017</t>
  </si>
  <si>
    <t>MD0278_R</t>
  </si>
  <si>
    <t>MD0277</t>
  </si>
  <si>
    <t>MD0276</t>
  </si>
  <si>
    <t>ANMD_0014</t>
  </si>
  <si>
    <t>MD0275</t>
  </si>
  <si>
    <t>ANMD_0013</t>
  </si>
  <si>
    <t>MD0274</t>
  </si>
  <si>
    <t>MD0273</t>
  </si>
  <si>
    <t>MD0272</t>
  </si>
  <si>
    <t>MD0271</t>
  </si>
  <si>
    <t>MD0270</t>
  </si>
  <si>
    <t>ANMD_0008</t>
  </si>
  <si>
    <t>MD0269</t>
  </si>
  <si>
    <t>ANMD_0007</t>
  </si>
  <si>
    <t>MD0268</t>
  </si>
  <si>
    <t>ANMD_0006</t>
  </si>
  <si>
    <t>MD0267</t>
  </si>
  <si>
    <t>MD0266</t>
  </si>
  <si>
    <t>MD0257</t>
  </si>
  <si>
    <t>MD0142</t>
  </si>
  <si>
    <t>MD0141</t>
  </si>
  <si>
    <t>MD0140</t>
  </si>
  <si>
    <t>MD0139</t>
  </si>
  <si>
    <t>MD0138</t>
  </si>
  <si>
    <t>MD0137</t>
  </si>
  <si>
    <t>MD0136</t>
  </si>
  <si>
    <t>MD0135</t>
  </si>
  <si>
    <t>ANMD_0145</t>
  </si>
  <si>
    <t>MD0134</t>
  </si>
  <si>
    <t>MD0133</t>
  </si>
  <si>
    <t>MD0132</t>
  </si>
  <si>
    <t>ANMD_0193</t>
  </si>
  <si>
    <t>MD0131</t>
  </si>
  <si>
    <t>MD0130</t>
  </si>
  <si>
    <t>MD0129</t>
  </si>
  <si>
    <t>MD0128</t>
  </si>
  <si>
    <t>MD0127</t>
  </si>
  <si>
    <t>ANMD_0109</t>
  </si>
  <si>
    <t>MD0126</t>
  </si>
  <si>
    <t>ANMD_0147</t>
  </si>
  <si>
    <t>MD0125</t>
  </si>
  <si>
    <t>MD0123</t>
  </si>
  <si>
    <t>MD0122</t>
  </si>
  <si>
    <t>MD0121</t>
  </si>
  <si>
    <t>MD0120</t>
  </si>
  <si>
    <t>ANMD_0186</t>
  </si>
  <si>
    <t>MD0119</t>
  </si>
  <si>
    <t>MD0118</t>
  </si>
  <si>
    <t>MD0117</t>
  </si>
  <si>
    <t>ANMD_0185</t>
  </si>
  <si>
    <t>MD0116</t>
  </si>
  <si>
    <t>MD0115</t>
  </si>
  <si>
    <t>MD0114</t>
  </si>
  <si>
    <t>MD0113</t>
  </si>
  <si>
    <t>MD0112</t>
  </si>
  <si>
    <t>ANMD_0196</t>
  </si>
  <si>
    <t>MD0111</t>
  </si>
  <si>
    <t>MD0110</t>
  </si>
  <si>
    <t>ANMD_0199</t>
  </si>
  <si>
    <t>MD0109</t>
  </si>
  <si>
    <t>MD0108</t>
  </si>
  <si>
    <t>ANMD_0158</t>
  </si>
  <si>
    <t>MD0107</t>
  </si>
  <si>
    <t>ANMD_0205</t>
  </si>
  <si>
    <t>MD0106</t>
  </si>
  <si>
    <t>MD0105</t>
  </si>
  <si>
    <t>ANMD_0198</t>
  </si>
  <si>
    <t>MD0104</t>
  </si>
  <si>
    <t>ANMD_0125</t>
  </si>
  <si>
    <t>MD0103</t>
  </si>
  <si>
    <t>MD0102</t>
  </si>
  <si>
    <t>ANMD_0191</t>
  </si>
  <si>
    <t>MD0101</t>
  </si>
  <si>
    <t>MD0100</t>
  </si>
  <si>
    <t>MD0099</t>
  </si>
  <si>
    <t>MD0098</t>
  </si>
  <si>
    <t>MD0097</t>
  </si>
  <si>
    <t>ANMD_0190</t>
  </si>
  <si>
    <t>MD0096</t>
  </si>
  <si>
    <t>MD0095</t>
  </si>
  <si>
    <t>MD0094</t>
  </si>
  <si>
    <t>ANMD_0157</t>
  </si>
  <si>
    <t>MD0093</t>
  </si>
  <si>
    <t>MD0092</t>
  </si>
  <si>
    <t>MD0091</t>
  </si>
  <si>
    <t>ANMD_0202</t>
  </si>
  <si>
    <t>MD0090</t>
  </si>
  <si>
    <t>ANMD_0201</t>
  </si>
  <si>
    <t>MD0089</t>
  </si>
  <si>
    <t>ANMD_0139</t>
  </si>
  <si>
    <t>MD0088</t>
  </si>
  <si>
    <t>MD0087</t>
  </si>
  <si>
    <t>MD0086</t>
  </si>
  <si>
    <t>MD0085</t>
  </si>
  <si>
    <t>ANMD_0115</t>
  </si>
  <si>
    <t>MD0084</t>
  </si>
  <si>
    <t>MD0083</t>
  </si>
  <si>
    <t>MD0082</t>
  </si>
  <si>
    <t>MD0081</t>
  </si>
  <si>
    <t>MD0080</t>
  </si>
  <si>
    <t>MD0079</t>
  </si>
  <si>
    <t>MD0078</t>
  </si>
  <si>
    <t>MD0077</t>
  </si>
  <si>
    <t>MD0076</t>
  </si>
  <si>
    <t>MD0075</t>
  </si>
  <si>
    <t>MD0074</t>
  </si>
  <si>
    <t>ANMD_0129</t>
  </si>
  <si>
    <t>MD0073</t>
  </si>
  <si>
    <t>ANMD_0128</t>
  </si>
  <si>
    <t>MD0072</t>
  </si>
  <si>
    <t>MD0071</t>
  </si>
  <si>
    <t>MD0070</t>
  </si>
  <si>
    <t>MD0069</t>
  </si>
  <si>
    <t>MD0068</t>
  </si>
  <si>
    <t>MD0067</t>
  </si>
  <si>
    <t>MD0065</t>
  </si>
  <si>
    <t>ANMD_0085</t>
  </si>
  <si>
    <t>MD0063</t>
  </si>
  <si>
    <t>MD0062</t>
  </si>
  <si>
    <t>MD0061</t>
  </si>
  <si>
    <t>MD0060</t>
  </si>
  <si>
    <t>ANMD_0081</t>
  </si>
  <si>
    <t>MD0059</t>
  </si>
  <si>
    <t>MD0058</t>
  </si>
  <si>
    <t>MD0057</t>
  </si>
  <si>
    <t>MD0056</t>
  </si>
  <si>
    <t>MD0055</t>
  </si>
  <si>
    <t>MD0054</t>
  </si>
  <si>
    <t>MD0052</t>
  </si>
  <si>
    <t>MD0051</t>
  </si>
  <si>
    <t>MD0050</t>
  </si>
  <si>
    <t>ANMD_0076</t>
  </si>
  <si>
    <t>MD0049</t>
  </si>
  <si>
    <t>MD0048</t>
  </si>
  <si>
    <t>MD0047</t>
  </si>
  <si>
    <t>MD0046</t>
  </si>
  <si>
    <t>MD0045</t>
  </si>
  <si>
    <t>ANMD_0183</t>
  </si>
  <si>
    <t>MD0044</t>
  </si>
  <si>
    <t>MD0043</t>
  </si>
  <si>
    <t>MD0042</t>
  </si>
  <si>
    <t>MD0041</t>
  </si>
  <si>
    <t>MD0040</t>
  </si>
  <si>
    <t>MD0039</t>
  </si>
  <si>
    <t>MD0038</t>
  </si>
  <si>
    <t>MD0037</t>
  </si>
  <si>
    <t>MD0036</t>
  </si>
  <si>
    <t>ANMD_0068</t>
  </si>
  <si>
    <t>MD0035</t>
  </si>
  <si>
    <t>MD0034</t>
  </si>
  <si>
    <t>MD0033</t>
  </si>
  <si>
    <t>MD0032</t>
  </si>
  <si>
    <t>ANMD_0187</t>
  </si>
  <si>
    <t>MD0031</t>
  </si>
  <si>
    <t>ANMD_0106</t>
  </si>
  <si>
    <t>MD0030</t>
  </si>
  <si>
    <t>MD0029</t>
  </si>
  <si>
    <t>MD0028</t>
  </si>
  <si>
    <t>MD0027</t>
  </si>
  <si>
    <t>MD0026</t>
  </si>
  <si>
    <t>MD0025</t>
  </si>
  <si>
    <t>MD0024</t>
  </si>
  <si>
    <t>MD0023</t>
  </si>
  <si>
    <t>MD0022</t>
  </si>
  <si>
    <t>MD0021</t>
  </si>
  <si>
    <t>ANMD_0090</t>
  </si>
  <si>
    <t>MD0020</t>
  </si>
  <si>
    <t>MD0019</t>
  </si>
  <si>
    <t>MD0018</t>
  </si>
  <si>
    <t>MD0017</t>
  </si>
  <si>
    <t>MD0016</t>
  </si>
  <si>
    <t>MD0015</t>
  </si>
  <si>
    <t>MD0014</t>
  </si>
  <si>
    <t>MD0013</t>
  </si>
  <si>
    <t>MD0012</t>
  </si>
  <si>
    <t>ANMD_0099</t>
  </si>
  <si>
    <t>MD0011</t>
  </si>
  <si>
    <t>MD0010</t>
  </si>
  <si>
    <t>MD0009</t>
  </si>
  <si>
    <t>MD0008</t>
  </si>
  <si>
    <t>MD0007</t>
  </si>
  <si>
    <t>MD0006</t>
  </si>
  <si>
    <t>MD0005</t>
  </si>
  <si>
    <t>MD0004</t>
  </si>
  <si>
    <t>MD0003</t>
  </si>
  <si>
    <t>MD0002</t>
  </si>
  <si>
    <t>MD0001</t>
  </si>
  <si>
    <t>ASKH_0008</t>
  </si>
  <si>
    <t>ASKH_0011</t>
  </si>
  <si>
    <t>ASKA_0145</t>
  </si>
  <si>
    <t>ASKA_0149</t>
  </si>
  <si>
    <t>ASKA_0191</t>
  </si>
  <si>
    <t>ASKA_0131</t>
  </si>
  <si>
    <t>ASKA_0138</t>
  </si>
  <si>
    <t>ASKA_0136</t>
  </si>
  <si>
    <t>ASKA_0142</t>
  </si>
  <si>
    <t>ASKA_0151</t>
  </si>
  <si>
    <t>ASKA_0175</t>
  </si>
  <si>
    <t>ASKA_0172</t>
  </si>
  <si>
    <t>ASKA_0141</t>
  </si>
  <si>
    <t>ASKA_0169</t>
  </si>
  <si>
    <t>ASKA_0135</t>
  </si>
  <si>
    <t>ASKA_0181</t>
  </si>
  <si>
    <t>ASKA_0183</t>
  </si>
  <si>
    <t>ASKA_0146</t>
  </si>
  <si>
    <t>ASKA_0174</t>
  </si>
  <si>
    <t>ASKA_0155</t>
  </si>
  <si>
    <t>ASKA_0152</t>
  </si>
  <si>
    <t>ASKA_0140</t>
  </si>
  <si>
    <t>ASKA_0139</t>
  </si>
  <si>
    <t>ASKA_0133</t>
  </si>
  <si>
    <t>ASKH_0003</t>
  </si>
  <si>
    <t>ASKH_0002</t>
  </si>
  <si>
    <t>ASKH_0006</t>
  </si>
  <si>
    <t>KYH00102</t>
  </si>
  <si>
    <t>ASKH_0005</t>
  </si>
  <si>
    <t>ASKH_0013</t>
  </si>
  <si>
    <t>ASKH_0012</t>
  </si>
  <si>
    <t>KY0196</t>
  </si>
  <si>
    <t>ASKH_0014</t>
  </si>
  <si>
    <t>KY0195</t>
  </si>
  <si>
    <t>KY0194</t>
  </si>
  <si>
    <t>KY0191</t>
  </si>
  <si>
    <t>KY0187</t>
  </si>
  <si>
    <t>KY0184</t>
  </si>
  <si>
    <t>ASKH_0010</t>
  </si>
  <si>
    <t>KY0173</t>
  </si>
  <si>
    <t>ASKH_0009</t>
  </si>
  <si>
    <t>KY0170</t>
  </si>
  <si>
    <t>KY0165</t>
  </si>
  <si>
    <t>KY0161</t>
  </si>
  <si>
    <t>KY0155</t>
  </si>
  <si>
    <t>KY0149</t>
  </si>
  <si>
    <t>KY0148</t>
  </si>
  <si>
    <t>KY0147</t>
  </si>
  <si>
    <t>ASKH_0001</t>
  </si>
  <si>
    <t>ASKA_0153</t>
  </si>
  <si>
    <t>ANKC_0016</t>
  </si>
  <si>
    <t>ANKC_0013</t>
  </si>
  <si>
    <t>ANKC_0028</t>
  </si>
  <si>
    <t>ANKC_0022</t>
  </si>
  <si>
    <t>ANKC_0010</t>
  </si>
  <si>
    <t>ANKC_0011</t>
  </si>
  <si>
    <t>ANKC_0009</t>
  </si>
  <si>
    <t>ANKC_0005</t>
  </si>
  <si>
    <t>ANKC_0003</t>
  </si>
  <si>
    <t>KC0350</t>
  </si>
  <si>
    <t>ANKC_0027</t>
  </si>
  <si>
    <t>KC0335</t>
  </si>
  <si>
    <t>KC0334</t>
  </si>
  <si>
    <t>ANKC_0023</t>
  </si>
  <si>
    <t>KC0331</t>
  </si>
  <si>
    <t>KC0329</t>
  </si>
  <si>
    <t>KC0314</t>
  </si>
  <si>
    <t>ANKC_0020</t>
  </si>
  <si>
    <t>KC0312</t>
  </si>
  <si>
    <t>ANKC_0019</t>
  </si>
  <si>
    <t>KC0311</t>
  </si>
  <si>
    <t>ANKC_0018</t>
  </si>
  <si>
    <t>KC0309</t>
  </si>
  <si>
    <t>KC0308</t>
  </si>
  <si>
    <t>KC0306</t>
  </si>
  <si>
    <t>KC0303</t>
  </si>
  <si>
    <t>KC0302</t>
  </si>
  <si>
    <t>ANKC_0012</t>
  </si>
  <si>
    <t>KC0301</t>
  </si>
  <si>
    <t>KC0290</t>
  </si>
  <si>
    <t>KC0279</t>
  </si>
  <si>
    <t>KC0277</t>
  </si>
  <si>
    <t>ANKC_0008</t>
  </si>
  <si>
    <t>KC0273</t>
  </si>
  <si>
    <t>ANKC_0006</t>
  </si>
  <si>
    <t>KC0272</t>
  </si>
  <si>
    <t>KC0271</t>
  </si>
  <si>
    <t>ANKC_0004</t>
  </si>
  <si>
    <t>KC0270</t>
  </si>
  <si>
    <t>KA0993</t>
  </si>
  <si>
    <t>ASKA_0192</t>
  </si>
  <si>
    <t>KA0992</t>
  </si>
  <si>
    <t>KA0437</t>
  </si>
  <si>
    <t>ASKA_0190</t>
  </si>
  <si>
    <t>KA0397</t>
  </si>
  <si>
    <t>KA0391</t>
  </si>
  <si>
    <t>KA0379</t>
  </si>
  <si>
    <t>ASKA_0177</t>
  </si>
  <si>
    <t>KA0374</t>
  </si>
  <si>
    <t>KA0349</t>
  </si>
  <si>
    <t>KA0332</t>
  </si>
  <si>
    <t>KA0270</t>
  </si>
  <si>
    <t>KA0268</t>
  </si>
  <si>
    <t>KA0237</t>
  </si>
  <si>
    <t>ASKA_0196</t>
  </si>
  <si>
    <t>KA0194</t>
  </si>
  <si>
    <t>KA0193</t>
  </si>
  <si>
    <t>KA0189</t>
  </si>
  <si>
    <t>ASKA_0148</t>
  </si>
  <si>
    <t>KA0184</t>
  </si>
  <si>
    <t>KA0183</t>
  </si>
  <si>
    <t>KA0181</t>
  </si>
  <si>
    <t>KA0178</t>
  </si>
  <si>
    <t>KA0171</t>
  </si>
  <si>
    <t>ASKA_0144</t>
  </si>
  <si>
    <t>KA0168</t>
  </si>
  <si>
    <t>ASKA_0143</t>
  </si>
  <si>
    <t>KA0164</t>
  </si>
  <si>
    <t>KA0160</t>
  </si>
  <si>
    <t>KA0154</t>
  </si>
  <si>
    <t>KA0153</t>
  </si>
  <si>
    <t>KA0150</t>
  </si>
  <si>
    <t>KA0149</t>
  </si>
  <si>
    <t>KA0148</t>
  </si>
  <si>
    <t>KA0147</t>
  </si>
  <si>
    <t>KA0146</t>
  </si>
  <si>
    <t>KA0144</t>
  </si>
  <si>
    <t>ASKA_0134</t>
  </si>
  <si>
    <t>KA0143</t>
  </si>
  <si>
    <t>KA0141</t>
  </si>
  <si>
    <t>ASKA_0132</t>
  </si>
  <si>
    <t>KA0136</t>
  </si>
  <si>
    <t>KA0133</t>
  </si>
  <si>
    <t>ASKA_0130</t>
  </si>
  <si>
    <t>BGW00428</t>
  </si>
  <si>
    <t>ACBA_3000</t>
  </si>
  <si>
    <t>BGW00427</t>
  </si>
  <si>
    <t>ACBA_3001</t>
  </si>
  <si>
    <t>ACBA_0139</t>
  </si>
  <si>
    <t>ACBA_0252</t>
  </si>
  <si>
    <t>ACBA_0159</t>
  </si>
  <si>
    <t>ACBA_0249</t>
  </si>
  <si>
    <t>ACBA_0243</t>
  </si>
  <si>
    <t>ACBA_0238</t>
  </si>
  <si>
    <t>ACBA_0217</t>
  </si>
  <si>
    <t>ACBA_0147</t>
  </si>
  <si>
    <t>ACBA_0218</t>
  </si>
  <si>
    <t>ACBA_0240</t>
  </si>
  <si>
    <t>ACBA_0076</t>
  </si>
  <si>
    <t>ACBA_0234</t>
  </si>
  <si>
    <t>ACBA_0191</t>
  </si>
  <si>
    <t>ACBA_0162</t>
  </si>
  <si>
    <t>ACBA_0200</t>
  </si>
  <si>
    <t>ACBA_0203</t>
  </si>
  <si>
    <t>ACBA_0214</t>
  </si>
  <si>
    <t>ACBA_0167</t>
  </si>
  <si>
    <t>ACBA_0080</t>
  </si>
  <si>
    <t>ACBA_0105</t>
  </si>
  <si>
    <t>ACBA_0236</t>
  </si>
  <si>
    <t>ACBA_0242</t>
  </si>
  <si>
    <t>ACBA_0106</t>
  </si>
  <si>
    <t>ACBA_0064</t>
  </si>
  <si>
    <t>ACBA_0224</t>
  </si>
  <si>
    <t>ACBA_0229</t>
  </si>
  <si>
    <t>ACBA_0225</t>
  </si>
  <si>
    <t>ACBA_0100</t>
  </si>
  <si>
    <t>ACBA_0164</t>
  </si>
  <si>
    <t>ACBA_0095</t>
  </si>
  <si>
    <t>ACBA_0170</t>
  </si>
  <si>
    <t>ACBA_0172</t>
  </si>
  <si>
    <t>ACAY_0164</t>
  </si>
  <si>
    <t>ACBA_0212</t>
  </si>
  <si>
    <t>ACBA_0186</t>
  </si>
  <si>
    <t>ACBA_0211</t>
  </si>
  <si>
    <t>ACBA_0195</t>
  </si>
  <si>
    <t>ACBA_0063</t>
  </si>
  <si>
    <t>ACBA_0122</t>
  </si>
  <si>
    <t>ACBA_0237</t>
  </si>
  <si>
    <t>ACBA_0141</t>
  </si>
  <si>
    <t>ACBA_0048</t>
  </si>
  <si>
    <t>ACBA_0047</t>
  </si>
  <si>
    <t>ACBA_0244</t>
  </si>
  <si>
    <t>ACBA_0207</t>
  </si>
  <si>
    <t>ACBA_0205</t>
  </si>
  <si>
    <t>ACBA_0254</t>
  </si>
  <si>
    <t>ACBA_0187</t>
  </si>
  <si>
    <t>ACBA_0184</t>
  </si>
  <si>
    <t>ACBA_0235</t>
  </si>
  <si>
    <t>ACBA_0213</t>
  </si>
  <si>
    <t>ACBA_0119</t>
  </si>
  <si>
    <t>ACBA_0101</t>
  </si>
  <si>
    <t>ACBA_0150</t>
  </si>
  <si>
    <t>ACBA_0058</t>
  </si>
  <si>
    <t>ACBA_0066</t>
  </si>
  <si>
    <t>ACBA_0112</t>
  </si>
  <si>
    <t>ACBA_0071</t>
  </si>
  <si>
    <t>ACBA_0233</t>
  </si>
  <si>
    <t>ACBA_0137</t>
  </si>
  <si>
    <t>ACBA_0134</t>
  </si>
  <si>
    <t>ACBA_0129</t>
  </si>
  <si>
    <t>ACBA_0087</t>
  </si>
  <si>
    <t>ACBA_0045</t>
  </si>
  <si>
    <t>ACBA_0040</t>
  </si>
  <si>
    <t>ACBA_0039</t>
  </si>
  <si>
    <t>ACBA_0031</t>
  </si>
  <si>
    <t>ACBA_0027</t>
  </si>
  <si>
    <t>ACBA_0263</t>
  </si>
  <si>
    <t>ACBA_0171</t>
  </si>
  <si>
    <t>ACBA_0168</t>
  </si>
  <si>
    <t>ACBA_0149</t>
  </si>
  <si>
    <t>ACBA_0145</t>
  </si>
  <si>
    <t>ACBA_0142</t>
  </si>
  <si>
    <t>ACBA_0128</t>
  </si>
  <si>
    <t>ACBA_0111</t>
  </si>
  <si>
    <t>ACBA_0109</t>
  </si>
  <si>
    <t>ACBA_0098</t>
  </si>
  <si>
    <t>ACBA_0097</t>
  </si>
  <si>
    <t>ACBA_0079</t>
  </si>
  <si>
    <t>ACBA_0043</t>
  </si>
  <si>
    <t>ACBA_0041</t>
  </si>
  <si>
    <t>ACBA_0228</t>
  </si>
  <si>
    <t>ACBA_0110</t>
  </si>
  <si>
    <t>ACBA_0278</t>
  </si>
  <si>
    <t>ACBA_0163</t>
  </si>
  <si>
    <t>ACBA_0065</t>
  </si>
  <si>
    <t>ACBA_0226</t>
  </si>
  <si>
    <t>ACBA_0194</t>
  </si>
  <si>
    <t>ACBA_0265</t>
  </si>
  <si>
    <t>ACBA_0069</t>
  </si>
  <si>
    <t>ACBA_0125</t>
  </si>
  <si>
    <t>ACBA_0222</t>
  </si>
  <si>
    <t>ACBA_0140</t>
  </si>
  <si>
    <t>ACBA_0174</t>
  </si>
  <si>
    <t>ACBA_0179</t>
  </si>
  <si>
    <t>ACBA_0158</t>
  </si>
  <si>
    <t>ACBA_0078</t>
  </si>
  <si>
    <t>ACBA_0120</t>
  </si>
  <si>
    <t>ACBA_0059</t>
  </si>
  <si>
    <t>ACBA_0151</t>
  </si>
  <si>
    <t>ACBA_0113</t>
  </si>
  <si>
    <t>ACBA_0074</t>
  </si>
  <si>
    <t>ACBA_0060</t>
  </si>
  <si>
    <t>ACBA_0034</t>
  </si>
  <si>
    <t>ACBA_0055</t>
  </si>
  <si>
    <t>ACBA_0231</t>
  </si>
  <si>
    <t>ACBA_0193</t>
  </si>
  <si>
    <t>ACBA_0166</t>
  </si>
  <si>
    <t>ACBA_0157</t>
  </si>
  <si>
    <t>ACBA_0146</t>
  </si>
  <si>
    <t>ACBA_0144</t>
  </si>
  <si>
    <t>ACBA_0165</t>
  </si>
  <si>
    <t>BA1176</t>
  </si>
  <si>
    <t>BA1160</t>
  </si>
  <si>
    <t>BA1148</t>
  </si>
  <si>
    <t>ACBA_0273</t>
  </si>
  <si>
    <t>BA1142</t>
  </si>
  <si>
    <t>ACBA_0275</t>
  </si>
  <si>
    <t>BA1120</t>
  </si>
  <si>
    <t>ACBA_0279</t>
  </si>
  <si>
    <t>BA1104</t>
  </si>
  <si>
    <t>ACBA_0261</t>
  </si>
  <si>
    <t>BA1092</t>
  </si>
  <si>
    <t>ACBA_0260</t>
  </si>
  <si>
    <t>BA1084</t>
  </si>
  <si>
    <t>ACBA_0259</t>
  </si>
  <si>
    <t>BA1061</t>
  </si>
  <si>
    <t>ACBA_0266</t>
  </si>
  <si>
    <t>BA1060</t>
  </si>
  <si>
    <t>BA1045</t>
  </si>
  <si>
    <t>BA1036</t>
  </si>
  <si>
    <t>ACBA_0271</t>
  </si>
  <si>
    <t>BA1003</t>
  </si>
  <si>
    <t>BA0944</t>
  </si>
  <si>
    <t>BA0943</t>
  </si>
  <si>
    <t>BA0942</t>
  </si>
  <si>
    <t>BA0939</t>
  </si>
  <si>
    <t>BA0938</t>
  </si>
  <si>
    <t>ACBA_0239</t>
  </si>
  <si>
    <t>BA0937</t>
  </si>
  <si>
    <t>BA0936</t>
  </si>
  <si>
    <t>BA0935</t>
  </si>
  <si>
    <t>BA0934</t>
  </si>
  <si>
    <t>BA0933</t>
  </si>
  <si>
    <t>BA0932</t>
  </si>
  <si>
    <t>BA0931</t>
  </si>
  <si>
    <t>ACBA_0232</t>
  </si>
  <si>
    <t>BA0930</t>
  </si>
  <si>
    <t>BA0929</t>
  </si>
  <si>
    <t>BA0928</t>
  </si>
  <si>
    <t>BA0927</t>
  </si>
  <si>
    <t>BA0926</t>
  </si>
  <si>
    <t>ACBA_0227</t>
  </si>
  <si>
    <t>BA0924</t>
  </si>
  <si>
    <t>BA0923</t>
  </si>
  <si>
    <t>BA0920</t>
  </si>
  <si>
    <t>BA0918</t>
  </si>
  <si>
    <t>BA0911</t>
  </si>
  <si>
    <t>BA0906</t>
  </si>
  <si>
    <t>BA0905</t>
  </si>
  <si>
    <t>ACBA_0216</t>
  </si>
  <si>
    <t>BA0903</t>
  </si>
  <si>
    <t>ACBA_0215</t>
  </si>
  <si>
    <t>BA0902</t>
  </si>
  <si>
    <t>BA0900</t>
  </si>
  <si>
    <t>BA0897</t>
  </si>
  <si>
    <t>ACBA_0270</t>
  </si>
  <si>
    <t>BA0895</t>
  </si>
  <si>
    <t>BA0894</t>
  </si>
  <si>
    <t>BA0893</t>
  </si>
  <si>
    <t>BA0881</t>
  </si>
  <si>
    <t>BA0874</t>
  </si>
  <si>
    <t>BA0867</t>
  </si>
  <si>
    <t>ACBA_0268</t>
  </si>
  <si>
    <t>BA0866</t>
  </si>
  <si>
    <t>BA0865</t>
  </si>
  <si>
    <t>BA0863</t>
  </si>
  <si>
    <t>ACBA_0202</t>
  </si>
  <si>
    <t>BA0859</t>
  </si>
  <si>
    <t>BA0854</t>
  </si>
  <si>
    <t>BA0851</t>
  </si>
  <si>
    <t>ACBA_0197</t>
  </si>
  <si>
    <t>BA0850</t>
  </si>
  <si>
    <t>BA0848</t>
  </si>
  <si>
    <t>BA0847</t>
  </si>
  <si>
    <t>BA0845</t>
  </si>
  <si>
    <t>ACBA_0248</t>
  </si>
  <si>
    <t>BA0844</t>
  </si>
  <si>
    <t>BA0843</t>
  </si>
  <si>
    <t>ACBA_0247</t>
  </si>
  <si>
    <t>BA0838</t>
  </si>
  <si>
    <t>BA0834</t>
  </si>
  <si>
    <t>BA0833</t>
  </si>
  <si>
    <t>BA0832</t>
  </si>
  <si>
    <t>BA0831</t>
  </si>
  <si>
    <t>BA0827</t>
  </si>
  <si>
    <t>ACBA_0180</t>
  </si>
  <si>
    <t>BA0826</t>
  </si>
  <si>
    <t>BA0821</t>
  </si>
  <si>
    <t>BA0820</t>
  </si>
  <si>
    <t>ACBA_0173</t>
  </si>
  <si>
    <t>BA0818</t>
  </si>
  <si>
    <t>BA0816</t>
  </si>
  <si>
    <t>BA0815</t>
  </si>
  <si>
    <t>BA0813</t>
  </si>
  <si>
    <t>BA0812</t>
  </si>
  <si>
    <t>ACBA_0169</t>
  </si>
  <si>
    <t>BA0811</t>
  </si>
  <si>
    <t>BA0804</t>
  </si>
  <si>
    <t>BA0802</t>
  </si>
  <si>
    <t>BA0801</t>
  </si>
  <si>
    <t>BA0799</t>
  </si>
  <si>
    <t>BA0798</t>
  </si>
  <si>
    <t>BA0796</t>
  </si>
  <si>
    <t>BA0793</t>
  </si>
  <si>
    <t>BA0783</t>
  </si>
  <si>
    <t>ACBA_0161</t>
  </si>
  <si>
    <t>BA0782</t>
  </si>
  <si>
    <t>ACBA_0160</t>
  </si>
  <si>
    <t>BA0781</t>
  </si>
  <si>
    <t>BA0776</t>
  </si>
  <si>
    <t>BA0771</t>
  </si>
  <si>
    <t>BA0758</t>
  </si>
  <si>
    <t>BA0748</t>
  </si>
  <si>
    <t>BA0747</t>
  </si>
  <si>
    <t>BA0740</t>
  </si>
  <si>
    <t>BA0720</t>
  </si>
  <si>
    <t>BA0716</t>
  </si>
  <si>
    <t>BA0715</t>
  </si>
  <si>
    <t>BA0714</t>
  </si>
  <si>
    <t>BA0704</t>
  </si>
  <si>
    <t>ACBA_0143</t>
  </si>
  <si>
    <t>BA0703</t>
  </si>
  <si>
    <t>BA0700</t>
  </si>
  <si>
    <t>BA0681</t>
  </si>
  <si>
    <t>BA0679</t>
  </si>
  <si>
    <t>BA0635</t>
  </si>
  <si>
    <t>BA0626</t>
  </si>
  <si>
    <t>ACBA_0046</t>
  </si>
  <si>
    <t>BA0612</t>
  </si>
  <si>
    <t>BA0601</t>
  </si>
  <si>
    <t>BA0594</t>
  </si>
  <si>
    <t>BA0587</t>
  </si>
  <si>
    <t>BA0584</t>
  </si>
  <si>
    <t>BA0582</t>
  </si>
  <si>
    <t>BA0580</t>
  </si>
  <si>
    <t>BA0561</t>
  </si>
  <si>
    <t>BA0560</t>
  </si>
  <si>
    <t>BA0557</t>
  </si>
  <si>
    <t>BA0556</t>
  </si>
  <si>
    <t>BA0552</t>
  </si>
  <si>
    <t>BA0551</t>
  </si>
  <si>
    <t>BA0547</t>
  </si>
  <si>
    <t>BA0541</t>
  </si>
  <si>
    <t>BA0537</t>
  </si>
  <si>
    <t>BA0524</t>
  </si>
  <si>
    <t>BA0519</t>
  </si>
  <si>
    <t>BA0517</t>
  </si>
  <si>
    <t>BA0516</t>
  </si>
  <si>
    <t>ACBA_0050</t>
  </si>
  <si>
    <t>BA0515</t>
  </si>
  <si>
    <t>ACBA_0121</t>
  </si>
  <si>
    <t>BA0513</t>
  </si>
  <si>
    <t>BA0507</t>
  </si>
  <si>
    <t>BA0492</t>
  </si>
  <si>
    <t>BA0491</t>
  </si>
  <si>
    <t>BA0477</t>
  </si>
  <si>
    <t>ACBA_0061</t>
  </si>
  <si>
    <t>BA0471</t>
  </si>
  <si>
    <t>BA0466</t>
  </si>
  <si>
    <t>ACBA_0072</t>
  </si>
  <si>
    <t>BA0465</t>
  </si>
  <si>
    <t>BA0452</t>
  </si>
  <si>
    <t>BA0449</t>
  </si>
  <si>
    <t>BA0447</t>
  </si>
  <si>
    <t>ACBA_0057</t>
  </si>
  <si>
    <t>BA0446</t>
  </si>
  <si>
    <t>ACBA_0070</t>
  </si>
  <si>
    <t>BA0445</t>
  </si>
  <si>
    <t>BA0428</t>
  </si>
  <si>
    <t>BA0427</t>
  </si>
  <si>
    <t>ACBA_0103</t>
  </si>
  <si>
    <t>BA0420</t>
  </si>
  <si>
    <t>ACBA_0054</t>
  </si>
  <si>
    <t>BA0398</t>
  </si>
  <si>
    <t>ACBA_0107</t>
  </si>
  <si>
    <t>BA0391</t>
  </si>
  <si>
    <t>BA0388</t>
  </si>
  <si>
    <t>BA0385</t>
  </si>
  <si>
    <t>ACBA_0077</t>
  </si>
  <si>
    <t>BA0361</t>
  </si>
  <si>
    <t>BA0359</t>
  </si>
  <si>
    <t>ACBA_0068</t>
  </si>
  <si>
    <t>BA0358</t>
  </si>
  <si>
    <t>ACBA_0081</t>
  </si>
  <si>
    <t>BA0342</t>
  </si>
  <si>
    <t>BA0341</t>
  </si>
  <si>
    <t>BA0335</t>
  </si>
  <si>
    <t>BA0327</t>
  </si>
  <si>
    <t>BA0319</t>
  </si>
  <si>
    <t>BA0306</t>
  </si>
  <si>
    <t>BA0304</t>
  </si>
  <si>
    <t>ACBA_0090</t>
  </si>
  <si>
    <t>BA0296</t>
  </si>
  <si>
    <t>BA0291</t>
  </si>
  <si>
    <t>ACBA_0088</t>
  </si>
  <si>
    <t>BA0278</t>
  </si>
  <si>
    <t>BA0260</t>
  </si>
  <si>
    <t>BA0256</t>
  </si>
  <si>
    <t>ACBA_0093</t>
  </si>
  <si>
    <t>BA0251</t>
  </si>
  <si>
    <t>BA0229</t>
  </si>
  <si>
    <t>ACBA_0092</t>
  </si>
  <si>
    <t>BA0227</t>
  </si>
  <si>
    <t>BA0217</t>
  </si>
  <si>
    <t>ACBA_0086</t>
  </si>
  <si>
    <t>BA0211</t>
  </si>
  <si>
    <t>ACBA_0091</t>
  </si>
  <si>
    <t>BA0203</t>
  </si>
  <si>
    <t>BA0181</t>
  </si>
  <si>
    <t>ACBA_0085</t>
  </si>
  <si>
    <t>BA0175</t>
  </si>
  <si>
    <t>BA0166</t>
  </si>
  <si>
    <t>ACBA_0084</t>
  </si>
  <si>
    <t>BA0165</t>
  </si>
  <si>
    <t>ACBA_0102</t>
  </si>
  <si>
    <t>BA0153</t>
  </si>
  <si>
    <t>BA0152</t>
  </si>
  <si>
    <t>ACBA_0083</t>
  </si>
  <si>
    <t>BA0145</t>
  </si>
  <si>
    <t>BA0144</t>
  </si>
  <si>
    <t>BA0142</t>
  </si>
  <si>
    <t>BA0135</t>
  </si>
  <si>
    <t>BA0126</t>
  </si>
  <si>
    <t>ACBA_0082</t>
  </si>
  <si>
    <t>BA0125</t>
  </si>
  <si>
    <t>ACBA_0096</t>
  </si>
  <si>
    <t>BA0112</t>
  </si>
  <si>
    <t>ACBA_0116</t>
  </si>
  <si>
    <t>BA0104</t>
  </si>
  <si>
    <t>BA0101</t>
  </si>
  <si>
    <t>ACBA_0115</t>
  </si>
  <si>
    <t>BA0092</t>
  </si>
  <si>
    <t>ACBA_0114</t>
  </si>
  <si>
    <t>BA0073</t>
  </si>
  <si>
    <t>BA0069</t>
  </si>
  <si>
    <t>BA0067</t>
  </si>
  <si>
    <t>BA0065</t>
  </si>
  <si>
    <t>BA0059</t>
  </si>
  <si>
    <t>BA0040</t>
  </si>
  <si>
    <t>BA0029</t>
  </si>
  <si>
    <t>BA0026</t>
  </si>
  <si>
    <t>ACBA_0127</t>
  </si>
  <si>
    <t>BA0022</t>
  </si>
  <si>
    <t>ACBA_0126</t>
  </si>
  <si>
    <t>BA0020</t>
  </si>
  <si>
    <t>BA0017</t>
  </si>
  <si>
    <t>BA0012</t>
  </si>
  <si>
    <t>BA0010</t>
  </si>
  <si>
    <t>ACBA_0117</t>
  </si>
  <si>
    <t>BA0007</t>
  </si>
  <si>
    <t>BA0004</t>
  </si>
  <si>
    <t>BA0003</t>
  </si>
  <si>
    <t>BA0002</t>
  </si>
  <si>
    <t>ACBA_0123</t>
  </si>
  <si>
    <t>ACAY_0181</t>
  </si>
  <si>
    <t>ACAY_0145</t>
  </si>
  <si>
    <t>ACAY_0072</t>
  </si>
  <si>
    <t>ACAY_0024</t>
  </si>
  <si>
    <t>ACAY_0062</t>
  </si>
  <si>
    <t>ACAY_0019</t>
  </si>
  <si>
    <t>ACAY_0109</t>
  </si>
  <si>
    <t>ACAY_0101</t>
  </si>
  <si>
    <t>ACAY_0084</t>
  </si>
  <si>
    <t>ACAY_0170</t>
  </si>
  <si>
    <t>ACAY_0086</t>
  </si>
  <si>
    <t>ACAY_0098</t>
  </si>
  <si>
    <t>ACAY_0135</t>
  </si>
  <si>
    <t>ACAY_0041</t>
  </si>
  <si>
    <t>ACAY_0152</t>
  </si>
  <si>
    <t>ACAY_0082</t>
  </si>
  <si>
    <t>ACAY_0095</t>
  </si>
  <si>
    <t>ACAY_0177</t>
  </si>
  <si>
    <t>ACAY_0112</t>
  </si>
  <si>
    <t>ACAY_0004</t>
  </si>
  <si>
    <t>ACAY_0103</t>
  </si>
  <si>
    <t>ACAY_0047</t>
  </si>
  <si>
    <t>ACAY_0012</t>
  </si>
  <si>
    <t>ACAY_0003</t>
  </si>
  <si>
    <t>ACAY_0001</t>
  </si>
  <si>
    <t>ACAY_0160</t>
  </si>
  <si>
    <t>ACAY_0100</t>
  </si>
  <si>
    <t>ACAY_0016</t>
  </si>
  <si>
    <t>ACAY_0008</t>
  </si>
  <si>
    <t>ACAY_0081</t>
  </si>
  <si>
    <t>ACAY_0023</t>
  </si>
  <si>
    <t>ACAY_0180</t>
  </si>
  <si>
    <t>ACAY_0137</t>
  </si>
  <si>
    <t>ACAY_0007</t>
  </si>
  <si>
    <t>ACAY_0124</t>
  </si>
  <si>
    <t>ACAY_0077</t>
  </si>
  <si>
    <t>ACAY_0080</t>
  </si>
  <si>
    <t>ACAY_0069</t>
  </si>
  <si>
    <t>ACAY_0090</t>
  </si>
  <si>
    <t>ACAY_0134</t>
  </si>
  <si>
    <t>ACAY_0105</t>
  </si>
  <si>
    <t>ACAY_0089</t>
  </si>
  <si>
    <t>ACAY_0085</t>
  </si>
  <si>
    <t>ACAY_0078</t>
  </si>
  <si>
    <t>ACAY_0088</t>
  </si>
  <si>
    <t>ACAY_0018</t>
  </si>
  <si>
    <t>ACAY_0020</t>
  </si>
  <si>
    <t>AY1478</t>
  </si>
  <si>
    <t>AY1466</t>
  </si>
  <si>
    <t>AY1274</t>
  </si>
  <si>
    <t>AY1272</t>
  </si>
  <si>
    <t>ACAY_0155</t>
  </si>
  <si>
    <t>AY1266</t>
  </si>
  <si>
    <t>AY1262</t>
  </si>
  <si>
    <t>AY1241</t>
  </si>
  <si>
    <t>AY1227</t>
  </si>
  <si>
    <t>AY1225</t>
  </si>
  <si>
    <t>ACAY_0169</t>
  </si>
  <si>
    <t>AY1223</t>
  </si>
  <si>
    <t>ACAY_0167</t>
  </si>
  <si>
    <t>AY1222</t>
  </si>
  <si>
    <t>ACAY_0166</t>
  </si>
  <si>
    <t>AY1212</t>
  </si>
  <si>
    <t>AY1209</t>
  </si>
  <si>
    <t>AY1202</t>
  </si>
  <si>
    <t>ACAY_0162</t>
  </si>
  <si>
    <t>AY1201</t>
  </si>
  <si>
    <t>ACAY_0161</t>
  </si>
  <si>
    <t>AY1200</t>
  </si>
  <si>
    <t>AY1121</t>
  </si>
  <si>
    <t>AY1114</t>
  </si>
  <si>
    <t>AY1098</t>
  </si>
  <si>
    <t>ACAY_0151</t>
  </si>
  <si>
    <t>AY1093</t>
  </si>
  <si>
    <t>ACAY_0127</t>
  </si>
  <si>
    <t>AY1091</t>
  </si>
  <si>
    <t>ACAY_0126</t>
  </si>
  <si>
    <t>AY1090</t>
  </si>
  <si>
    <t>ACAY_0125</t>
  </si>
  <si>
    <t>AY1089</t>
  </si>
  <si>
    <t>AY1088</t>
  </si>
  <si>
    <t>AY1082</t>
  </si>
  <si>
    <t>AY1079</t>
  </si>
  <si>
    <t>ACAY_0121</t>
  </si>
  <si>
    <t>AY1078</t>
  </si>
  <si>
    <t>ACAY_0120</t>
  </si>
  <si>
    <t>AY1074</t>
  </si>
  <si>
    <t>ACAY_0116</t>
  </si>
  <si>
    <t>AY1063</t>
  </si>
  <si>
    <t>AY1062</t>
  </si>
  <si>
    <t>AY1058</t>
  </si>
  <si>
    <t>AY1052</t>
  </si>
  <si>
    <t>AY1050</t>
  </si>
  <si>
    <t>ACAY_0129</t>
  </si>
  <si>
    <t>AY1047</t>
  </si>
  <si>
    <t>AY1046</t>
  </si>
  <si>
    <t>ACAY_0104</t>
  </si>
  <si>
    <t>AY1042</t>
  </si>
  <si>
    <t>AY1041</t>
  </si>
  <si>
    <t>ACAY_0133</t>
  </si>
  <si>
    <t>AY1039</t>
  </si>
  <si>
    <t>AY1038</t>
  </si>
  <si>
    <t>AY1037</t>
  </si>
  <si>
    <t>AY1036</t>
  </si>
  <si>
    <t>AY1034</t>
  </si>
  <si>
    <t>ACAY_0132</t>
  </si>
  <si>
    <t>AY1033</t>
  </si>
  <si>
    <t>AY1026</t>
  </si>
  <si>
    <t>ACAY_0156</t>
  </si>
  <si>
    <t>AY1025</t>
  </si>
  <si>
    <t>AY1024</t>
  </si>
  <si>
    <t>AY1023</t>
  </si>
  <si>
    <t>ACAY_0144</t>
  </si>
  <si>
    <t>AY1015</t>
  </si>
  <si>
    <t>AY1007</t>
  </si>
  <si>
    <t>AY1003</t>
  </si>
  <si>
    <t>AY1002</t>
  </si>
  <si>
    <t>AY0993</t>
  </si>
  <si>
    <t>AY0990</t>
  </si>
  <si>
    <t>AY0980</t>
  </si>
  <si>
    <t>AY0979</t>
  </si>
  <si>
    <t>AY0978</t>
  </si>
  <si>
    <t>ACAY_0061</t>
  </si>
  <si>
    <t>AY0976</t>
  </si>
  <si>
    <t>AY0971</t>
  </si>
  <si>
    <t>AY0968</t>
  </si>
  <si>
    <t>ACAY_0055</t>
  </si>
  <si>
    <t>AY0967</t>
  </si>
  <si>
    <t>AY0966</t>
  </si>
  <si>
    <t>AY0965</t>
  </si>
  <si>
    <t>ACAY_0054</t>
  </si>
  <si>
    <t>AY0964</t>
  </si>
  <si>
    <t>AY0955</t>
  </si>
  <si>
    <t>AY0951</t>
  </si>
  <si>
    <t>AY0944</t>
  </si>
  <si>
    <t>ACAY_0075</t>
  </si>
  <si>
    <t>AY0934</t>
  </si>
  <si>
    <t>AY0933</t>
  </si>
  <si>
    <t>ACAY_0130</t>
  </si>
  <si>
    <t>AY0928</t>
  </si>
  <si>
    <t>ACAY_0044</t>
  </si>
  <si>
    <t>AY0927</t>
  </si>
  <si>
    <t>AY0915</t>
  </si>
  <si>
    <t>AY0912</t>
  </si>
  <si>
    <t>AY0911</t>
  </si>
  <si>
    <t>ACAY_0068</t>
  </si>
  <si>
    <t>AY0909</t>
  </si>
  <si>
    <t>ACAY_0066</t>
  </si>
  <si>
    <t>AY0907</t>
  </si>
  <si>
    <t>ACAY_0065</t>
  </si>
  <si>
    <t>AY0509</t>
  </si>
  <si>
    <t>AY0507</t>
  </si>
  <si>
    <t>ACAY_0025</t>
  </si>
  <si>
    <t>AY0501</t>
  </si>
  <si>
    <t>AY0498</t>
  </si>
  <si>
    <t>AY0490</t>
  </si>
  <si>
    <t>AY0486</t>
  </si>
  <si>
    <t>ACAY_0021</t>
  </si>
  <si>
    <t>AY0476</t>
  </si>
  <si>
    <t>AY0475</t>
  </si>
  <si>
    <t>AY0471</t>
  </si>
  <si>
    <t>AY0469</t>
  </si>
  <si>
    <t>AY0466</t>
  </si>
  <si>
    <t>AY0428</t>
  </si>
  <si>
    <t>AY0393</t>
  </si>
  <si>
    <t>AY0392</t>
  </si>
  <si>
    <t>AY0379</t>
  </si>
  <si>
    <t>AY0374</t>
  </si>
  <si>
    <t>ACAY_0002</t>
  </si>
  <si>
    <t>AY0370</t>
  </si>
  <si>
    <t>ACAY_0011</t>
  </si>
  <si>
    <t>AY0362</t>
  </si>
  <si>
    <t>AY0361</t>
  </si>
  <si>
    <t>ACAY_0010</t>
  </si>
  <si>
    <t>AY0358</t>
  </si>
  <si>
    <t>ACAY_0009</t>
  </si>
  <si>
    <t>AY0350</t>
  </si>
  <si>
    <t>ACAY_0014</t>
  </si>
  <si>
    <t>AY0347</t>
  </si>
  <si>
    <t>AY0342</t>
  </si>
  <si>
    <t>AY0326</t>
  </si>
  <si>
    <t>AY0323</t>
  </si>
  <si>
    <t>ACAY_0006</t>
  </si>
  <si>
    <t>AY0318</t>
  </si>
  <si>
    <t>ACAY_0005</t>
  </si>
  <si>
    <t>AWD01288</t>
  </si>
  <si>
    <t>ACAY_3001</t>
  </si>
  <si>
    <t>AWD01287</t>
  </si>
  <si>
    <t>ACAY_3000</t>
  </si>
  <si>
    <t>AWD00565</t>
  </si>
  <si>
    <t>AWD00551</t>
  </si>
  <si>
    <t>ACAY_3002</t>
  </si>
  <si>
    <t>AYW5552</t>
  </si>
  <si>
    <t>1-01-17006-009</t>
  </si>
  <si>
    <t>AYW5546</t>
  </si>
  <si>
    <t>1-01-17001-029</t>
  </si>
  <si>
    <t>YAW7845</t>
  </si>
  <si>
    <t>1-01-07014-009</t>
  </si>
  <si>
    <t>KNW6222</t>
  </si>
  <si>
    <t>1-01-03005-014</t>
  </si>
  <si>
    <t>AYW5561</t>
  </si>
  <si>
    <t>1-01-17008-023</t>
  </si>
  <si>
    <t>YAW7798</t>
  </si>
  <si>
    <t>1-01-13018-002</t>
  </si>
  <si>
    <t>YAW7860</t>
  </si>
  <si>
    <t>1-01-13030-001</t>
  </si>
  <si>
    <t>KCW0324</t>
  </si>
  <si>
    <t>1-01-01001-024</t>
  </si>
  <si>
    <t>MAW2923</t>
  </si>
  <si>
    <t>1-01-10005-009</t>
  </si>
  <si>
    <t>SH1594_C</t>
  </si>
  <si>
    <t>ANSH_9981</t>
  </si>
  <si>
    <t>AY0952_C</t>
  </si>
  <si>
    <t>ACAY_9989</t>
  </si>
  <si>
    <t>SH0436_C_R</t>
  </si>
  <si>
    <t>ANSH_9985</t>
  </si>
  <si>
    <t>SH1012_C</t>
  </si>
  <si>
    <t>ANSH_9987</t>
  </si>
  <si>
    <t>MO1403_C</t>
  </si>
  <si>
    <t>ASMO_9984</t>
  </si>
  <si>
    <t>SH0438_C</t>
  </si>
  <si>
    <t>ANSH_9992</t>
  </si>
  <si>
    <t>BA1497_C</t>
  </si>
  <si>
    <t>ACBA_9979</t>
  </si>
  <si>
    <t>YN1305_C</t>
  </si>
  <si>
    <t>AYYN_9956</t>
  </si>
  <si>
    <t>KCN0027</t>
  </si>
  <si>
    <t>ANKC_9999</t>
  </si>
  <si>
    <t>KCN0069</t>
  </si>
  <si>
    <t>ANKC_9998</t>
  </si>
  <si>
    <t>YGN0382</t>
  </si>
  <si>
    <t>AYYN_9943</t>
  </si>
  <si>
    <t>KCN0071</t>
  </si>
  <si>
    <t>ANKC_9996</t>
  </si>
  <si>
    <t>YGN1494</t>
  </si>
  <si>
    <t>AYYN_9945</t>
  </si>
  <si>
    <t>ACAY_9982</t>
  </si>
  <si>
    <t>ACAY_9981</t>
  </si>
  <si>
    <t>ACBA_9977</t>
  </si>
  <si>
    <t>ACBA_9978</t>
  </si>
  <si>
    <t>MOW6137</t>
  </si>
  <si>
    <t>Colo</t>
  </si>
  <si>
    <t>MOW6153</t>
  </si>
  <si>
    <t xml:space="preserve">Existing on tower (Assume ) - TML 5.28 EPA / Mytel Colo apps  4.074 EPA </t>
  </si>
  <si>
    <t>Existing Tower:TML+MYTEL+OML(NEW) = 72.5%</t>
  </si>
  <si>
    <t xml:space="preserve">Can share the existing slab </t>
  </si>
  <si>
    <t xml:space="preserve">Existing on tower (Assume ) - TML 6.01 EPA /  Awaiting Colo Apps Submission </t>
  </si>
  <si>
    <t>Total EPA is 6.01+6 =12.01 &lt; 25 EPA Design - OK (Preliminaly Tower Assessment), OML 6.0EPA Required</t>
  </si>
  <si>
    <t>7-Jan-2019: take note that there is a NS running issue with the DG at this time.</t>
  </si>
  <si>
    <t xml:space="preserve"> Existing on tower (Assume ) - TML 3.93 EPA / MPT 3.51 EPA,  Awaiting Colo Apps Submission </t>
  </si>
  <si>
    <t>Total EPA is 7.44+6 =13.44 &lt; 25 EPA Design - OK (Preliminaly Tower Assessment), OML 6.0EPA Required</t>
  </si>
  <si>
    <t xml:space="preserve">monitor BB 12 Hrs NS </t>
  </si>
  <si>
    <t>19-Oct-18: Okay with easy micro solution
16-July-18: Tower already strengthening without consider OML (Information from Alvin)</t>
  </si>
  <si>
    <t xml:space="preserve">Proposed highest Available window - 30- 32 / 16 - 13 - Requested OML EPA - 3.78 EPA ( Require Colo Apps for more details )- Existing on tower ( assume ) TML - 3.22 EPA / MPT - 5.47 EPA / Mytel - 2.45 / Amara 3.60 EPA </t>
  </si>
  <si>
    <t>PE capacity ready</t>
  </si>
  <si>
    <t>RT site, need to provide new pole</t>
  </si>
  <si>
    <t>Site is not active in Ox tool</t>
  </si>
  <si>
    <t>LTE _ V1</t>
  </si>
  <si>
    <t>19-21</t>
  </si>
  <si>
    <t>23.5-26.5</t>
  </si>
  <si>
    <t xml:space="preserve">Existing on tower (Assume ) - TML 6.07 EPA /OML - 3.98 EPA / MPT - 6.54 EPA /  Mytel Colo Apps - 5.47 EPA -decrease RF dimention Add 3 additional RF and add RRU </t>
  </si>
  <si>
    <t>Strengthened Tower: OML+TML+MYTEL+KSGM (OLD+NEW) = 65.6%
Strengthening and Retrofitting are ongoing</t>
  </si>
  <si>
    <t xml:space="preserve">Existing on tower (Assume ) - TML 9.46 EPA /OML - 12.15 EPA / MPT - 3.75 EPA /  Mytel Colo Apps - 5.82 EPA -  Change height as per the actual on tower . </t>
  </si>
  <si>
    <t>Strengthened Tower: OML+TML+MYTEL+KSGM (OLD+NEW) = 77.2%</t>
  </si>
  <si>
    <t xml:space="preserve">Existing on tower (Assume ) - TML 3.93 EPA / MPT - 3.74 EPA -Change Azimuth </t>
  </si>
  <si>
    <t xml:space="preserve">Existing on tower (Actual) - OML 7.19 sqm , MPT - 4.27sqm , TML 3.51 Sqm - Decreased RF Dimension and add RRU </t>
  </si>
  <si>
    <t>EXISTING TOWER(OML+TML+KSGM(OLD+NEW)): 67.17%
EXISTING TOWER(OML+TML+KSGM(OLD)):68.6%</t>
  </si>
  <si>
    <t>15-Mar-19</t>
  </si>
  <si>
    <t>New PE installation - 24/7 DG restriction - Lithium SS0 PE NO DG</t>
  </si>
  <si>
    <t>MGW00405</t>
  </si>
  <si>
    <t xml:space="preserve">Existing on tower (Assume ) - TML 6.56 EPA / OML 3.66 EPA / MPT - 4.84EPA - Increase RF Dimension and add RRU and Odu </t>
  </si>
  <si>
    <t>Existing Tower: OML+TML+KSGM(OLD+NEW) = 99.1%</t>
  </si>
  <si>
    <t>MDY00348</t>
  </si>
  <si>
    <t xml:space="preserve">Existing on tower (Actual) - OML 7.56 sqm , MPT - 2.71 sqm  , Op2 3.87 Sqm- add MW and Odu </t>
  </si>
  <si>
    <t>EXISTING TOWER(OML+OP2+KSGM(OLD+NEW)): 81.3 %
EXISTING TOWER(OML+OP2+KSGM(OLD)):  79.7 %</t>
  </si>
  <si>
    <t>1-2 weeks after approval</t>
  </si>
  <si>
    <t xml:space="preserve">add recifier modules </t>
  </si>
  <si>
    <t>BGE00446</t>
  </si>
  <si>
    <t xml:space="preserve">Existing on tower (Assume ) - TML 4.20 EPA -New Colocation </t>
  </si>
  <si>
    <t>Retrofit Later</t>
  </si>
  <si>
    <t>FDN Unstable: Submerge/Dry Problem
Existing TWR: TML+KSGM (OLD+NEW) ; TWR = 81.9% normal windspeed
Existing TWR: TML+KSGM (OLD+NEW) ; TWR = 52.8%, FDN = 82.2% with temp reduce windspeed 20%  max 6 month. FND needs extend pad from 6.5m to 7.5m</t>
  </si>
  <si>
    <t>Tower_Type</t>
  </si>
  <si>
    <t>Wind_Speed</t>
  </si>
  <si>
    <t>Tower_Height</t>
  </si>
  <si>
    <t>02tower_info_id</t>
  </si>
  <si>
    <t>GBT</t>
  </si>
  <si>
    <t>KCN00369</t>
  </si>
  <si>
    <t xml:space="preserve">Existing on tower (Actual) - OML 7.47 sqm , MPT - 2.71 sqm - Decrease RF Dimension and add RRU </t>
  </si>
  <si>
    <t>EXISTING TOWER(OML+MPT(OLD+NEW)):   68.4 %
EXISTING TOWER(OML+MPT(OLD)):    64 %</t>
  </si>
  <si>
    <t>Ready</t>
  </si>
  <si>
    <t>Available Capacity</t>
  </si>
  <si>
    <t>GMT</t>
  </si>
  <si>
    <t>RTP</t>
  </si>
  <si>
    <t>Site is on grid DG 24/7 restriction</t>
  </si>
  <si>
    <t xml:space="preserve"> Site on grid BB performance to be monitored </t>
  </si>
  <si>
    <t>RTT</t>
  </si>
  <si>
    <t>Slim Tower</t>
  </si>
  <si>
    <t>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</si>
</sst>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#\ &quot;m&quot;"/>
    <numFmt numFmtId="301" formatCode="0.0#\ &quot;kW&quot;"/>
    <numFmt numFmtId="302" formatCode="0\ &quot;Days&quot;"/>
    <numFmt numFmtId="303" formatCode="[$-F400]h:mm:ss\ AM/PM"/>
    <numFmt numFmtId="304" formatCode="&quot;CAR&quot;0000"/>
    <numFmt numFmtId="305" formatCode="0.0#\ &quot;kph&quot;"/>
    <numFmt numFmtId="306" formatCode="yyyy/mm/dd;@"/>
    <numFmt numFmtId="307" formatCode="0\ &quot;m&quot;"/>
    <numFmt numFmtId="308" formatCode="0\ &quot;kW&quot;"/>
  </numFmts>
  <fonts count="26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1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9" fillId="0" borderId="0" applyNumberFormat="0" applyFill="0" applyBorder="0" applyAlignment="0" applyProtection="0"/>
  </cellStyleXfs>
  <cellXfs count="314">
    <xf numFmtId="164" fontId="0" fillId="0" borderId="0" xfId="0"/>
    <xf numFmtId="0" fontId="0" fillId="0" borderId="0" xfId="0" applyNumberForma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4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4" xfId="0" applyNumberFormat="1" applyFont="1" applyFill="1" applyBorder="1" applyAlignment="1" applyProtection="1"/>
    <xf numFmtId="164" fontId="255" fillId="0" borderId="74" xfId="0" applyFont="1" applyFill="1" applyBorder="1" applyAlignment="1" applyProtection="1"/>
    <xf numFmtId="164" fontId="254" fillId="0" borderId="74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8" fillId="0" borderId="0" xfId="0" applyNumberFormat="1" applyFont="1" applyAlignment="1" applyProtection="1">
      <alignment horizontal="center" vertical="center"/>
    </xf>
    <xf numFmtId="0" fontId="258" fillId="0" borderId="0" xfId="0" applyNumberFormat="1" applyFont="1" applyBorder="1" applyAlignment="1" applyProtection="1">
      <alignment horizontal="center" vertical="center"/>
    </xf>
    <xf numFmtId="0" fontId="258" fillId="0" borderId="0" xfId="0" applyNumberFormat="1" applyFont="1" applyFill="1" applyAlignment="1" applyProtection="1">
      <alignment horizontal="center" vertical="center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8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0" fillId="101" borderId="74" xfId="0" applyNumberFormat="1" applyFill="1" applyBorder="1"/>
    <xf numFmtId="14" fontId="0" fillId="101" borderId="74" xfId="0" applyNumberFormat="1" applyFill="1" applyBorder="1"/>
    <xf numFmtId="164" fontId="0" fillId="101" borderId="74" xfId="0" applyFill="1" applyBorder="1"/>
    <xf numFmtId="164" fontId="254" fillId="0" borderId="0" xfId="0" applyFont="1" applyFill="1" applyBorder="1" applyAlignment="1" applyProtection="1"/>
    <xf numFmtId="164" fontId="254" fillId="102" borderId="13" xfId="0" applyFont="1" applyFill="1" applyBorder="1" applyAlignment="1" applyProtection="1">
      <alignment horizontal="center" vertical="center" wrapText="1"/>
    </xf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88" borderId="13" xfId="0" applyFont="1" applyFill="1" applyBorder="1" applyAlignment="1" applyProtection="1">
      <alignment horizontal="center" vertical="center" wrapText="1"/>
    </xf>
    <xf numFmtId="14" fontId="0" fillId="106" borderId="0" xfId="0" applyNumberFormat="1" applyFill="1" applyAlignment="1" applyProtection="1"/>
    <xf numFmtId="0" fontId="0" fillId="106" borderId="0" xfId="0" applyNumberFormat="1" applyFill="1" applyAlignment="1" applyProtection="1"/>
    <xf numFmtId="164" fontId="0" fillId="106" borderId="0" xfId="0" applyFill="1" applyAlignment="1" applyProtection="1"/>
    <xf numFmtId="0" fontId="0" fillId="107" borderId="0" xfId="0" applyNumberFormat="1" applyFill="1" applyAlignment="1" applyProtection="1"/>
    <xf numFmtId="164" fontId="0" fillId="0" borderId="75" xfId="0" applyFill="1" applyBorder="1" applyAlignment="1" applyProtection="1"/>
    <xf numFmtId="0" fontId="254" fillId="0" borderId="75" xfId="0" applyNumberFormat="1" applyFont="1" applyFill="1" applyBorder="1" applyAlignment="1" applyProtection="1"/>
    <xf numFmtId="164" fontId="254" fillId="0" borderId="75" xfId="0" applyFont="1" applyFill="1" applyBorder="1" applyAlignment="1" applyProtection="1"/>
    <xf numFmtId="164" fontId="198" fillId="0" borderId="0" xfId="0" applyFont="1" applyBorder="1" applyAlignment="1" applyProtection="1">
      <alignment horizontal="left"/>
    </xf>
    <xf numFmtId="164" fontId="0" fillId="0" borderId="0" xfId="0" applyFont="1" applyBorder="1" applyAlignment="1" applyProtection="1">
      <alignment horizontal="center"/>
    </xf>
    <xf numFmtId="303" fontId="0" fillId="0" borderId="0" xfId="0" applyNumberFormat="1" applyBorder="1" applyAlignment="1" applyProtection="1">
      <alignment horizontal="center"/>
    </xf>
    <xf numFmtId="164" fontId="254" fillId="89" borderId="76" xfId="0" applyFont="1" applyFill="1" applyBorder="1" applyAlignment="1" applyProtection="1">
      <alignment horizontal="center" vertical="center" wrapText="1"/>
    </xf>
    <xf numFmtId="164" fontId="254" fillId="89" borderId="13" xfId="0" applyFont="1" applyFill="1" applyBorder="1" applyAlignment="1" applyProtection="1">
      <alignment horizontal="center" vertical="center" wrapText="1"/>
    </xf>
    <xf numFmtId="164" fontId="254" fillId="99" borderId="13" xfId="0" applyFont="1" applyFill="1" applyBorder="1" applyAlignment="1" applyProtection="1">
      <alignment horizontal="center" vertical="center" wrapText="1"/>
    </xf>
    <xf numFmtId="164" fontId="254" fillId="100" borderId="13" xfId="0" applyFont="1" applyFill="1" applyBorder="1" applyAlignment="1" applyProtection="1">
      <alignment horizontal="center" vertical="center" wrapText="1"/>
    </xf>
    <xf numFmtId="164" fontId="257" fillId="93" borderId="13" xfId="0" applyFont="1" applyFill="1" applyBorder="1" applyAlignment="1" applyProtection="1">
      <alignment horizontal="left" vertical="center" textRotation="90" wrapText="1"/>
    </xf>
    <xf numFmtId="164" fontId="254" fillId="93" borderId="13" xfId="0" applyFont="1" applyFill="1" applyBorder="1" applyAlignment="1" applyProtection="1">
      <alignment horizontal="center" vertical="center" wrapText="1"/>
    </xf>
    <xf numFmtId="164" fontId="257" fillId="94" borderId="13" xfId="0" applyFont="1" applyFill="1" applyBorder="1" applyAlignment="1" applyProtection="1">
      <alignment horizontal="left" vertical="center" textRotation="90" wrapText="1"/>
    </xf>
    <xf numFmtId="164" fontId="254" fillId="94" borderId="13" xfId="0" applyFont="1" applyFill="1" applyBorder="1" applyAlignment="1" applyProtection="1">
      <alignment horizontal="center" vertical="center" wrapText="1"/>
    </xf>
    <xf numFmtId="164" fontId="257" fillId="95" borderId="13" xfId="0" applyFont="1" applyFill="1" applyBorder="1" applyAlignment="1" applyProtection="1">
      <alignment horizontal="left" vertical="center" textRotation="90" wrapText="1"/>
    </xf>
    <xf numFmtId="164" fontId="254" fillId="95" borderId="13" xfId="0" applyFont="1" applyFill="1" applyBorder="1" applyAlignment="1" applyProtection="1">
      <alignment horizontal="center" vertical="center" wrapText="1"/>
    </xf>
    <xf numFmtId="164" fontId="257" fillId="96" borderId="13" xfId="0" applyFont="1" applyFill="1" applyBorder="1" applyAlignment="1" applyProtection="1">
      <alignment horizontal="left" vertical="center" textRotation="90" wrapText="1"/>
    </xf>
    <xf numFmtId="164" fontId="254" fillId="96" borderId="13" xfId="0" applyFont="1" applyFill="1" applyBorder="1" applyAlignment="1" applyProtection="1">
      <alignment horizontal="center" vertical="center" wrapText="1"/>
    </xf>
    <xf numFmtId="164" fontId="257" fillId="97" borderId="13" xfId="0" applyFont="1" applyFill="1" applyBorder="1" applyAlignment="1" applyProtection="1">
      <alignment horizontal="left" vertical="center" textRotation="90" wrapText="1"/>
    </xf>
    <xf numFmtId="164" fontId="254" fillId="97" borderId="13" xfId="0" applyFont="1" applyFill="1" applyBorder="1" applyAlignment="1" applyProtection="1">
      <alignment horizontal="center" vertical="center" wrapText="1"/>
    </xf>
    <xf numFmtId="164" fontId="257" fillId="98" borderId="13" xfId="0" applyFont="1" applyFill="1" applyBorder="1" applyAlignment="1" applyProtection="1">
      <alignment horizontal="left" vertical="center" textRotation="90" wrapText="1"/>
    </xf>
    <xf numFmtId="164" fontId="254" fillId="98" borderId="13" xfId="0" applyFont="1" applyFill="1" applyBorder="1" applyAlignment="1" applyProtection="1">
      <alignment horizontal="center" vertical="center" wrapText="1"/>
    </xf>
    <xf numFmtId="303" fontId="198" fillId="0" borderId="0" xfId="0" applyNumberFormat="1" applyFont="1" applyBorder="1" applyAlignment="1" applyProtection="1">
      <alignment horizontal="center"/>
    </xf>
    <xf numFmtId="0" fontId="254" fillId="90" borderId="76" xfId="0" applyNumberFormat="1" applyFont="1" applyFill="1" applyBorder="1" applyAlignment="1" applyProtection="1">
      <alignment horizontal="center" vertical="center" wrapText="1"/>
    </xf>
    <xf numFmtId="0" fontId="254" fillId="88" borderId="75" xfId="0" applyNumberFormat="1" applyFont="1" applyFill="1" applyBorder="1" applyAlignment="1" applyProtection="1">
      <alignment horizontal="center" vertical="center" wrapText="1"/>
    </xf>
    <xf numFmtId="164" fontId="0" fillId="90" borderId="0" xfId="0" applyNumberFormat="1" applyFill="1" applyAlignment="1" applyProtection="1">
      <protection locked="0"/>
    </xf>
    <xf numFmtId="304" fontId="0" fillId="0" borderId="76" xfId="0" applyNumberFormat="1" applyBorder="1" applyAlignment="1"/>
    <xf numFmtId="164" fontId="254" fillId="105" borderId="75" xfId="0" applyFont="1" applyFill="1" applyBorder="1" applyAlignment="1" applyProtection="1">
      <alignment horizontal="center" vertical="center" wrapText="1"/>
    </xf>
    <xf numFmtId="164" fontId="254" fillId="88" borderId="75" xfId="0" applyFont="1" applyFill="1" applyBorder="1" applyAlignment="1" applyProtection="1">
      <alignment horizontal="center" vertical="center" wrapText="1"/>
    </xf>
    <xf numFmtId="164" fontId="254" fillId="88" borderId="75" xfId="0" applyFont="1" applyFill="1" applyBorder="1" applyAlignment="1">
      <alignment horizontal="center" vertical="center"/>
    </xf>
    <xf numFmtId="0" fontId="0" fillId="0" borderId="80" xfId="0" applyNumberFormat="1" applyBorder="1" applyAlignment="1"/>
    <xf numFmtId="14" fontId="0" fillId="0" borderId="80" xfId="0" applyNumberFormat="1" applyBorder="1" applyAlignment="1"/>
    <xf numFmtId="301" fontId="0" fillId="0" borderId="80" xfId="0" applyNumberFormat="1" applyBorder="1" applyAlignment="1"/>
    <xf numFmtId="300" fontId="0" fillId="0" borderId="80" xfId="0" applyNumberFormat="1" applyBorder="1" applyAlignment="1"/>
    <xf numFmtId="0" fontId="0" fillId="0" borderId="80" xfId="0" applyNumberFormat="1" applyBorder="1" applyAlignment="1">
      <alignment shrinkToFit="1"/>
    </xf>
    <xf numFmtId="0" fontId="0" fillId="0" borderId="82" xfId="0" applyNumberFormat="1" applyBorder="1" applyAlignment="1">
      <alignment shrinkToFit="1"/>
    </xf>
    <xf numFmtId="4" fontId="0" fillId="0" borderId="80" xfId="0" applyNumberFormat="1" applyBorder="1"/>
    <xf numFmtId="0" fontId="0" fillId="0" borderId="76" xfId="0" applyNumberFormat="1" applyBorder="1" applyAlignment="1"/>
    <xf numFmtId="164" fontId="0" fillId="0" borderId="80" xfId="0" applyBorder="1" applyAlignment="1"/>
    <xf numFmtId="14" fontId="0" fillId="0" borderId="80" xfId="0" applyNumberFormat="1" applyBorder="1" applyAlignment="1">
      <alignment shrinkToFit="1"/>
    </xf>
    <xf numFmtId="14" fontId="0" fillId="0" borderId="80" xfId="0" applyNumberFormat="1" applyBorder="1"/>
    <xf numFmtId="302" fontId="0" fillId="0" borderId="80" xfId="0" applyNumberFormat="1" applyBorder="1" applyAlignment="1" applyProtection="1">
      <alignment horizontal="center"/>
    </xf>
    <xf numFmtId="0" fontId="0" fillId="0" borderId="80" xfId="0" applyNumberFormat="1" applyBorder="1" applyAlignment="1" applyProtection="1">
      <alignment horizontal="center"/>
    </xf>
    <xf numFmtId="0" fontId="259" fillId="0" borderId="80" xfId="33834" applyNumberFormat="1" applyBorder="1" applyAlignment="1" applyProtection="1">
      <protection locked="0"/>
    </xf>
    <xf numFmtId="0" fontId="0" fillId="0" borderId="80" xfId="0" applyNumberFormat="1" applyBorder="1" applyAlignment="1" applyProtection="1">
      <protection locked="0"/>
    </xf>
    <xf numFmtId="0" fontId="0" fillId="0" borderId="0" xfId="0" applyNumberFormat="1" applyProtection="1"/>
    <xf numFmtId="0" fontId="0" fillId="90" borderId="0" xfId="0" applyNumberFormat="1" applyFill="1" applyProtection="1"/>
    <xf numFmtId="0" fontId="0" fillId="92" borderId="43" xfId="0" applyNumberFormat="1" applyFill="1" applyBorder="1" applyProtection="1"/>
    <xf numFmtId="0" fontId="198" fillId="92" borderId="43" xfId="0" applyNumberFormat="1" applyFont="1" applyFill="1" applyBorder="1" applyProtection="1"/>
    <xf numFmtId="306" fontId="198" fillId="92" borderId="43" xfId="33833" applyNumberFormat="1" applyFont="1" applyFill="1" applyBorder="1" applyAlignment="1" applyProtection="1">
      <alignment horizontal="center" vertical="center"/>
    </xf>
    <xf numFmtId="0" fontId="0" fillId="92" borderId="79" xfId="0" applyNumberFormat="1" applyFill="1" applyBorder="1" applyProtection="1"/>
    <xf numFmtId="0" fontId="0" fillId="0" borderId="0" xfId="0" applyNumberFormat="1" applyFill="1" applyBorder="1" applyProtection="1"/>
    <xf numFmtId="0" fontId="0" fillId="0" borderId="0" xfId="0" applyNumberFormat="1" applyAlignment="1" applyProtection="1">
      <alignment horizontal="center"/>
    </xf>
    <xf numFmtId="0" fontId="0" fillId="0" borderId="0" xfId="0" applyNumberFormat="1" applyBorder="1" applyProtection="1"/>
    <xf numFmtId="0" fontId="0" fillId="108" borderId="0" xfId="0" applyNumberFormat="1" applyFill="1" applyProtection="1"/>
    <xf numFmtId="0" fontId="0" fillId="89" borderId="0" xfId="0" applyNumberFormat="1" applyFill="1" applyProtection="1"/>
    <xf numFmtId="0" fontId="198" fillId="0" borderId="0" xfId="0" applyNumberFormat="1" applyFont="1" applyAlignment="1" applyProtection="1">
      <alignment horizontal="center"/>
    </xf>
    <xf numFmtId="0" fontId="198" fillId="96" borderId="20" xfId="0" applyNumberFormat="1" applyFont="1" applyFill="1" applyBorder="1" applyProtection="1"/>
    <xf numFmtId="0" fontId="198" fillId="96" borderId="48" xfId="0" applyNumberFormat="1" applyFont="1" applyFill="1" applyBorder="1" applyProtection="1"/>
    <xf numFmtId="0" fontId="198" fillId="96" borderId="50" xfId="0" applyNumberFormat="1" applyFont="1" applyFill="1" applyBorder="1" applyProtection="1"/>
    <xf numFmtId="0" fontId="0" fillId="108" borderId="20" xfId="0" applyNumberFormat="1" applyFill="1" applyBorder="1" applyProtection="1"/>
    <xf numFmtId="0" fontId="0" fillId="108" borderId="48" xfId="0" applyNumberFormat="1" applyFill="1" applyBorder="1" applyProtection="1"/>
    <xf numFmtId="0" fontId="0" fillId="108" borderId="50" xfId="0" applyNumberFormat="1" applyFill="1" applyBorder="1" applyProtection="1"/>
    <xf numFmtId="0" fontId="0" fillId="109" borderId="0" xfId="0" applyNumberFormat="1" applyFill="1" applyProtection="1"/>
    <xf numFmtId="0" fontId="0" fillId="109" borderId="48" xfId="0" applyNumberFormat="1" applyFill="1" applyBorder="1" applyProtection="1"/>
    <xf numFmtId="0" fontId="0" fillId="104" borderId="43" xfId="0" applyNumberFormat="1" applyFill="1" applyBorder="1" applyProtection="1"/>
    <xf numFmtId="0" fontId="198" fillId="104" borderId="43" xfId="0" applyNumberFormat="1" applyFont="1" applyFill="1" applyBorder="1" applyProtection="1"/>
    <xf numFmtId="306" fontId="198" fillId="104" borderId="43" xfId="33833" applyNumberFormat="1" applyFont="1" applyFill="1" applyBorder="1" applyAlignment="1" applyProtection="1">
      <alignment horizontal="center" vertical="center"/>
    </xf>
    <xf numFmtId="0" fontId="0" fillId="104" borderId="79" xfId="0" applyNumberFormat="1" applyFill="1" applyBorder="1" applyProtection="1"/>
    <xf numFmtId="0" fontId="0" fillId="103" borderId="43" xfId="0" applyNumberFormat="1" applyFill="1" applyBorder="1" applyProtection="1"/>
    <xf numFmtId="0" fontId="198" fillId="103" borderId="43" xfId="0" applyNumberFormat="1" applyFont="1" applyFill="1" applyBorder="1" applyProtection="1"/>
    <xf numFmtId="306" fontId="198" fillId="103" borderId="43" xfId="33833" applyNumberFormat="1" applyFont="1" applyFill="1" applyBorder="1" applyAlignment="1" applyProtection="1">
      <alignment horizontal="center" vertical="center"/>
    </xf>
    <xf numFmtId="0" fontId="0" fillId="103" borderId="79" xfId="0" applyNumberFormat="1" applyFill="1" applyBorder="1" applyProtection="1"/>
    <xf numFmtId="246" fontId="260" fillId="0" borderId="50" xfId="0" applyNumberFormat="1" applyFont="1" applyBorder="1" applyAlignment="1" applyProtection="1">
      <alignment vertical="center"/>
    </xf>
    <xf numFmtId="0" fontId="198" fillId="0" borderId="0" xfId="0" applyNumberFormat="1" applyFont="1" applyFill="1" applyBorder="1" applyAlignment="1" applyProtection="1"/>
    <xf numFmtId="0" fontId="198" fillId="103" borderId="43" xfId="0" applyNumberFormat="1" applyFont="1" applyFill="1" applyBorder="1" applyAlignment="1" applyProtection="1"/>
    <xf numFmtId="14" fontId="0" fillId="103" borderId="43" xfId="0" applyNumberFormat="1" applyFill="1" applyBorder="1" applyAlignment="1" applyProtection="1"/>
    <xf numFmtId="0" fontId="198" fillId="104" borderId="43" xfId="0" applyNumberFormat="1" applyFont="1" applyFill="1" applyBorder="1" applyAlignment="1" applyProtection="1"/>
    <xf numFmtId="14" fontId="0" fillId="104" borderId="43" xfId="0" applyNumberFormat="1" applyFill="1" applyBorder="1" applyAlignment="1" applyProtection="1"/>
    <xf numFmtId="0" fontId="198" fillId="92" borderId="43" xfId="0" applyNumberFormat="1" applyFont="1" applyFill="1" applyBorder="1" applyAlignment="1" applyProtection="1"/>
    <xf numFmtId="14" fontId="0" fillId="92" borderId="43" xfId="0" applyNumberFormat="1" applyFill="1" applyBorder="1" applyAlignment="1" applyProtection="1"/>
    <xf numFmtId="307" fontId="0" fillId="0" borderId="0" xfId="0" applyNumberFormat="1" applyFill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left" vertical="center"/>
    </xf>
    <xf numFmtId="0" fontId="198" fillId="0" borderId="43" xfId="0" applyNumberFormat="1" applyFont="1" applyBorder="1" applyAlignment="1" applyProtection="1">
      <alignment vertical="center"/>
    </xf>
    <xf numFmtId="0" fontId="0" fillId="0" borderId="43" xfId="0" applyNumberFormat="1" applyBorder="1" applyProtection="1"/>
    <xf numFmtId="0" fontId="0" fillId="0" borderId="43" xfId="0" applyNumberFormat="1" applyBorder="1" applyAlignment="1" applyProtection="1">
      <alignment vertical="center"/>
    </xf>
    <xf numFmtId="0" fontId="0" fillId="0" borderId="79" xfId="0" applyNumberFormat="1" applyBorder="1" applyAlignment="1" applyProtection="1">
      <alignment vertical="center"/>
    </xf>
    <xf numFmtId="0" fontId="198" fillId="0" borderId="81" xfId="0" applyNumberFormat="1" applyFont="1" applyBorder="1" applyAlignment="1" applyProtection="1">
      <alignment horizontal="left" indent="1"/>
    </xf>
    <xf numFmtId="0" fontId="198" fillId="97" borderId="43" xfId="0" applyNumberFormat="1" applyFont="1" applyFill="1" applyBorder="1" applyAlignment="1" applyProtection="1"/>
    <xf numFmtId="0" fontId="0" fillId="97" borderId="43" xfId="0" applyNumberFormat="1" applyFill="1" applyBorder="1" applyProtection="1"/>
    <xf numFmtId="0" fontId="0" fillId="97" borderId="43" xfId="0" applyNumberFormat="1" applyFill="1" applyBorder="1" applyAlignment="1" applyProtection="1"/>
    <xf numFmtId="14" fontId="0" fillId="97" borderId="43" xfId="0" applyNumberFormat="1" applyFill="1" applyBorder="1" applyAlignment="1" applyProtection="1"/>
    <xf numFmtId="0" fontId="198" fillId="97" borderId="43" xfId="0" applyNumberFormat="1" applyFont="1" applyFill="1" applyBorder="1" applyProtection="1"/>
    <xf numFmtId="306" fontId="198" fillId="97" borderId="43" xfId="33833" applyNumberFormat="1" applyFont="1" applyFill="1" applyBorder="1" applyAlignment="1" applyProtection="1">
      <alignment horizontal="center" vertical="center"/>
    </xf>
    <xf numFmtId="0" fontId="0" fillId="97" borderId="79" xfId="0" applyNumberFormat="1" applyFill="1" applyBorder="1" applyProtection="1"/>
    <xf numFmtId="308" fontId="0" fillId="0" borderId="43" xfId="0" applyNumberFormat="1" applyBorder="1" applyAlignment="1" applyProtection="1">
      <alignment vertical="center"/>
    </xf>
    <xf numFmtId="0" fontId="198" fillId="98" borderId="43" xfId="0" applyNumberFormat="1" applyFont="1" applyFill="1" applyBorder="1" applyAlignment="1" applyProtection="1"/>
    <xf numFmtId="0" fontId="0" fillId="98" borderId="43" xfId="0" applyNumberFormat="1" applyFill="1" applyBorder="1" applyProtection="1"/>
    <xf numFmtId="14" fontId="0" fillId="98" borderId="43" xfId="0" applyNumberFormat="1" applyFill="1" applyBorder="1" applyAlignment="1" applyProtection="1"/>
    <xf numFmtId="0" fontId="198" fillId="98" borderId="43" xfId="0" applyNumberFormat="1" applyFont="1" applyFill="1" applyBorder="1" applyProtection="1"/>
    <xf numFmtId="306" fontId="198" fillId="98" borderId="43" xfId="33833" applyNumberFormat="1" applyFont="1" applyFill="1" applyBorder="1" applyAlignment="1" applyProtection="1">
      <alignment horizontal="center" vertical="center"/>
    </xf>
    <xf numFmtId="0" fontId="0" fillId="98" borderId="79" xfId="0" applyNumberFormat="1" applyFill="1" applyBorder="1" applyProtection="1"/>
    <xf numFmtId="0" fontId="0" fillId="0" borderId="0" xfId="0" applyNumberFormat="1" applyBorder="1" applyAlignment="1" applyProtection="1">
      <alignment horizontal="left" vertical="center" wrapText="1"/>
    </xf>
    <xf numFmtId="0" fontId="198" fillId="110" borderId="43" xfId="0" applyNumberFormat="1" applyFont="1" applyFill="1" applyBorder="1" applyAlignment="1" applyProtection="1"/>
    <xf numFmtId="0" fontId="0" fillId="110" borderId="43" xfId="0" applyNumberFormat="1" applyFill="1" applyBorder="1" applyProtection="1"/>
    <xf numFmtId="14" fontId="0" fillId="110" borderId="43" xfId="0" applyNumberFormat="1" applyFill="1" applyBorder="1" applyAlignment="1" applyProtection="1"/>
    <xf numFmtId="0" fontId="198" fillId="110" borderId="43" xfId="0" applyNumberFormat="1" applyFont="1" applyFill="1" applyBorder="1" applyProtection="1"/>
    <xf numFmtId="306" fontId="198" fillId="110" borderId="43" xfId="33833" applyNumberFormat="1" applyFont="1" applyFill="1" applyBorder="1" applyAlignment="1" applyProtection="1">
      <alignment horizontal="center" vertical="center"/>
    </xf>
    <xf numFmtId="0" fontId="0" fillId="110" borderId="79" xfId="0" applyNumberFormat="1" applyFill="1" applyBorder="1" applyProtection="1"/>
    <xf numFmtId="0" fontId="0" fillId="0" borderId="0" xfId="0" applyNumberFormat="1" applyBorder="1" applyAlignment="1" applyProtection="1"/>
    <xf numFmtId="0" fontId="256" fillId="0" borderId="0" xfId="0" applyNumberFormat="1" applyFont="1" applyBorder="1" applyAlignment="1" applyProtection="1">
      <alignment horizontal="center" vertical="center"/>
    </xf>
    <xf numFmtId="0" fontId="198" fillId="0" borderId="0" xfId="0" applyNumberFormat="1" applyFont="1" applyBorder="1" applyAlignment="1" applyProtection="1">
      <alignment horizontal="left" vertical="center" indent="1"/>
    </xf>
    <xf numFmtId="0" fontId="258" fillId="110" borderId="81" xfId="0" applyNumberFormat="1" applyFont="1" applyFill="1" applyBorder="1" applyAlignment="1" applyProtection="1"/>
    <xf numFmtId="0" fontId="258" fillId="110" borderId="81" xfId="0" applyNumberFormat="1" applyFont="1" applyFill="1" applyBorder="1" applyAlignment="1" applyProtection="1">
      <alignment vertical="center"/>
    </xf>
    <xf numFmtId="0" fontId="258" fillId="98" borderId="81" xfId="0" applyNumberFormat="1" applyFont="1" applyFill="1" applyBorder="1" applyAlignment="1" applyProtection="1"/>
    <xf numFmtId="0" fontId="258" fillId="97" borderId="81" xfId="0" applyNumberFormat="1" applyFont="1" applyFill="1" applyBorder="1" applyAlignment="1" applyProtection="1"/>
    <xf numFmtId="0" fontId="258" fillId="92" borderId="81" xfId="0" applyNumberFormat="1" applyFont="1" applyFill="1" applyBorder="1" applyAlignment="1" applyProtection="1"/>
    <xf numFmtId="0" fontId="258" fillId="104" borderId="81" xfId="0" applyNumberFormat="1" applyFont="1" applyFill="1" applyBorder="1" applyAlignment="1" applyProtection="1"/>
    <xf numFmtId="0" fontId="258" fillId="103" borderId="81" xfId="0" applyNumberFormat="1" applyFont="1" applyFill="1" applyBorder="1" applyAlignment="1" applyProtection="1"/>
    <xf numFmtId="300" fontId="254" fillId="0" borderId="0" xfId="0" applyNumberFormat="1" applyFont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Font="1" applyBorder="1" applyAlignment="1" applyProtection="1">
      <alignment horizontal="center"/>
    </xf>
    <xf numFmtId="300" fontId="254" fillId="0" borderId="0" xfId="0" applyNumberFormat="1" applyFont="1" applyBorder="1" applyAlignment="1" applyProtection="1">
      <alignment horizontal="center"/>
    </xf>
    <xf numFmtId="246" fontId="260" fillId="0" borderId="0" xfId="0" applyNumberFormat="1" applyFont="1" applyBorder="1" applyAlignment="1" applyProtection="1">
      <alignment horizontal="right" vertical="center"/>
    </xf>
    <xf numFmtId="246" fontId="260" fillId="0" borderId="0" xfId="0" applyNumberFormat="1" applyFont="1" applyBorder="1" applyAlignment="1" applyProtection="1">
      <alignment vertical="center"/>
    </xf>
    <xf numFmtId="0" fontId="198" fillId="0" borderId="78" xfId="0" applyNumberFormat="1" applyFont="1" applyFill="1" applyBorder="1" applyAlignment="1" applyProtection="1">
      <alignment horizontal="center"/>
    </xf>
    <xf numFmtId="307" fontId="0" fillId="0" borderId="80" xfId="0" applyNumberFormat="1" applyFill="1" applyBorder="1" applyAlignment="1" applyProtection="1">
      <alignment horizontal="center"/>
    </xf>
    <xf numFmtId="0" fontId="0" fillId="0" borderId="76" xfId="0" applyNumberFormat="1" applyFill="1" applyBorder="1" applyAlignment="1" applyProtection="1"/>
    <xf numFmtId="0" fontId="0" fillId="0" borderId="76" xfId="0" applyNumberFormat="1" applyFill="1" applyBorder="1" applyAlignment="1" applyProtection="1">
      <alignment horizontal="left"/>
    </xf>
    <xf numFmtId="0" fontId="0" fillId="0" borderId="82" xfId="0" applyNumberFormat="1" applyFill="1" applyBorder="1" applyAlignment="1" applyProtection="1"/>
    <xf numFmtId="0" fontId="0" fillId="0" borderId="82" xfId="0" applyNumberFormat="1" applyFill="1" applyBorder="1" applyAlignment="1" applyProtection="1">
      <alignment horizontal="right"/>
    </xf>
    <xf numFmtId="300" fontId="255" fillId="0" borderId="78" xfId="0" applyNumberFormat="1" applyFont="1" applyBorder="1" applyAlignment="1" applyProtection="1">
      <alignment horizontal="center"/>
    </xf>
    <xf numFmtId="300" fontId="254" fillId="0" borderId="80" xfId="0" applyNumberFormat="1" applyFont="1" applyBorder="1" applyAlignment="1" applyProtection="1">
      <alignment horizontal="center"/>
    </xf>
    <xf numFmtId="0" fontId="198" fillId="0" borderId="78" xfId="0" applyNumberFormat="1" applyFont="1" applyBorder="1" applyAlignment="1" applyProtection="1">
      <alignment horizontal="center"/>
    </xf>
    <xf numFmtId="0" fontId="0" fillId="0" borderId="80" xfId="0" applyNumberFormat="1" applyFont="1" applyBorder="1" applyAlignment="1" applyProtection="1">
      <alignment horizontal="center"/>
    </xf>
    <xf numFmtId="0" fontId="260" fillId="0" borderId="0" xfId="0" applyNumberFormat="1" applyFont="1" applyProtection="1"/>
    <xf numFmtId="0" fontId="198" fillId="0" borderId="0" xfId="0" applyNumberFormat="1" applyFont="1" applyBorder="1" applyAlignment="1" applyProtection="1">
      <alignment horizontal="left" vertical="center" indent="1"/>
    </xf>
    <xf numFmtId="0" fontId="0" fillId="0" borderId="0" xfId="0" applyNumberFormat="1" applyBorder="1" applyAlignment="1" applyProtection="1">
      <alignment horizontal="left" vertical="center"/>
    </xf>
    <xf numFmtId="0" fontId="166" fillId="0" borderId="0" xfId="0" applyNumberFormat="1" applyFont="1" applyBorder="1" applyAlignment="1" applyProtection="1">
      <alignment horizontal="left" vertical="center" wrapText="1"/>
    </xf>
    <xf numFmtId="0" fontId="258" fillId="102" borderId="81" xfId="0" applyNumberFormat="1" applyFont="1" applyFill="1" applyBorder="1" applyAlignment="1" applyProtection="1"/>
    <xf numFmtId="0" fontId="198" fillId="102" borderId="43" xfId="0" applyNumberFormat="1" applyFont="1" applyFill="1" applyBorder="1" applyAlignment="1" applyProtection="1"/>
    <xf numFmtId="0" fontId="0" fillId="102" borderId="43" xfId="0" applyNumberFormat="1" applyFill="1" applyBorder="1" applyProtection="1"/>
    <xf numFmtId="14" fontId="0" fillId="102" borderId="43" xfId="0" applyNumberFormat="1" applyFill="1" applyBorder="1" applyAlignment="1" applyProtection="1"/>
    <xf numFmtId="0" fontId="198" fillId="102" borderId="43" xfId="0" applyNumberFormat="1" applyFont="1" applyFill="1" applyBorder="1" applyProtection="1"/>
    <xf numFmtId="306" fontId="198" fillId="102" borderId="43" xfId="33833" applyNumberFormat="1" applyFont="1" applyFill="1" applyBorder="1" applyAlignment="1" applyProtection="1">
      <alignment horizontal="center" vertical="center"/>
    </xf>
    <xf numFmtId="0" fontId="0" fillId="102" borderId="79" xfId="0" applyNumberFormat="1" applyFill="1" applyBorder="1" applyProtection="1"/>
    <xf numFmtId="246" fontId="260" fillId="0" borderId="0" xfId="0" applyNumberFormat="1" applyFont="1" applyBorder="1" applyAlignment="1" applyProtection="1">
      <alignment horizontal="left" vertical="center"/>
    </xf>
    <xf numFmtId="0" fontId="258" fillId="0" borderId="0" xfId="0" applyNumberFormat="1" applyFont="1" applyBorder="1" applyAlignment="1" applyProtection="1">
      <alignment horizontal="center"/>
    </xf>
    <xf numFmtId="304" fontId="0" fillId="0" borderId="85" xfId="0" applyNumberFormat="1" applyBorder="1" applyAlignment="1"/>
    <xf numFmtId="0" fontId="0" fillId="0" borderId="86" xfId="0" applyNumberFormat="1" applyBorder="1" applyAlignment="1"/>
    <xf numFmtId="14" fontId="0" fillId="0" borderId="86" xfId="0" applyNumberFormat="1" applyBorder="1" applyAlignment="1"/>
    <xf numFmtId="301" fontId="0" fillId="0" borderId="86" xfId="0" applyNumberFormat="1" applyBorder="1" applyAlignment="1"/>
    <xf numFmtId="300" fontId="0" fillId="0" borderId="86" xfId="0" applyNumberFormat="1" applyBorder="1" applyAlignment="1"/>
    <xf numFmtId="0" fontId="0" fillId="0" borderId="86" xfId="0" applyNumberFormat="1" applyBorder="1" applyAlignment="1">
      <alignment shrinkToFit="1"/>
    </xf>
    <xf numFmtId="0" fontId="0" fillId="0" borderId="87" xfId="0" applyNumberFormat="1" applyBorder="1" applyAlignment="1">
      <alignment shrinkToFit="1"/>
    </xf>
    <xf numFmtId="4" fontId="0" fillId="0" borderId="86" xfId="0" applyNumberFormat="1" applyBorder="1"/>
    <xf numFmtId="0" fontId="0" fillId="0" borderId="88" xfId="0" applyNumberFormat="1" applyBorder="1" applyAlignment="1"/>
    <xf numFmtId="164" fontId="0" fillId="0" borderId="86" xfId="0" applyBorder="1" applyAlignment="1"/>
    <xf numFmtId="14" fontId="0" fillId="0" borderId="86" xfId="0" applyNumberFormat="1" applyBorder="1" applyAlignment="1">
      <alignment shrinkToFit="1"/>
    </xf>
    <xf numFmtId="14" fontId="0" fillId="0" borderId="86" xfId="0" applyNumberFormat="1" applyBorder="1"/>
    <xf numFmtId="302" fontId="0" fillId="0" borderId="86" xfId="0" applyNumberFormat="1" applyBorder="1" applyAlignment="1" applyProtection="1">
      <alignment horizontal="center"/>
    </xf>
    <xf numFmtId="0" fontId="0" fillId="0" borderId="86" xfId="0" applyNumberFormat="1" applyBorder="1" applyAlignment="1" applyProtection="1">
      <alignment horizontal="center"/>
    </xf>
    <xf numFmtId="0" fontId="259" fillId="0" borderId="86" xfId="33834" applyNumberFormat="1" applyBorder="1" applyAlignment="1" applyProtection="1">
      <protection locked="0"/>
    </xf>
    <xf numFmtId="0" fontId="0" fillId="0" borderId="86" xfId="0" applyNumberFormat="1" applyBorder="1" applyAlignment="1" applyProtection="1">
      <protection locked="0"/>
    </xf>
    <xf numFmtId="0" fontId="261" fillId="0" borderId="0" xfId="0" applyNumberFormat="1" applyFont="1" applyAlignment="1" applyProtection="1">
      <alignment horizontal="center"/>
    </xf>
    <xf numFmtId="246" fontId="260" fillId="0" borderId="44" xfId="0" applyNumberFormat="1" applyFont="1" applyBorder="1" applyAlignment="1" applyProtection="1">
      <alignment horizontal="right" vertical="center"/>
    </xf>
    <xf numFmtId="246" fontId="260" fillId="0" borderId="82" xfId="0" applyNumberFormat="1" applyFont="1" applyBorder="1" applyAlignment="1" applyProtection="1">
      <alignment horizontal="right" vertical="center"/>
    </xf>
    <xf numFmtId="246" fontId="260" fillId="0" borderId="72" xfId="0" applyNumberFormat="1" applyFont="1" applyBorder="1" applyAlignment="1" applyProtection="1">
      <alignment horizontal="left" vertical="center"/>
      <protection locked="0"/>
    </xf>
    <xf numFmtId="246" fontId="260" fillId="0" borderId="22" xfId="0" applyNumberFormat="1" applyFont="1" applyBorder="1" applyAlignment="1" applyProtection="1">
      <alignment horizontal="left" vertical="center"/>
      <protection locked="0"/>
    </xf>
    <xf numFmtId="0" fontId="0" fillId="0" borderId="72" xfId="0" applyNumberFormat="1" applyBorder="1" applyAlignment="1" applyProtection="1">
      <alignment horizontal="left" vertical="center"/>
    </xf>
    <xf numFmtId="0" fontId="0" fillId="0" borderId="77" xfId="0" applyNumberFormat="1" applyBorder="1" applyAlignment="1" applyProtection="1">
      <alignment horizontal="left" vertical="center"/>
    </xf>
    <xf numFmtId="0" fontId="0" fillId="0" borderId="0" xfId="0" applyNumberFormat="1" applyBorder="1" applyAlignment="1" applyProtection="1">
      <alignment horizontal="left" vertical="center"/>
    </xf>
    <xf numFmtId="0" fontId="0" fillId="0" borderId="20" xfId="0" applyNumberFormat="1" applyBorder="1" applyAlignment="1" applyProtection="1">
      <alignment horizontal="left" vertical="center"/>
    </xf>
    <xf numFmtId="0" fontId="0" fillId="0" borderId="22" xfId="0" applyNumberFormat="1" applyBorder="1" applyAlignment="1" applyProtection="1">
      <alignment horizontal="left" vertical="center"/>
    </xf>
    <xf numFmtId="0" fontId="0" fillId="0" borderId="76" xfId="0" applyNumberFormat="1" applyBorder="1" applyAlignment="1" applyProtection="1">
      <alignment horizontal="left" vertical="center"/>
    </xf>
    <xf numFmtId="0" fontId="198" fillId="0" borderId="44" xfId="0" applyNumberFormat="1" applyFont="1" applyFill="1" applyBorder="1" applyAlignment="1" applyProtection="1">
      <alignment horizontal="center"/>
    </xf>
    <xf numFmtId="0" fontId="198" fillId="0" borderId="77" xfId="0" applyNumberFormat="1" applyFont="1" applyFill="1" applyBorder="1" applyAlignment="1" applyProtection="1">
      <alignment horizontal="center"/>
    </xf>
    <xf numFmtId="0" fontId="198" fillId="0" borderId="78" xfId="0" applyNumberFormat="1" applyFont="1" applyFill="1" applyBorder="1" applyAlignment="1" applyProtection="1">
      <alignment horizontal="center"/>
    </xf>
    <xf numFmtId="0" fontId="258" fillId="0" borderId="78" xfId="0" applyNumberFormat="1" applyFont="1" applyBorder="1" applyAlignment="1" applyProtection="1">
      <alignment horizontal="center" vertical="center"/>
    </xf>
    <xf numFmtId="0" fontId="258" fillId="0" borderId="80" xfId="0" applyNumberFormat="1" applyFont="1" applyBorder="1" applyAlignment="1" applyProtection="1">
      <alignment horizontal="center" vertical="center"/>
    </xf>
    <xf numFmtId="0" fontId="256" fillId="0" borderId="78" xfId="0" applyNumberFormat="1" applyFont="1" applyBorder="1" applyAlignment="1" applyProtection="1">
      <alignment horizontal="center" vertical="center"/>
    </xf>
    <xf numFmtId="0" fontId="256" fillId="0" borderId="48" xfId="0" applyNumberFormat="1" applyFont="1" applyBorder="1" applyAlignment="1" applyProtection="1">
      <alignment horizontal="center" vertical="center"/>
    </xf>
    <xf numFmtId="0" fontId="256" fillId="0" borderId="80" xfId="0" applyNumberFormat="1" applyFont="1" applyBorder="1" applyAlignment="1" applyProtection="1">
      <alignment horizontal="center" vertical="center"/>
    </xf>
    <xf numFmtId="0" fontId="0" fillId="0" borderId="44" xfId="0" applyNumberFormat="1" applyBorder="1" applyAlignment="1" applyProtection="1">
      <alignment horizontal="left" vertical="center" wrapText="1"/>
    </xf>
    <xf numFmtId="0" fontId="0" fillId="0" borderId="72" xfId="0" applyNumberFormat="1" applyBorder="1" applyAlignment="1" applyProtection="1">
      <alignment horizontal="left" vertical="center" wrapText="1"/>
    </xf>
    <xf numFmtId="0" fontId="0" fillId="0" borderId="77" xfId="0" applyNumberFormat="1" applyBorder="1" applyAlignment="1" applyProtection="1">
      <alignment horizontal="left" vertical="center" wrapText="1"/>
    </xf>
    <xf numFmtId="0" fontId="0" fillId="0" borderId="50" xfId="0" applyNumberFormat="1" applyBorder="1" applyAlignment="1" applyProtection="1">
      <alignment horizontal="left" vertical="center" wrapText="1"/>
    </xf>
    <xf numFmtId="0" fontId="0" fillId="0" borderId="0" xfId="0" applyNumberFormat="1" applyBorder="1" applyAlignment="1" applyProtection="1">
      <alignment horizontal="left" vertical="center" wrapText="1"/>
    </xf>
    <xf numFmtId="0" fontId="0" fillId="0" borderId="20" xfId="0" applyNumberFormat="1" applyBorder="1" applyAlignment="1" applyProtection="1">
      <alignment horizontal="left" vertical="center" wrapText="1"/>
    </xf>
    <xf numFmtId="0" fontId="0" fillId="0" borderId="82" xfId="0" applyNumberFormat="1" applyBorder="1" applyAlignment="1" applyProtection="1">
      <alignment horizontal="left" vertical="center" wrapText="1"/>
    </xf>
    <xf numFmtId="0" fontId="0" fillId="0" borderId="22" xfId="0" applyNumberFormat="1" applyBorder="1" applyAlignment="1" applyProtection="1">
      <alignment horizontal="left" vertical="center" wrapText="1"/>
    </xf>
    <xf numFmtId="0" fontId="0" fillId="0" borderId="76" xfId="0" applyNumberFormat="1" applyBorder="1" applyAlignment="1" applyProtection="1">
      <alignment horizontal="left" vertical="center" wrapText="1"/>
    </xf>
    <xf numFmtId="0" fontId="166" fillId="0" borderId="84" xfId="0" applyNumberFormat="1" applyFont="1" applyBorder="1" applyAlignment="1" applyProtection="1">
      <alignment horizontal="left" vertical="center" wrapText="1"/>
    </xf>
    <xf numFmtId="0" fontId="166" fillId="0" borderId="72" xfId="0" applyNumberFormat="1" applyFont="1" applyBorder="1" applyAlignment="1" applyProtection="1">
      <alignment horizontal="left" vertical="center" wrapText="1"/>
    </xf>
    <xf numFmtId="0" fontId="166" fillId="0" borderId="77" xfId="0" applyNumberFormat="1" applyFont="1" applyBorder="1" applyAlignment="1" applyProtection="1">
      <alignment horizontal="left" vertical="center" wrapText="1"/>
    </xf>
    <xf numFmtId="0" fontId="166" fillId="0" borderId="50" xfId="0" applyNumberFormat="1" applyFont="1" applyBorder="1" applyAlignment="1" applyProtection="1">
      <alignment horizontal="left" vertical="center" wrapText="1"/>
    </xf>
    <xf numFmtId="0" fontId="166" fillId="0" borderId="0" xfId="0" applyNumberFormat="1" applyFont="1" applyBorder="1" applyAlignment="1" applyProtection="1">
      <alignment horizontal="left" vertical="center" wrapText="1"/>
    </xf>
    <xf numFmtId="0" fontId="166" fillId="0" borderId="20" xfId="0" applyNumberFormat="1" applyFont="1" applyBorder="1" applyAlignment="1" applyProtection="1">
      <alignment horizontal="left" vertical="center" wrapText="1"/>
    </xf>
    <xf numFmtId="0" fontId="166" fillId="0" borderId="82" xfId="0" applyNumberFormat="1" applyFont="1" applyBorder="1" applyAlignment="1" applyProtection="1">
      <alignment horizontal="left" vertical="center" wrapText="1"/>
    </xf>
    <xf numFmtId="0" fontId="166" fillId="0" borderId="22" xfId="0" applyNumberFormat="1" applyFont="1" applyBorder="1" applyAlignment="1" applyProtection="1">
      <alignment horizontal="left" vertical="center" wrapText="1"/>
    </xf>
    <xf numFmtId="0" fontId="166" fillId="0" borderId="76" xfId="0" applyNumberFormat="1" applyFont="1" applyBorder="1" applyAlignment="1" applyProtection="1">
      <alignment horizontal="left" vertical="center" wrapText="1"/>
    </xf>
    <xf numFmtId="0" fontId="198" fillId="0" borderId="0" xfId="0" applyNumberFormat="1" applyFont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76" xfId="0" applyNumberFormat="1" applyFont="1" applyFill="1" applyBorder="1" applyAlignment="1" applyProtection="1">
      <alignment horizontal="center"/>
    </xf>
    <xf numFmtId="0" fontId="166" fillId="0" borderId="44" xfId="0" applyNumberFormat="1" applyFont="1" applyBorder="1" applyAlignment="1" applyProtection="1">
      <alignment horizontal="left" vertical="center" wrapText="1"/>
    </xf>
    <xf numFmtId="0" fontId="198" fillId="0" borderId="44" xfId="0" applyNumberFormat="1" applyFont="1" applyBorder="1" applyAlignment="1" applyProtection="1">
      <alignment horizontal="left" vertical="center" indent="1"/>
    </xf>
    <xf numFmtId="0" fontId="198" fillId="0" borderId="72" xfId="0" applyNumberFormat="1" applyFont="1" applyBorder="1" applyAlignment="1" applyProtection="1">
      <alignment horizontal="left" vertical="center" indent="1"/>
    </xf>
    <xf numFmtId="0" fontId="198" fillId="0" borderId="50" xfId="0" applyNumberFormat="1" applyFont="1" applyBorder="1" applyAlignment="1" applyProtection="1">
      <alignment horizontal="left" vertical="center" indent="1"/>
    </xf>
    <xf numFmtId="0" fontId="198" fillId="0" borderId="0" xfId="0" applyNumberFormat="1" applyFont="1" applyBorder="1" applyAlignment="1" applyProtection="1">
      <alignment horizontal="left" vertical="center" indent="1"/>
    </xf>
    <xf numFmtId="0" fontId="198" fillId="0" borderId="82" xfId="0" applyNumberFormat="1" applyFont="1" applyBorder="1" applyAlignment="1" applyProtection="1">
      <alignment horizontal="left" vertical="center" indent="1"/>
    </xf>
    <xf numFmtId="0" fontId="198" fillId="0" borderId="22" xfId="0" applyNumberFormat="1" applyFont="1" applyBorder="1" applyAlignment="1" applyProtection="1">
      <alignment horizontal="left" vertical="center" indent="1"/>
    </xf>
    <xf numFmtId="0" fontId="0" fillId="0" borderId="44" xfId="0" applyNumberFormat="1" applyBorder="1" applyAlignment="1" applyProtection="1">
      <alignment horizontal="left" vertical="center"/>
    </xf>
    <xf numFmtId="0" fontId="0" fillId="0" borderId="50" xfId="0" applyNumberFormat="1" applyBorder="1" applyAlignment="1" applyProtection="1">
      <alignment horizontal="left" vertical="center"/>
    </xf>
    <xf numFmtId="0" fontId="0" fillId="0" borderId="82" xfId="0" applyNumberFormat="1" applyBorder="1" applyAlignment="1" applyProtection="1">
      <alignment horizontal="left" vertical="center"/>
    </xf>
    <xf numFmtId="0" fontId="198" fillId="0" borderId="72" xfId="0" applyNumberFormat="1" applyFont="1" applyFill="1" applyBorder="1" applyAlignment="1" applyProtection="1">
      <alignment horizontal="center"/>
    </xf>
    <xf numFmtId="0" fontId="0" fillId="0" borderId="22" xfId="0" applyNumberFormat="1" applyFont="1" applyFill="1" applyBorder="1" applyAlignment="1" applyProtection="1">
      <alignment horizontal="center"/>
    </xf>
    <xf numFmtId="0" fontId="258" fillId="0" borderId="0" xfId="0" applyNumberFormat="1" applyFont="1" applyBorder="1" applyAlignment="1" applyProtection="1">
      <alignment horizontal="center"/>
    </xf>
    <xf numFmtId="306" fontId="0" fillId="0" borderId="0" xfId="0" applyNumberFormat="1" applyAlignment="1" applyProtection="1">
      <alignment horizontal="center"/>
    </xf>
    <xf numFmtId="0" fontId="198" fillId="0" borderId="84" xfId="0" applyNumberFormat="1" applyFont="1" applyBorder="1" applyAlignment="1" applyProtection="1">
      <alignment horizontal="center"/>
    </xf>
    <xf numFmtId="0" fontId="198" fillId="0" borderId="83" xfId="0" applyNumberFormat="1" applyFont="1" applyBorder="1" applyAlignment="1" applyProtection="1">
      <alignment horizontal="center"/>
    </xf>
    <xf numFmtId="0" fontId="0" fillId="0" borderId="50" xfId="0" applyNumberFormat="1" applyBorder="1" applyAlignment="1" applyProtection="1">
      <alignment horizontal="center"/>
    </xf>
    <xf numFmtId="0" fontId="0" fillId="0" borderId="20" xfId="0" applyNumberFormat="1" applyBorder="1" applyAlignment="1" applyProtection="1">
      <alignment horizontal="center"/>
    </xf>
    <xf numFmtId="0" fontId="0" fillId="0" borderId="82" xfId="0" applyNumberFormat="1" applyBorder="1" applyAlignment="1" applyProtection="1">
      <alignment horizontal="center"/>
    </xf>
    <xf numFmtId="0" fontId="0" fillId="0" borderId="76" xfId="0" applyNumberFormat="1" applyBorder="1" applyAlignment="1" applyProtection="1">
      <alignment horizontal="center"/>
    </xf>
    <xf numFmtId="300" fontId="255" fillId="0" borderId="44" xfId="0" applyNumberFormat="1" applyFont="1" applyBorder="1" applyAlignment="1" applyProtection="1">
      <alignment horizontal="center"/>
    </xf>
    <xf numFmtId="300" fontId="255" fillId="0" borderId="77" xfId="0" applyNumberFormat="1" applyFont="1" applyBorder="1" applyAlignment="1" applyProtection="1">
      <alignment horizontal="center"/>
    </xf>
    <xf numFmtId="305" fontId="198" fillId="0" borderId="44" xfId="0" applyNumberFormat="1" applyFont="1" applyBorder="1" applyAlignment="1" applyProtection="1">
      <alignment horizontal="center"/>
    </xf>
    <xf numFmtId="305" fontId="198" fillId="0" borderId="77" xfId="0" applyNumberFormat="1" applyFont="1" applyBorder="1" applyAlignment="1" applyProtection="1">
      <alignment horizontal="center"/>
    </xf>
    <xf numFmtId="0" fontId="198" fillId="0" borderId="44" xfId="0" applyNumberFormat="1" applyFont="1" applyBorder="1" applyAlignment="1" applyProtection="1">
      <alignment horizontal="center"/>
    </xf>
    <xf numFmtId="0" fontId="198" fillId="0" borderId="77" xfId="0" applyNumberFormat="1" applyFont="1" applyBorder="1" applyAlignment="1" applyProtection="1">
      <alignment horizontal="center"/>
    </xf>
    <xf numFmtId="300" fontId="254" fillId="0" borderId="82" xfId="0" applyNumberFormat="1" applyFont="1" applyBorder="1" applyAlignment="1" applyProtection="1">
      <alignment horizontal="center"/>
    </xf>
    <xf numFmtId="300" fontId="254" fillId="0" borderId="76" xfId="0" applyNumberFormat="1" applyFont="1" applyBorder="1" applyAlignment="1" applyProtection="1">
      <alignment horizontal="center"/>
    </xf>
    <xf numFmtId="307" fontId="0" fillId="0" borderId="80" xfId="0" applyNumberFormat="1" applyFill="1" applyBorder="1" applyAlignment="1" applyProtection="1">
      <alignment horizontal="center"/>
    </xf>
    <xf numFmtId="0" fontId="0" fillId="0" borderId="82" xfId="0" applyNumberFormat="1" applyFont="1" applyBorder="1" applyAlignment="1" applyProtection="1">
      <alignment horizontal="center"/>
    </xf>
    <xf numFmtId="0" fontId="0" fillId="0" borderId="76" xfId="0" applyNumberFormat="1" applyFont="1" applyBorder="1" applyAlignment="1" applyProtection="1">
      <alignment horizontal="center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97"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302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0" formatCode="General"/>
    </dxf>
    <dxf>
      <numFmt numFmtId="19" formatCode="yyyy/mm/dd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auto="1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4" formatCode="&quot;CAR&quot;0000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9" defaultTableStyle="TableStyleMedium2" defaultPivotStyle="PivotStyleLight16">
    <tableStyle name="MySqlDefault" pivot="0" table="0" count="2" xr9:uid="{00000000-0011-0000-FFFF-FFFF00000000}">
      <tableStyleElement type="wholeTable" dxfId="96"/>
      <tableStyleElement type="headerRow" dxfId="95"/>
    </tableStyle>
    <tableStyle name="Slicer Style 1" pivot="0" table="0" count="1" xr9:uid="{00000000-0011-0000-FFFF-FFFF01000000}">
      <tableStyleElement type="wholeTable" dxfId="94"/>
    </tableStyle>
    <tableStyle name="Slicer Style New" pivot="0" table="0" count="10" xr9:uid="{00000000-0011-0000-FFFF-FFFF02000000}">
      <tableStyleElement type="wholeTable" dxfId="93"/>
      <tableStyleElement type="headerRow" dxfId="92"/>
    </tableStyle>
    <tableStyle name="SlicerStyleLight1 2" pivot="0" table="0" count="10" xr9:uid="{04F3D090-57BA-42A8-A8D7-4E3421125EC6}">
      <tableStyleElement type="wholeTable" dxfId="91"/>
      <tableStyleElement type="headerRow" dxfId="90"/>
    </tableStyle>
    <tableStyle name="SlicerStyleLight2 2" pivot="0" table="0" count="10" xr9:uid="{8F21480C-DA51-45E1-BD65-41810A9BB42F}">
      <tableStyleElement type="wholeTable" dxfId="89"/>
      <tableStyleElement type="headerRow" dxfId="88"/>
    </tableStyle>
    <tableStyle name="SlicerStyleLight4 2" pivot="0" table="0" count="10" xr9:uid="{8B7E8BF7-8F1E-4F4E-8386-F4BD3D344F97}">
      <tableStyleElement type="wholeTable" dxfId="87"/>
      <tableStyleElement type="headerRow" dxfId="86"/>
    </tableStyle>
    <tableStyle name="SlicerStyleLight6 2" pivot="0" table="0" count="10" xr9:uid="{3D2E40EC-16FF-4D6A-B2E6-055EBE416B5C}">
      <tableStyleElement type="wholeTable" dxfId="85"/>
      <tableStyleElement type="headerRow" dxfId="84"/>
    </tableStyle>
    <tableStyle name="TimeSlicerStyleLight1 2" pivot="0" table="0" count="9" xr9:uid="{B849AAC8-B35B-4797-B829-468E81F926EA}">
      <tableStyleElement type="wholeTable" dxfId="83"/>
      <tableStyleElement type="headerRow" dxfId="82"/>
    </tableStyle>
    <tableStyle name="TimeSlicerStyleLight6 2" pivot="0" table="0" count="9" xr9:uid="{B056285F-0DEB-4F49-98D9-AE4A16315EDF}">
      <tableStyleElement type="wholeTable" dxfId="81"/>
      <tableStyleElement type="headerRow" dxfId="80"/>
    </tableStyle>
  </tableStyles>
  <extLst>
    <ext xmlns:x14="http://schemas.microsoft.com/office/spreadsheetml/2009/9/main" uri="{46F421CA-312F-682f-3DD2-61675219B42D}">
      <x14:dxfs count="4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Light1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4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9" tint="0.39997558519241921"/>
              <bgColor theme="9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9" tint="0.59999389629810485"/>
              </stop>
              <stop position="1">
                <color theme="9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9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6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5" Type="http://schemas.microsoft.com/office/2006/relationships/vbaProject" Target="vbaProject.bin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295275</xdr:colOff>
      <xdr:row>0</xdr:row>
      <xdr:rowOff>114300</xdr:rowOff>
    </xdr:from>
    <xdr:to>
      <xdr:col>13</xdr:col>
      <xdr:colOff>446474</xdr:colOff>
      <xdr:row>2</xdr:row>
      <xdr:rowOff>220422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6325" y="114300"/>
          <a:ext cx="792549" cy="883997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330201</xdr:colOff>
      <xdr:row>0</xdr:row>
      <xdr:rowOff>19051</xdr:rowOff>
    </xdr:from>
    <xdr:to>
      <xdr:col>1</xdr:col>
      <xdr:colOff>1104901</xdr:colOff>
      <xdr:row>3</xdr:row>
      <xdr:rowOff>130658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376" y="19051"/>
          <a:ext cx="774700" cy="12641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165100</xdr:colOff>
          <xdr:row>1</xdr:row>
          <xdr:rowOff>95250</xdr:rowOff>
        </xdr:from>
        <xdr:to>
          <xdr:col>16</xdr:col>
          <xdr:colOff>590550</xdr:colOff>
          <xdr:row>2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Notice as PDF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" xr16:uid="{62A6B21E-3379-42D4-BA47-4B96E84A3930}" autoFormatId="16" applyNumberFormats="0" applyBorderFormats="0" applyFontFormats="0" applyPatternFormats="0" applyAlignmentFormats="0" applyWidthHeightFormats="0">
  <queryTableRefresh nextId="186" unboundColumnsRight="10">
    <queryTableFields count="66">
      <queryTableField id="58" name="Request ID" tableColumnId="54"/>
      <queryTableField id="59" name="Site ID" tableColumnId="55"/>
      <queryTableField id="3" name="Legacy" tableColumnId="3"/>
      <queryTableField id="41" name="Region" tableColumnId="41"/>
      <queryTableField id="60" name="tenant id" tableColumnId="56"/>
      <queryTableField id="5" name="Operator" tableColumnId="5"/>
      <queryTableField id="137" name="Tenant Category" tableColumnId="1"/>
      <queryTableField id="138" name="Tenant Status" tableColumnId="2"/>
      <queryTableField id="139" name="Scope" tableColumnId="4"/>
      <queryTableField id="61" name="Colo Rev" tableColumnId="57"/>
      <queryTableField id="62" name="Request Date" tableColumnId="58"/>
      <queryTableField id="140" name="Average Power Requested" tableColumnId="6"/>
      <queryTableField id="141" name="Peak Power Requested" tableColumnId="7"/>
      <queryTableField id="63" name="Capacity Requested" tableColumnId="59"/>
      <queryTableField id="64" name="Capacity Model" tableColumnId="60"/>
      <queryTableField id="147" name="Lower Space Requested" tableColumnId="8"/>
      <queryTableField id="148" name="Upper Space Requested" tableColumnId="9"/>
      <queryTableField id="149" name="Prevalidation Status" tableColumnId="10"/>
      <queryTableField id="67" name="General Remark" tableColumnId="63"/>
      <queryTableField id="68" name="LandLord" tableColumnId="64"/>
      <queryTableField id="69" name="LandLord Remarks" tableColumnId="65"/>
      <queryTableField id="83" name="Community" tableColumnId="79"/>
      <queryTableField id="84" name="Community Remarks" tableColumnId="80"/>
      <queryTableField id="70" name="Tower Space" tableColumnId="66"/>
      <queryTableField id="71" name="Tower Space Remarks" tableColumnId="67"/>
      <queryTableField id="72" name="Structural" tableColumnId="68"/>
      <queryTableField id="175" name="Tower Strengthening" tableColumnId="22"/>
      <queryTableField id="176" name="Foundation Retrofit" tableColumnId="23"/>
      <queryTableField id="73" name="Tower Extension" tableColumnId="69"/>
      <queryTableField id="74" name="Structural Remarks" tableColumnId="70"/>
      <queryTableField id="78" name="Power" tableColumnId="74"/>
      <queryTableField id="81" name="Power Forecast" tableColumnId="77"/>
      <queryTableField id="79" name="Power Average" tableColumnId="75"/>
      <queryTableField id="80" name="Power Peak" tableColumnId="76"/>
      <queryTableField id="82" name="Power Remarks" tableColumnId="78"/>
      <queryTableField id="75" name="Ground Space" tableColumnId="71"/>
      <queryTableField id="76" name="Slab Extension Needed" tableColumnId="72"/>
      <queryTableField id="77" name="Ground Space Remarks" tableColumnId="73"/>
      <queryTableField id="85" name="RM Review" tableColumnId="81"/>
      <queryTableField id="86" name="RM Remarks" tableColumnId="82"/>
      <queryTableField id="88" name="PM Review" tableColumnId="84"/>
      <queryTableField id="87" name="PM Forecast" tableColumnId="83"/>
      <queryTableField id="89" name="PM Remarks" tableColumnId="85"/>
      <queryTableField id="127" name="AM Review" tableColumnId="89"/>
      <queryTableField id="128" name="AM Remarks" tableColumnId="90"/>
      <queryTableField id="129" name="Tower Space Time" tableColumnId="91"/>
      <queryTableField id="130" name="Power Time" tableColumnId="92"/>
      <queryTableField id="131" name="Structural Time" tableColumnId="93"/>
      <queryTableField id="132" name="CW Time" tableColumnId="94"/>
      <queryTableField id="133" name="LandLord Time" tableColumnId="95"/>
      <queryTableField id="134" name="Community Time" tableColumnId="96"/>
      <queryTableField id="170" name="Close Date" tableColumnId="20"/>
      <queryTableField id="182" name="Tower_Type" tableColumnId="24"/>
      <queryTableField id="183" name="Wind_Speed" tableColumnId="25"/>
      <queryTableField id="184" name="Tower_Height" tableColumnId="26"/>
      <queryTableField id="185" name="02tower_info_id" tableColumnId="27"/>
      <queryTableField id="160" dataBound="0" tableColumnId="11"/>
      <queryTableField id="169" dataBound="0" tableColumnId="21"/>
      <queryTableField id="161" dataBound="0" tableColumnId="12"/>
      <queryTableField id="162" dataBound="0" tableColumnId="13"/>
      <queryTableField id="163" dataBound="0" tableColumnId="14"/>
      <queryTableField id="164" dataBound="0" tableColumnId="15"/>
      <queryTableField id="165" dataBound="0" tableColumnId="16"/>
      <queryTableField id="166" dataBound="0" tableColumnId="17"/>
      <queryTableField id="167" dataBound="0" tableColumnId="18"/>
      <queryTableField id="168" dataBound="0" tableColumnId="1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D0C19F5-D592-478F-8EDC-C3600D490CB9}" autoFormatId="16" applyNumberFormats="0" applyBorderFormats="0" applyFontFormats="0" applyPatternFormats="0" applyAlignmentFormats="0" applyWidthHeightFormats="0">
  <queryTableRefresh nextId="12">
    <queryTableFields count="4">
      <queryTableField id="3" name="01site_id" tableColumnId="3"/>
      <queryTableField id="2" name="tenant_id" tableColumnId="2"/>
      <queryTableField id="4" name="Operator" tableColumnId="4"/>
      <queryTableField id="10" name="Anchor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194A30-2FF4-4103-808A-851E2E23C22F}" name="_05preva_view43" displayName="_05preva_view43" ref="A15:BN422" tableType="queryTable" totalsRowShown="0" headerRowDxfId="79" dataDxfId="77" headerRowBorderDxfId="78" tableBorderDxfId="76" totalsRowBorderDxfId="75">
  <autoFilter ref="A15:BN422" xr:uid="{70CBA71C-3365-4A47-B443-03D3AAF30D7E}"/>
  <tableColumns count="66">
    <tableColumn id="54" xr3:uid="{62A2B9C1-3922-4BED-A409-972861C6BF2D}" uniqueName="54" name="Request ID" queryTableFieldId="58" dataDxfId="62"/>
    <tableColumn id="55" xr3:uid="{B8B9E131-829C-41EA-80B9-7824C28B0069}" uniqueName="55" name="Site ID" queryTableFieldId="59" dataDxfId="61"/>
    <tableColumn id="3" xr3:uid="{22B8728B-0A35-402A-8D5F-0DA0665ADA3D}" uniqueName="3" name="Legacy" queryTableFieldId="3" dataDxfId="60"/>
    <tableColumn id="41" xr3:uid="{543424FC-C036-4C46-B765-F9DE2FAF4527}" uniqueName="41" name="Region" queryTableFieldId="41" dataDxfId="59"/>
    <tableColumn id="56" xr3:uid="{6641A20C-AA99-4156-82C8-B5457C0E6398}" uniqueName="56" name="tenant id" queryTableFieldId="60" dataDxfId="58"/>
    <tableColumn id="5" xr3:uid="{BA91B3B5-96E2-4352-B7F6-C233BD4E40D6}" uniqueName="5" name="Operator" queryTableFieldId="5" dataDxfId="57"/>
    <tableColumn id="1" xr3:uid="{C104C8DD-45A0-40E3-B550-5E0ABD926F9F}" uniqueName="1" name="Tenant Category" queryTableFieldId="137" dataDxfId="56"/>
    <tableColumn id="2" xr3:uid="{B5D38774-272D-4DC4-82FF-815C954E666A}" uniqueName="2" name="Tenant Status" queryTableFieldId="138" dataDxfId="55"/>
    <tableColumn id="4" xr3:uid="{4361FAA3-DB30-47DB-AB01-15514B15AEA7}" uniqueName="4" name="Scope" queryTableFieldId="139" dataDxfId="54"/>
    <tableColumn id="57" xr3:uid="{52E3523B-9B03-4AE3-8B89-7EAA7AB2DEC1}" uniqueName="57" name="Colo Rev" queryTableFieldId="61" dataDxfId="53"/>
    <tableColumn id="58" xr3:uid="{5EF073EE-125D-4B3B-8C05-EC0014906759}" uniqueName="58" name="Request Date" queryTableFieldId="62" dataDxfId="52"/>
    <tableColumn id="6" xr3:uid="{6DA0110C-FA68-4920-92E6-EF809DF55DAC}" uniqueName="6" name="Average Power Requested" queryTableFieldId="140" dataDxfId="51"/>
    <tableColumn id="7" xr3:uid="{D64778D4-26C2-4676-BF0F-25DF82985C27}" uniqueName="7" name="Peak Power Requested" queryTableFieldId="141" dataDxfId="50"/>
    <tableColumn id="59" xr3:uid="{CD47B2EB-57FE-4890-8264-6955E009862B}" uniqueName="59" name="Capacity Requested" queryTableFieldId="63" dataDxfId="49"/>
    <tableColumn id="60" xr3:uid="{174B9820-CFBE-45DF-AB85-412C68BEC4B6}" uniqueName="60" name="Capacity Model" queryTableFieldId="64" dataDxfId="48"/>
    <tableColumn id="8" xr3:uid="{32259D7F-4F2D-460E-BE53-ED542E2BD206}" uniqueName="8" name="Lower Space Requested" queryTableFieldId="147" dataDxfId="47"/>
    <tableColumn id="9" xr3:uid="{3B2A378A-CAD1-4E74-A585-4CCB5E1197CE}" uniqueName="9" name="Upper Space Requested" queryTableFieldId="148" dataDxfId="46"/>
    <tableColumn id="10" xr3:uid="{49875419-6610-47D2-BD2C-DC26ABFEFF86}" uniqueName="10" name="Prevalidation Status" queryTableFieldId="149" dataDxfId="45"/>
    <tableColumn id="63" xr3:uid="{2D396A95-525A-4D40-99DB-EBC76DEA746B}" uniqueName="63" name="General Remark" queryTableFieldId="67" dataDxfId="44"/>
    <tableColumn id="64" xr3:uid="{AAE77C60-1D40-41D7-AA06-BF433F0D4075}" uniqueName="64" name="LandLord" queryTableFieldId="68" dataDxfId="43"/>
    <tableColumn id="65" xr3:uid="{D0C3DD2C-49B4-47D5-BC20-C9B0FA8455E2}" uniqueName="65" name="LandLord Remarks" queryTableFieldId="69" dataDxfId="42"/>
    <tableColumn id="79" xr3:uid="{2D518667-8BD0-4724-B1AA-DDF10052875A}" uniqueName="79" name="Community" queryTableFieldId="83" dataDxfId="41"/>
    <tableColumn id="80" xr3:uid="{8468CD52-49AB-4F07-9663-B60ED03608B3}" uniqueName="80" name="Community Remarks" queryTableFieldId="84" dataDxfId="40"/>
    <tableColumn id="66" xr3:uid="{D9DDBBEA-8ABA-4EE4-9867-36DCEE1D7462}" uniqueName="66" name="Tower Space" queryTableFieldId="70" dataDxfId="39"/>
    <tableColumn id="67" xr3:uid="{83F25E90-AAAE-4188-B9A6-13B931E3A3A9}" uniqueName="67" name="Tower Space Remarks" queryTableFieldId="71" dataDxfId="38"/>
    <tableColumn id="68" xr3:uid="{713DF634-7898-4688-9D77-8B3820C1618B}" uniqueName="68" name="Structural" queryTableFieldId="72" dataDxfId="37"/>
    <tableColumn id="22" xr3:uid="{45E9DAE5-4B95-4A85-B4BB-9D51B6C82862}" uniqueName="22" name="Tower Strengthening" queryTableFieldId="175" dataDxfId="36"/>
    <tableColumn id="23" xr3:uid="{418DEC3F-B998-461E-8BDF-35C94E5AFAA5}" uniqueName="23" name="Foundation Retrofit" queryTableFieldId="176" dataDxfId="35"/>
    <tableColumn id="69" xr3:uid="{1279078D-CD15-413E-B3CC-7AE7E90B0D56}" uniqueName="69" name="Tower Extension" queryTableFieldId="73" dataDxfId="34"/>
    <tableColumn id="70" xr3:uid="{BF5D19F5-D86B-4917-B6E4-00C6CE9D78F8}" uniqueName="70" name="Structural Remarks" queryTableFieldId="74" dataDxfId="33"/>
    <tableColumn id="74" xr3:uid="{B2FF5A31-C436-4E31-83C8-9AA09C3F30CF}" uniqueName="74" name="Power" queryTableFieldId="78" dataDxfId="32"/>
    <tableColumn id="77" xr3:uid="{7AC621D4-9EEA-4A1B-9583-DB876F889E62}" uniqueName="77" name="Power Forecast" queryTableFieldId="81" dataDxfId="31"/>
    <tableColumn id="75" xr3:uid="{9F2B8D84-212A-43E8-8DD2-EADBC8DA8780}" uniqueName="75" name="Power Average" queryTableFieldId="79" dataDxfId="30"/>
    <tableColumn id="76" xr3:uid="{07616BA6-EBD9-4471-A4E1-5ECFC56091FC}" uniqueName="76" name="Power Peak" queryTableFieldId="80" dataDxfId="29"/>
    <tableColumn id="78" xr3:uid="{A2F27213-63A5-4BDA-90BE-22C91C01EBCD}" uniqueName="78" name="Power Remarks" queryTableFieldId="82" dataDxfId="28"/>
    <tableColumn id="71" xr3:uid="{8A0B0B90-D80A-4F31-9D97-1D651E3948DF}" uniqueName="71" name="Ground Space" queryTableFieldId="75" dataDxfId="27"/>
    <tableColumn id="72" xr3:uid="{A8F5875F-0374-4CB5-A1BC-51382D045BA4}" uniqueName="72" name="Slab Extension Needed" queryTableFieldId="76" dataDxfId="26"/>
    <tableColumn id="73" xr3:uid="{7A0DEBF3-7286-44A3-BCA0-1DDE26426A79}" uniqueName="73" name="Ground Space Remarks" queryTableFieldId="77" dataDxfId="25"/>
    <tableColumn id="81" xr3:uid="{02C9A0BD-8025-46AA-9B10-CC816554F0D3}" uniqueName="81" name="RM Review" queryTableFieldId="85" dataDxfId="24"/>
    <tableColumn id="82" xr3:uid="{B0BFF7AA-76C2-4518-8225-D1726DF09FD8}" uniqueName="82" name="RM Remarks" queryTableFieldId="86" dataDxfId="23"/>
    <tableColumn id="84" xr3:uid="{58553CD6-9678-420B-8F6E-CB6E2AD53164}" uniqueName="84" name="PM Review" queryTableFieldId="88" dataDxfId="22"/>
    <tableColumn id="83" xr3:uid="{D883C152-46E5-4A07-B9A1-E886E5669501}" uniqueName="83" name="PM Forecast" queryTableFieldId="87" dataDxfId="21"/>
    <tableColumn id="85" xr3:uid="{9FD987B7-5A39-41E9-85EC-CA48E83ACAF8}" uniqueName="85" name="PM Remarks" queryTableFieldId="89" dataDxfId="20"/>
    <tableColumn id="89" xr3:uid="{54E40D0D-45AA-4D13-9E1F-274AC026DF20}" uniqueName="89" name="AM Review" queryTableFieldId="127" dataDxfId="19"/>
    <tableColumn id="90" xr3:uid="{EDF9B05A-449E-46B3-AF6A-E48478A264C6}" uniqueName="90" name="AM Remarks" queryTableFieldId="128" dataDxfId="18"/>
    <tableColumn id="91" xr3:uid="{452B98D4-79E6-4F6A-9B8D-31E4EB0795A1}" uniqueName="91" name="Tower Space Time" queryTableFieldId="129" dataDxfId="17"/>
    <tableColumn id="92" xr3:uid="{D12E1EFD-CB79-46D2-88BC-CA2F4EB3DEFB}" uniqueName="92" name="Power Time" queryTableFieldId="130" dataDxfId="16"/>
    <tableColumn id="93" xr3:uid="{3ECB135B-2850-495F-9149-40556F8B1164}" uniqueName="93" name="Structural Time" queryTableFieldId="131" dataDxfId="15"/>
    <tableColumn id="94" xr3:uid="{722C167F-1834-44FD-8063-E92C6375D25B}" uniqueName="94" name="CW Time" queryTableFieldId="132" dataDxfId="14"/>
    <tableColumn id="95" xr3:uid="{01408E78-E8EF-4C2D-AEB1-D26B09D77847}" uniqueName="95" name="LandLord Time" queryTableFieldId="133" dataDxfId="13"/>
    <tableColumn id="96" xr3:uid="{C548978D-1120-44BE-9DD1-35AFC72843C6}" uniqueName="96" name="Community Time" queryTableFieldId="134" dataDxfId="12"/>
    <tableColumn id="20" xr3:uid="{8B66D146-649D-44FF-84DA-291690033276}" uniqueName="20" name="Close Date" queryTableFieldId="170" dataDxfId="11"/>
    <tableColumn id="24" xr3:uid="{9C86C863-3CE2-439A-984C-E55F0AEEF033}" uniqueName="24" name="Tower_Type" queryTableFieldId="182" dataDxfId="10"/>
    <tableColumn id="25" xr3:uid="{FD065B8C-7A48-4725-9E77-9ED43B3C32D3}" uniqueName="25" name="Wind_Speed" queryTableFieldId="183"/>
    <tableColumn id="26" xr3:uid="{D9C550B7-7C66-46DE-96B4-41F2DA3F4849}" uniqueName="26" name="Tower_Height" queryTableFieldId="184"/>
    <tableColumn id="27" xr3:uid="{D5A1FB0C-1CBD-4FD3-BAE3-574ECED6AC26}" uniqueName="27" name="02tower_info_id" queryTableFieldId="185"/>
    <tableColumn id="11" xr3:uid="{1B145FC2-2CC3-4B5C-8544-6B6674F11278}" uniqueName="11" name="Prevalidation Leadtime" queryTableFieldId="160" dataDxfId="9">
      <calculatedColumnFormula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calculatedColumnFormula>
    </tableColumn>
    <tableColumn id="21" xr3:uid="{45D8CFC6-6E16-4843-AAE7-29F69506CF25}" uniqueName="21" name="Crossover" queryTableFieldId="169" dataDxfId="8">
      <calculatedColumnFormula>COUNTIFS(_05preva_view43[Site ID],_05preva_view43[[#This Row],[Site ID]],_05preva_view43[Prevalidation Status],"Under Prevalidation")</calculatedColumnFormula>
    </tableColumn>
    <tableColumn id="12" xr3:uid="{99853FA3-4503-45C9-8BF5-E0F1C6AF8B39}" uniqueName="12" name="Colo Application" queryTableFieldId="161" dataDxfId="7" dataCellStyle="Hyperlink">
      <calculatedColumnFormula>HYPERLINK(CheckPath(_05preva_view43[[#This Row],[File Path]],_05preva_view43[[#This Row],[File Path]],_05preva_view43[[#This Row],[Folder Path3]]),CheckPath(_05preva_view43[[#This Row],[File Path]],"Open File","No File"))</calculatedColumnFormula>
    </tableColumn>
    <tableColumn id="13" xr3:uid="{5F164BD8-57B0-4F3F-8703-6450633C10CC}" uniqueName="13" name="File Name" queryTableFieldId="162" dataDxfId="6">
      <calculatedColumnFormula>CONCATENATE(_05preva_view43[[#This Row],[Site ID]]," (",_05preva_view43[[#This Row],[tenant id]],") Application",IF(_05preva_view43[[#This Row],[Colo Rev]]&gt;0," Rev "&amp;_05preva_view43[[#This Row],[Colo Rev]],""),".xlsx")</calculatedColumnFormula>
    </tableColumn>
    <tableColumn id="14" xr3:uid="{364E0454-9E3E-44D7-A8C5-7F23F9C634C1}" uniqueName="14" name="Find Process &amp; Database" queryTableFieldId="163" dataDxfId="5">
      <calculatedColumnFormula>FIND("Process &amp; Database\",CELL("filename",$A$1))</calculatedColumnFormula>
    </tableColumn>
    <tableColumn id="15" xr3:uid="{F565D522-84F9-4977-86FF-25BD94E74030}" uniqueName="15" name="Folder Path1" queryTableFieldId="164" dataDxfId="4">
      <calculatedColumnFormula>LEFT(CELL("filename",A1),_05preva_view43[[#This Row],[Find Process &amp; Database]]-1)</calculatedColumnFormula>
    </tableColumn>
    <tableColumn id="16" xr3:uid="{6F3D65C8-422A-448B-96CB-D42CFAFEDCA3}" uniqueName="16" name="Folder Path2" queryTableFieldId="165" dataDxfId="3">
      <calculatedColumnFormula>_05preva_view43[Folder Path1]&amp;"Process &amp; Database\Documentation\Colo Applications"</calculatedColumnFormula>
    </tableColumn>
    <tableColumn id="17" xr3:uid="{AB897926-5ABE-4114-AB76-A575C3B326CB}" uniqueName="17" name="Folder Path3" queryTableFieldId="166" dataDxfId="2">
      <calculatedColumnFormula>_05preva_view43[Folder Path2]&amp;"\Colo App "&amp;_05preva_view43[[#This Row],[Operator]]&amp;"\"</calculatedColumnFormula>
    </tableColumn>
    <tableColumn id="18" xr3:uid="{53516091-646C-4EB3-8B33-DF067DA72DE1}" uniqueName="18" name="File Path" queryTableFieldId="167" dataDxfId="1">
      <calculatedColumnFormula>_05preva_view43[[#This Row],[Folder Path3]]&amp;_05preva_view43[[#This Row],[File Name]]</calculatedColumnFormula>
    </tableColumn>
    <tableColumn id="19" xr3:uid="{DA1B9A28-E32F-49C9-B32D-3129CB72644A}" uniqueName="19" name="Count Validated" queryTableFieldId="168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80F19C-9625-4784-96A8-5ADF753F603D}" name="Anchor_Tenant" displayName="Anchor_Tenant" ref="A1:D3096" tableType="queryTable" totalsRowShown="0">
  <autoFilter ref="A1:D3096" xr:uid="{2B37F678-3DF7-45F6-9C56-2FB100A2035E}"/>
  <tableColumns count="4">
    <tableColumn id="3" xr3:uid="{82A237EA-57C0-4B47-937C-77BF82EFEC82}" uniqueName="3" name="01site_id" queryTableFieldId="3" dataDxfId="74"/>
    <tableColumn id="2" xr3:uid="{EA34D2ED-616F-4E2B-8C07-608211EA9D5F}" uniqueName="2" name="tenant_id" queryTableFieldId="2" dataDxfId="73"/>
    <tableColumn id="4" xr3:uid="{114FBC57-77AE-4A74-AD33-9CF3A528C810}" uniqueName="4" name="Operator" queryTableFieldId="4" dataDxfId="72"/>
    <tableColumn id="10" xr3:uid="{F709AE10-5A56-47FE-BEE1-4C2487EF9C3C}" uniqueName="10" name="Anchor" queryTableFieldId="10" dataDxfId="7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5D3BD-A6A7-48A0-83A7-7B884A0F6C83}">
  <sheetPr codeName="Sheet2">
    <tabColor theme="8" tint="0.39997558519241921"/>
    <pageSetUpPr fitToPage="1"/>
  </sheetPr>
  <dimension ref="A1:XFD64"/>
  <sheetViews>
    <sheetView showGridLines="0" showRowColHeaders="0" tabSelected="1" zoomScale="90" zoomScaleNormal="90" workbookViewId="0">
      <selection activeCell="D6" sqref="D6:D7"/>
    </sheetView>
  </sheetViews>
  <sheetFormatPr defaultColWidth="0" defaultRowHeight="14.5" customHeight="1" zeroHeight="1"/>
  <cols>
    <col min="1" max="1" width="9.1796875" style="124" customWidth="1"/>
    <col min="2" max="2" width="19.7265625" style="124" customWidth="1"/>
    <col min="3" max="16" width="9.1796875" style="124" customWidth="1"/>
    <col min="17" max="17" width="10.1796875" style="124" customWidth="1"/>
    <col min="18" max="18" width="23.7265625" style="133" hidden="1" customWidth="1"/>
    <col min="19" max="20" width="13.81640625" style="133" hidden="1" customWidth="1"/>
    <col min="21" max="21" width="9.1796875" style="124" customWidth="1"/>
    <col min="22" max="16384" width="9.1796875" style="124" hidden="1"/>
  </cols>
  <sheetData>
    <row r="1" spans="2:20" ht="35" customHeight="1">
      <c r="R1" s="134"/>
      <c r="S1" s="134"/>
      <c r="T1" s="134"/>
    </row>
    <row r="2" spans="2:20" ht="26">
      <c r="B2" s="243" t="s">
        <v>1766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R2" s="134"/>
      <c r="S2" s="134"/>
      <c r="T2" s="134"/>
    </row>
    <row r="3" spans="2:20" ht="29" customHeight="1">
      <c r="R3" s="136" t="s">
        <v>1765</v>
      </c>
      <c r="S3" s="137" t="s">
        <v>1768</v>
      </c>
      <c r="T3" s="138" t="s">
        <v>1769</v>
      </c>
    </row>
    <row r="4" spans="2:20" ht="14.5" customHeight="1">
      <c r="R4" s="139" t="s">
        <v>39</v>
      </c>
      <c r="S4" s="140">
        <f>MATCH(R4,Validation!$15:$15,0)</f>
        <v>2</v>
      </c>
      <c r="T4" s="141" t="str">
        <f>VLOOKUP(ColoID,_05preva_view43[],'Handover Notice'!S4,FALSE)</f>
        <v>1-01-16011-001</v>
      </c>
    </row>
    <row r="5" spans="2:20" ht="14.5" customHeight="1">
      <c r="D5" s="132"/>
      <c r="E5" s="132"/>
      <c r="R5" s="139" t="s">
        <v>36</v>
      </c>
      <c r="S5" s="140">
        <f>MATCH(R5,Validation!$15:$15,0)</f>
        <v>3</v>
      </c>
      <c r="T5" s="141" t="str">
        <f>VLOOKUP(ColoID,_05preva_view43[],'Handover Notice'!S5,FALSE)</f>
        <v>Pan Asia</v>
      </c>
    </row>
    <row r="6" spans="2:20" ht="14.5" customHeight="1">
      <c r="B6" s="257" t="s">
        <v>8</v>
      </c>
      <c r="C6" s="244" t="s">
        <v>1767</v>
      </c>
      <c r="D6" s="246">
        <v>3677</v>
      </c>
      <c r="E6" s="152"/>
      <c r="I6" s="132"/>
      <c r="M6" s="280" t="s">
        <v>1756</v>
      </c>
      <c r="N6" s="280"/>
      <c r="R6" s="139" t="s">
        <v>101</v>
      </c>
      <c r="S6" s="140">
        <f>MATCH(R6,Validation!$15:$15,0)</f>
        <v>4</v>
      </c>
      <c r="T6" s="141" t="str">
        <f>VLOOKUP(ColoID,_05preva_view43[],'Handover Notice'!S6,FALSE)</f>
        <v>Central</v>
      </c>
    </row>
    <row r="7" spans="2:20" ht="18.5">
      <c r="B7" s="258"/>
      <c r="C7" s="245"/>
      <c r="D7" s="247"/>
      <c r="E7" s="152"/>
      <c r="I7" s="132"/>
      <c r="M7" s="296">
        <f ca="1">TODAY()</f>
        <v>43497</v>
      </c>
      <c r="N7" s="296"/>
      <c r="R7" s="139" t="s">
        <v>102</v>
      </c>
      <c r="S7" s="140">
        <f>MATCH(R7,Validation!$15:$15,0)</f>
        <v>5</v>
      </c>
      <c r="T7" s="141" t="str">
        <f>VLOOKUP(ColoID,_05preva_view43[],'Handover Notice'!S7,FALSE)</f>
        <v>SH1131</v>
      </c>
    </row>
    <row r="8" spans="2:20" ht="18.5">
      <c r="B8" s="51"/>
      <c r="C8" s="202"/>
      <c r="D8" s="225"/>
      <c r="E8" s="203"/>
      <c r="G8" s="199"/>
      <c r="H8" s="199"/>
      <c r="J8" s="199"/>
      <c r="K8" s="199"/>
      <c r="R8" s="139" t="s">
        <v>0</v>
      </c>
      <c r="S8" s="140">
        <f>MATCH(R8,Validation!$15:$15,0)</f>
        <v>6</v>
      </c>
      <c r="T8" s="141" t="str">
        <f>VLOOKUP(ColoID,_05preva_view43[],'Handover Notice'!S8,FALSE)</f>
        <v>Telenor</v>
      </c>
    </row>
    <row r="9" spans="2:20">
      <c r="B9" s="210" t="s">
        <v>39</v>
      </c>
      <c r="C9" s="303" t="s">
        <v>7696</v>
      </c>
      <c r="D9" s="304"/>
      <c r="E9" s="305" t="s">
        <v>101</v>
      </c>
      <c r="F9" s="306"/>
      <c r="G9" s="307" t="s">
        <v>78</v>
      </c>
      <c r="H9" s="308"/>
      <c r="M9" s="297" t="s">
        <v>1778</v>
      </c>
      <c r="N9" s="298"/>
      <c r="R9" s="139" t="s">
        <v>77</v>
      </c>
      <c r="S9" s="140">
        <f>MATCH(R9,Validation!$15:$15,0)</f>
        <v>7</v>
      </c>
      <c r="T9" s="141" t="str">
        <f>VLOOKUP(ColoID,_05preva_view43[],'Handover Notice'!S9,FALSE)</f>
        <v>TML Phase 1 Colo</v>
      </c>
    </row>
    <row r="10" spans="2:20">
      <c r="B10" s="211" t="str">
        <f>VLOOKUP($D$6,_05preva_view43[],'Handover Notice'!S4,FALSE)</f>
        <v>1-01-16011-001</v>
      </c>
      <c r="C10" s="309" t="str">
        <f>VLOOKUP($D$6,_05preva_view43[],'Handover Notice'!S5,FALSE)</f>
        <v>Pan Asia</v>
      </c>
      <c r="D10" s="310"/>
      <c r="E10" s="301" t="str">
        <f>T6</f>
        <v>Central</v>
      </c>
      <c r="F10" s="302"/>
      <c r="G10" s="301" t="str">
        <f>T10</f>
        <v>On Air</v>
      </c>
      <c r="H10" s="302"/>
      <c r="M10" s="299" t="str">
        <f>IFERROR(VLOOKUP($B$10,Anchor_Tenant[],2,FALSE),"")</f>
        <v>SHW1167</v>
      </c>
      <c r="N10" s="300"/>
      <c r="R10" s="139" t="s">
        <v>78</v>
      </c>
      <c r="S10" s="140">
        <f>MATCH(R10,Validation!$15:$15,0)</f>
        <v>8</v>
      </c>
      <c r="T10" s="141" t="str">
        <f>VLOOKUP(ColoID,_05preva_view43[],'Handover Notice'!S10,FALSE)</f>
        <v>On Air</v>
      </c>
    </row>
    <row r="11" spans="2:20">
      <c r="B11" s="198"/>
      <c r="I11" s="198"/>
      <c r="J11" s="198"/>
      <c r="K11" s="135"/>
      <c r="L11" s="131"/>
      <c r="M11" s="301" t="str">
        <f>IFERROR(VLOOKUP($B$10,Anchor_Tenant[],3,FALSE),"")</f>
        <v>OML</v>
      </c>
      <c r="N11" s="302"/>
      <c r="R11" s="139" t="s">
        <v>99</v>
      </c>
      <c r="S11" s="140">
        <f>MATCH(R11,Validation!$15:$15,0)</f>
        <v>9</v>
      </c>
      <c r="T11" s="141" t="str">
        <f>VLOOKUP(ColoID,_05preva_view43[],'Handover Notice'!S11,FALSE)</f>
        <v>Other</v>
      </c>
    </row>
    <row r="12" spans="2:20">
      <c r="B12" s="212" t="s">
        <v>0</v>
      </c>
      <c r="C12" s="307" t="s">
        <v>1758</v>
      </c>
      <c r="D12" s="308"/>
      <c r="E12" s="307" t="s">
        <v>77</v>
      </c>
      <c r="F12" s="308"/>
      <c r="M12" s="131"/>
      <c r="N12" s="131"/>
      <c r="R12" s="139" t="s">
        <v>79</v>
      </c>
      <c r="S12" s="140">
        <f>MATCH(R12,Validation!$15:$15,0)</f>
        <v>10</v>
      </c>
      <c r="T12" s="141" t="str">
        <f>VLOOKUP(ColoID,_05preva_view43[],'Handover Notice'!S12,FALSE)</f>
        <v>2</v>
      </c>
    </row>
    <row r="13" spans="2:20">
      <c r="B13" s="213" t="str">
        <f>T8</f>
        <v>Telenor</v>
      </c>
      <c r="C13" s="312" t="str">
        <f>T7</f>
        <v>SH1131</v>
      </c>
      <c r="D13" s="313"/>
      <c r="E13" s="309" t="str">
        <f>T9</f>
        <v>TML Phase 1 Colo</v>
      </c>
      <c r="F13" s="310"/>
      <c r="M13" s="135"/>
      <c r="N13" s="131"/>
      <c r="R13" s="139" t="s">
        <v>3</v>
      </c>
      <c r="S13" s="140">
        <f>MATCH(R13,Validation!$15:$15,0)</f>
        <v>11</v>
      </c>
      <c r="T13" s="141">
        <f>VLOOKUP(ColoID,_05preva_view43[],'Handover Notice'!S13,FALSE)</f>
        <v>43494</v>
      </c>
    </row>
    <row r="14" spans="2:20">
      <c r="B14" s="200"/>
      <c r="C14" s="200"/>
      <c r="D14" s="200"/>
      <c r="E14" s="201"/>
      <c r="F14" s="201"/>
      <c r="M14" s="135"/>
      <c r="N14" s="131"/>
      <c r="O14" s="132"/>
      <c r="P14" s="132"/>
      <c r="Q14" s="132"/>
      <c r="R14" s="139" t="s">
        <v>92</v>
      </c>
      <c r="S14" s="140">
        <f>MATCH(R14,Validation!$15:$15,0)</f>
        <v>12</v>
      </c>
      <c r="T14" s="141">
        <f>VLOOKUP(ColoID,_05preva_view43[],'Handover Notice'!S14,FALSE)</f>
        <v>0</v>
      </c>
    </row>
    <row r="15" spans="2:20">
      <c r="B15" s="200"/>
      <c r="D15" s="200"/>
      <c r="E15" s="200"/>
      <c r="G15" s="201"/>
      <c r="H15" s="201"/>
      <c r="M15" s="135"/>
      <c r="N15" s="131"/>
      <c r="R15" s="139"/>
      <c r="S15" s="140"/>
      <c r="T15" s="141" t="e">
        <f>VLOOKUP(ColoID,_05preva_view43[],'Handover Notice'!S15,FALSE)</f>
        <v>#VALUE!</v>
      </c>
    </row>
    <row r="16" spans="2:20" ht="18.5">
      <c r="B16" s="191" t="s">
        <v>1757</v>
      </c>
      <c r="C16" s="182"/>
      <c r="D16" s="182"/>
      <c r="E16" s="183"/>
      <c r="F16" s="183"/>
      <c r="G16" s="184"/>
      <c r="H16" s="184"/>
      <c r="I16" s="185"/>
      <c r="J16" s="183"/>
      <c r="K16" s="184"/>
      <c r="L16" s="184"/>
      <c r="M16" s="186"/>
      <c r="N16" s="187"/>
      <c r="R16" s="139" t="s">
        <v>93</v>
      </c>
      <c r="S16" s="140">
        <f>MATCH(R16,Validation!$15:$15,0)</f>
        <v>13</v>
      </c>
      <c r="T16" s="141">
        <f>VLOOKUP(ColoID,_05preva_view43[],'Handover Notice'!S16,FALSE)</f>
        <v>0</v>
      </c>
    </row>
    <row r="17" spans="1:16384">
      <c r="B17" s="204" t="s">
        <v>1763</v>
      </c>
      <c r="C17" s="256" t="s">
        <v>1760</v>
      </c>
      <c r="D17" s="256"/>
      <c r="E17" s="256" t="s">
        <v>49</v>
      </c>
      <c r="F17" s="256"/>
      <c r="G17" s="256" t="s">
        <v>1761</v>
      </c>
      <c r="H17" s="256"/>
      <c r="I17" s="256" t="s">
        <v>1764</v>
      </c>
      <c r="J17" s="256"/>
      <c r="K17" s="254" t="s">
        <v>99</v>
      </c>
      <c r="L17" s="255"/>
      <c r="M17" s="293" t="s">
        <v>1759</v>
      </c>
      <c r="N17" s="255"/>
      <c r="R17" s="139" t="s">
        <v>49</v>
      </c>
      <c r="S17" s="140">
        <f>MATCH(R17,Validation!$15:$15,0)</f>
        <v>14</v>
      </c>
      <c r="T17" s="141">
        <f>VLOOKUP(ColoID,_05preva_view43[],'Handover Notice'!S17,FALSE)</f>
        <v>0</v>
      </c>
    </row>
    <row r="18" spans="1:16384">
      <c r="B18" s="205">
        <f>_xlfn.NUMBERVALUE(T19)</f>
        <v>42.5</v>
      </c>
      <c r="C18" s="311">
        <f>_xlfn.NUMBERVALUE(T20)</f>
        <v>47.5</v>
      </c>
      <c r="D18" s="311"/>
      <c r="E18" s="209">
        <f>T17</f>
        <v>0</v>
      </c>
      <c r="F18" s="207" t="str">
        <f>T18</f>
        <v>SQM</v>
      </c>
      <c r="G18" s="209">
        <f>T14</f>
        <v>0</v>
      </c>
      <c r="H18" s="207" t="s">
        <v>1762</v>
      </c>
      <c r="I18" s="208">
        <f>T16</f>
        <v>0</v>
      </c>
      <c r="J18" s="206" t="s">
        <v>1762</v>
      </c>
      <c r="K18" s="281" t="str">
        <f>T11</f>
        <v>Other</v>
      </c>
      <c r="L18" s="282"/>
      <c r="M18" s="294" t="str">
        <f>T12</f>
        <v>2</v>
      </c>
      <c r="N18" s="282"/>
      <c r="R18" s="139" t="s">
        <v>50</v>
      </c>
      <c r="S18" s="140">
        <f>MATCH(R18,Validation!$15:$15,0)</f>
        <v>15</v>
      </c>
      <c r="T18" s="141" t="str">
        <f>VLOOKUP(ColoID,_05preva_view43[],'Handover Notice'!S18,FALSE)</f>
        <v>SQM</v>
      </c>
    </row>
    <row r="19" spans="1:16384">
      <c r="B19" s="160"/>
      <c r="C19" s="132"/>
      <c r="D19" s="132"/>
      <c r="G19" s="132"/>
      <c r="H19" s="132"/>
      <c r="I19" s="132"/>
      <c r="J19" s="132"/>
      <c r="K19" s="130"/>
      <c r="L19" s="132"/>
      <c r="M19" s="132"/>
      <c r="N19" s="153"/>
      <c r="R19" s="139" t="s">
        <v>30</v>
      </c>
      <c r="S19" s="140">
        <f>MATCH(R19,Validation!$15:$15,0)</f>
        <v>16</v>
      </c>
      <c r="T19" s="141" t="str">
        <f>VLOOKUP(ColoID,_05preva_view43[],'Handover Notice'!S19,FALSE)</f>
        <v>42.5</v>
      </c>
    </row>
    <row r="20" spans="1:16384" ht="18.5">
      <c r="B20" s="196" t="s">
        <v>1771</v>
      </c>
      <c r="C20" s="156"/>
      <c r="D20" s="156"/>
      <c r="E20" s="144"/>
      <c r="F20" s="144"/>
      <c r="G20" s="157"/>
      <c r="H20" s="157"/>
      <c r="I20" s="145"/>
      <c r="J20" s="144"/>
      <c r="K20" s="157"/>
      <c r="L20" s="157"/>
      <c r="M20" s="146"/>
      <c r="N20" s="147"/>
      <c r="R20" s="139" t="s">
        <v>31</v>
      </c>
      <c r="S20" s="140">
        <f>MATCH(R20,Validation!$15:$15,0)</f>
        <v>17</v>
      </c>
      <c r="T20" s="141" t="str">
        <f>VLOOKUP(ColoID,_05preva_view43[],'Handover Notice'!S20,FALSE)</f>
        <v>47.5</v>
      </c>
    </row>
    <row r="21" spans="1:16384" ht="21" customHeight="1">
      <c r="B21" s="259" t="str">
        <f>T25</f>
        <v>Not Required</v>
      </c>
      <c r="C21" s="262" t="str">
        <f>IF(T26&gt;0,T26,"")</f>
        <v/>
      </c>
      <c r="D21" s="263"/>
      <c r="E21" s="263"/>
      <c r="F21" s="263"/>
      <c r="G21" s="263"/>
      <c r="H21" s="263"/>
      <c r="I21" s="263"/>
      <c r="J21" s="263"/>
      <c r="K21" s="263"/>
      <c r="L21" s="263"/>
      <c r="M21" s="263"/>
      <c r="N21" s="264"/>
      <c r="R21" s="142" t="s">
        <v>53</v>
      </c>
      <c r="S21" s="143">
        <f>MATCH(R21,Validation!$15:$15,0)</f>
        <v>20</v>
      </c>
      <c r="T21" s="141" t="str">
        <f>VLOOKUP(ColoID,_05preva_view43[],'Handover Notice'!S21,FALSE)</f>
        <v>Not Required</v>
      </c>
    </row>
    <row r="22" spans="1:16384" s="125" customFormat="1">
      <c r="A22" s="124"/>
      <c r="B22" s="260"/>
      <c r="C22" s="265"/>
      <c r="D22" s="266"/>
      <c r="E22" s="266"/>
      <c r="F22" s="266"/>
      <c r="G22" s="266"/>
      <c r="H22" s="266"/>
      <c r="I22" s="266"/>
      <c r="J22" s="266"/>
      <c r="K22" s="266"/>
      <c r="L22" s="266"/>
      <c r="M22" s="266"/>
      <c r="N22" s="267"/>
      <c r="O22" s="124"/>
      <c r="P22" s="124"/>
      <c r="Q22" s="124"/>
      <c r="R22" s="142" t="s">
        <v>54</v>
      </c>
      <c r="S22" s="143">
        <f>MATCH(R22,Validation!$15:$15,0)</f>
        <v>21</v>
      </c>
      <c r="T22" s="141">
        <f>VLOOKUP(ColoID,_05preva_view43[],'Handover Notice'!S22,FALSE)</f>
        <v>0</v>
      </c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4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4"/>
      <c r="GC22" s="124"/>
      <c r="GD22" s="124"/>
      <c r="GE22" s="124"/>
      <c r="GF22" s="124"/>
      <c r="GG22" s="124"/>
      <c r="GH22" s="124"/>
      <c r="GI22" s="124"/>
      <c r="GJ22" s="124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4"/>
      <c r="GV22" s="124"/>
      <c r="GW22" s="124"/>
      <c r="GX22" s="124"/>
      <c r="GY22" s="124"/>
      <c r="GZ22" s="124"/>
      <c r="HA22" s="124"/>
      <c r="HB22" s="124"/>
      <c r="HC22" s="124"/>
      <c r="HD22" s="124"/>
      <c r="HE22" s="124"/>
      <c r="HF22" s="124"/>
      <c r="HG22" s="124"/>
      <c r="HH22" s="124"/>
      <c r="HI22" s="124"/>
      <c r="HJ22" s="124"/>
      <c r="HK22" s="124"/>
      <c r="HL22" s="124"/>
      <c r="HM22" s="124"/>
      <c r="HN22" s="124"/>
      <c r="HO22" s="124"/>
      <c r="HP22" s="124"/>
      <c r="HQ22" s="124"/>
      <c r="HR22" s="124"/>
      <c r="HS22" s="124"/>
      <c r="HT22" s="124"/>
      <c r="HU22" s="124"/>
      <c r="HV22" s="124"/>
      <c r="HW22" s="124"/>
      <c r="HX22" s="124"/>
      <c r="HY22" s="124"/>
      <c r="HZ22" s="124"/>
      <c r="IA22" s="124"/>
      <c r="IB22" s="124"/>
      <c r="IC22" s="124"/>
      <c r="ID22" s="124"/>
      <c r="IE22" s="124"/>
      <c r="IF22" s="124"/>
      <c r="IG22" s="124"/>
      <c r="IH22" s="124"/>
      <c r="II22" s="124"/>
      <c r="IJ22" s="124"/>
      <c r="IK22" s="124"/>
      <c r="IL22" s="124"/>
      <c r="IM22" s="124"/>
      <c r="IN22" s="124"/>
      <c r="IO22" s="124"/>
      <c r="IP22" s="124"/>
      <c r="IQ22" s="124"/>
      <c r="IR22" s="124"/>
      <c r="IS22" s="124"/>
      <c r="IT22" s="124"/>
      <c r="IU22" s="124"/>
      <c r="IV22" s="124"/>
      <c r="IW22" s="124"/>
      <c r="IX22" s="124"/>
      <c r="IY22" s="124"/>
      <c r="IZ22" s="124"/>
      <c r="JA22" s="124"/>
      <c r="JB22" s="124"/>
      <c r="JC22" s="124"/>
      <c r="JD22" s="124"/>
      <c r="JE22" s="124"/>
      <c r="JF22" s="124"/>
      <c r="JG22" s="124"/>
      <c r="JH22" s="124"/>
      <c r="JI22" s="124"/>
      <c r="JJ22" s="124"/>
      <c r="JK22" s="124"/>
      <c r="JL22" s="124"/>
      <c r="JM22" s="124"/>
      <c r="JN22" s="124"/>
      <c r="JO22" s="124"/>
      <c r="JP22" s="124"/>
      <c r="JQ22" s="124"/>
      <c r="JR22" s="124"/>
      <c r="JS22" s="124"/>
      <c r="JT22" s="124"/>
      <c r="JU22" s="124"/>
      <c r="JV22" s="124"/>
      <c r="JW22" s="124"/>
      <c r="JX22" s="124"/>
      <c r="JY22" s="124"/>
      <c r="JZ22" s="124"/>
      <c r="KA22" s="124"/>
      <c r="KB22" s="124"/>
      <c r="KC22" s="124"/>
      <c r="KD22" s="124"/>
      <c r="KE22" s="124"/>
      <c r="KF22" s="124"/>
      <c r="KG22" s="124"/>
      <c r="KH22" s="124"/>
      <c r="KI22" s="124"/>
      <c r="KJ22" s="124"/>
      <c r="KK22" s="124"/>
      <c r="KL22" s="124"/>
      <c r="KM22" s="124"/>
      <c r="KN22" s="124"/>
      <c r="KO22" s="124"/>
      <c r="KP22" s="124"/>
      <c r="KQ22" s="124"/>
      <c r="KR22" s="124"/>
      <c r="KS22" s="124"/>
      <c r="KT22" s="124"/>
      <c r="KU22" s="124"/>
      <c r="KV22" s="124"/>
      <c r="KW22" s="124"/>
      <c r="KX22" s="124"/>
      <c r="KY22" s="124"/>
      <c r="KZ22" s="124"/>
      <c r="LA22" s="124"/>
      <c r="LB22" s="124"/>
      <c r="LC22" s="124"/>
      <c r="LD22" s="124"/>
      <c r="LE22" s="124"/>
      <c r="LF22" s="124"/>
      <c r="LG22" s="124"/>
      <c r="LH22" s="124"/>
      <c r="LI22" s="124"/>
      <c r="LJ22" s="124"/>
      <c r="LK22" s="124"/>
      <c r="LL22" s="124"/>
      <c r="LM22" s="124"/>
      <c r="LN22" s="124"/>
      <c r="LO22" s="124"/>
      <c r="LP22" s="124"/>
      <c r="LQ22" s="124"/>
      <c r="LR22" s="124"/>
      <c r="LS22" s="124"/>
      <c r="LT22" s="124"/>
      <c r="LU22" s="124"/>
      <c r="LV22" s="124"/>
      <c r="LW22" s="124"/>
      <c r="LX22" s="124"/>
      <c r="LY22" s="124"/>
      <c r="LZ22" s="124"/>
      <c r="MA22" s="124"/>
      <c r="MB22" s="124"/>
      <c r="MC22" s="124"/>
      <c r="MD22" s="124"/>
      <c r="ME22" s="124"/>
      <c r="MF22" s="124"/>
      <c r="MG22" s="124"/>
      <c r="MH22" s="124"/>
      <c r="MI22" s="124"/>
      <c r="MJ22" s="124"/>
      <c r="MK22" s="124"/>
      <c r="ML22" s="124"/>
      <c r="MM22" s="124"/>
      <c r="MN22" s="124"/>
      <c r="MO22" s="124"/>
      <c r="MP22" s="124"/>
      <c r="MQ22" s="124"/>
      <c r="MR22" s="124"/>
      <c r="MS22" s="124"/>
      <c r="MT22" s="124"/>
      <c r="MU22" s="124"/>
      <c r="MV22" s="124"/>
      <c r="MW22" s="124"/>
      <c r="MX22" s="124"/>
      <c r="MY22" s="124"/>
      <c r="MZ22" s="124"/>
      <c r="NA22" s="124"/>
      <c r="NB22" s="124"/>
      <c r="NC22" s="124"/>
      <c r="ND22" s="124"/>
      <c r="NE22" s="124"/>
      <c r="NF22" s="124"/>
      <c r="NG22" s="124"/>
      <c r="NH22" s="124"/>
      <c r="NI22" s="124"/>
      <c r="NJ22" s="124"/>
      <c r="NK22" s="124"/>
      <c r="NL22" s="124"/>
      <c r="NM22" s="124"/>
      <c r="NN22" s="124"/>
      <c r="NO22" s="124"/>
      <c r="NP22" s="124"/>
      <c r="NQ22" s="124"/>
      <c r="NR22" s="124"/>
      <c r="NS22" s="124"/>
      <c r="NT22" s="124"/>
      <c r="NU22" s="124"/>
      <c r="NV22" s="124"/>
      <c r="NW22" s="124"/>
      <c r="NX22" s="124"/>
      <c r="NY22" s="124"/>
      <c r="NZ22" s="124"/>
      <c r="OA22" s="124"/>
      <c r="OB22" s="124"/>
      <c r="OC22" s="124"/>
      <c r="OD22" s="124"/>
      <c r="OE22" s="124"/>
      <c r="OF22" s="124"/>
      <c r="OG22" s="124"/>
      <c r="OH22" s="124"/>
      <c r="OI22" s="124"/>
      <c r="OJ22" s="124"/>
      <c r="OK22" s="124"/>
      <c r="OL22" s="124"/>
      <c r="OM22" s="124"/>
      <c r="ON22" s="124"/>
      <c r="OO22" s="124"/>
      <c r="OP22" s="124"/>
      <c r="OQ22" s="124"/>
      <c r="OR22" s="124"/>
      <c r="OS22" s="124"/>
      <c r="OT22" s="124"/>
      <c r="OU22" s="124"/>
      <c r="OV22" s="124"/>
      <c r="OW22" s="124"/>
      <c r="OX22" s="124"/>
      <c r="OY22" s="124"/>
      <c r="OZ22" s="124"/>
      <c r="PA22" s="124"/>
      <c r="PB22" s="124"/>
      <c r="PC22" s="124"/>
      <c r="PD22" s="124"/>
      <c r="PE22" s="124"/>
      <c r="PF22" s="124"/>
      <c r="PG22" s="124"/>
      <c r="PH22" s="124"/>
      <c r="PI22" s="124"/>
      <c r="PJ22" s="124"/>
      <c r="PK22" s="124"/>
      <c r="PL22" s="124"/>
      <c r="PM22" s="124"/>
      <c r="PN22" s="124"/>
      <c r="PO22" s="124"/>
      <c r="PP22" s="124"/>
      <c r="PQ22" s="124"/>
      <c r="PR22" s="124"/>
      <c r="PS22" s="124"/>
      <c r="PT22" s="124"/>
      <c r="PU22" s="124"/>
      <c r="PV22" s="124"/>
      <c r="PW22" s="124"/>
      <c r="PX22" s="124"/>
      <c r="PY22" s="124"/>
      <c r="PZ22" s="124"/>
      <c r="QA22" s="124"/>
      <c r="QB22" s="124"/>
      <c r="QC22" s="124"/>
      <c r="QD22" s="124"/>
      <c r="QE22" s="124"/>
      <c r="QF22" s="124"/>
      <c r="QG22" s="124"/>
      <c r="QH22" s="124"/>
      <c r="QI22" s="124"/>
      <c r="QJ22" s="124"/>
      <c r="QK22" s="124"/>
      <c r="QL22" s="124"/>
      <c r="QM22" s="124"/>
      <c r="QN22" s="124"/>
      <c r="QO22" s="124"/>
      <c r="QP22" s="124"/>
      <c r="QQ22" s="124"/>
      <c r="QR22" s="124"/>
      <c r="QS22" s="124"/>
      <c r="QT22" s="124"/>
      <c r="QU22" s="124"/>
      <c r="QV22" s="124"/>
      <c r="QW22" s="124"/>
      <c r="QX22" s="124"/>
      <c r="QY22" s="124"/>
      <c r="QZ22" s="124"/>
      <c r="RA22" s="124"/>
      <c r="RB22" s="124"/>
      <c r="RC22" s="124"/>
      <c r="RD22" s="124"/>
      <c r="RE22" s="124"/>
      <c r="RF22" s="124"/>
      <c r="RG22" s="124"/>
      <c r="RH22" s="124"/>
      <c r="RI22" s="124"/>
      <c r="RJ22" s="124"/>
      <c r="RK22" s="124"/>
      <c r="RL22" s="124"/>
      <c r="RM22" s="124"/>
      <c r="RN22" s="124"/>
      <c r="RO22" s="124"/>
      <c r="RP22" s="124"/>
      <c r="RQ22" s="124"/>
      <c r="RR22" s="124"/>
      <c r="RS22" s="124"/>
      <c r="RT22" s="124"/>
      <c r="RU22" s="124"/>
      <c r="RV22" s="124"/>
      <c r="RW22" s="124"/>
      <c r="RX22" s="124"/>
      <c r="RY22" s="124"/>
      <c r="RZ22" s="124"/>
      <c r="SA22" s="124"/>
      <c r="SB22" s="124"/>
      <c r="SC22" s="124"/>
      <c r="SD22" s="124"/>
      <c r="SE22" s="124"/>
      <c r="SF22" s="124"/>
      <c r="SG22" s="124"/>
      <c r="SH22" s="124"/>
      <c r="SI22" s="124"/>
      <c r="SJ22" s="124"/>
      <c r="SK22" s="124"/>
      <c r="SL22" s="124"/>
      <c r="SM22" s="124"/>
      <c r="SN22" s="124"/>
      <c r="SO22" s="124"/>
      <c r="SP22" s="124"/>
      <c r="SQ22" s="124"/>
      <c r="SR22" s="124"/>
      <c r="SS22" s="124"/>
      <c r="ST22" s="124"/>
      <c r="SU22" s="124"/>
      <c r="SV22" s="124"/>
      <c r="SW22" s="124"/>
      <c r="SX22" s="124"/>
      <c r="SY22" s="124"/>
      <c r="SZ22" s="124"/>
      <c r="TA22" s="124"/>
      <c r="TB22" s="124"/>
      <c r="TC22" s="124"/>
      <c r="TD22" s="124"/>
      <c r="TE22" s="124"/>
      <c r="TF22" s="124"/>
      <c r="TG22" s="124"/>
      <c r="TH22" s="124"/>
      <c r="TI22" s="124"/>
      <c r="TJ22" s="124"/>
      <c r="TK22" s="124"/>
      <c r="TL22" s="124"/>
      <c r="TM22" s="124"/>
      <c r="TN22" s="124"/>
      <c r="TO22" s="124"/>
      <c r="TP22" s="124"/>
      <c r="TQ22" s="124"/>
      <c r="TR22" s="124"/>
      <c r="TS22" s="124"/>
      <c r="TT22" s="124"/>
      <c r="TU22" s="124"/>
      <c r="TV22" s="124"/>
      <c r="TW22" s="124"/>
      <c r="TX22" s="124"/>
      <c r="TY22" s="124"/>
      <c r="TZ22" s="124"/>
      <c r="UA22" s="124"/>
      <c r="UB22" s="124"/>
      <c r="UC22" s="124"/>
      <c r="UD22" s="124"/>
      <c r="UE22" s="124"/>
      <c r="UF22" s="124"/>
      <c r="UG22" s="124"/>
      <c r="UH22" s="124"/>
      <c r="UI22" s="124"/>
      <c r="UJ22" s="124"/>
      <c r="UK22" s="124"/>
      <c r="UL22" s="124"/>
      <c r="UM22" s="124"/>
      <c r="UN22" s="124"/>
      <c r="UO22" s="124"/>
      <c r="UP22" s="124"/>
      <c r="UQ22" s="124"/>
      <c r="UR22" s="124"/>
      <c r="US22" s="124"/>
      <c r="UT22" s="124"/>
      <c r="UU22" s="124"/>
      <c r="UV22" s="124"/>
      <c r="UW22" s="124"/>
      <c r="UX22" s="124"/>
      <c r="UY22" s="124"/>
      <c r="UZ22" s="124"/>
      <c r="VA22" s="124"/>
      <c r="VB22" s="124"/>
      <c r="VC22" s="124"/>
      <c r="VD22" s="124"/>
      <c r="VE22" s="124"/>
      <c r="VF22" s="124"/>
      <c r="VG22" s="124"/>
      <c r="VH22" s="124"/>
      <c r="VI22" s="124"/>
      <c r="VJ22" s="124"/>
      <c r="VK22" s="124"/>
      <c r="VL22" s="124"/>
      <c r="VM22" s="124"/>
      <c r="VN22" s="124"/>
      <c r="VO22" s="124"/>
      <c r="VP22" s="124"/>
      <c r="VQ22" s="124"/>
      <c r="VR22" s="124"/>
      <c r="VS22" s="124"/>
      <c r="VT22" s="124"/>
      <c r="VU22" s="124"/>
      <c r="VV22" s="124"/>
      <c r="VW22" s="124"/>
      <c r="VX22" s="124"/>
      <c r="VY22" s="124"/>
      <c r="VZ22" s="124"/>
      <c r="WA22" s="124"/>
      <c r="WB22" s="124"/>
      <c r="WC22" s="124"/>
      <c r="WD22" s="124"/>
      <c r="WE22" s="124"/>
      <c r="WF22" s="124"/>
      <c r="WG22" s="124"/>
      <c r="WH22" s="124"/>
      <c r="WI22" s="124"/>
      <c r="WJ22" s="124"/>
      <c r="WK22" s="124"/>
      <c r="WL22" s="124"/>
      <c r="WM22" s="124"/>
      <c r="WN22" s="124"/>
      <c r="WO22" s="124"/>
      <c r="WP22" s="124"/>
      <c r="WQ22" s="124"/>
      <c r="WR22" s="124"/>
      <c r="WS22" s="124"/>
      <c r="WT22" s="124"/>
      <c r="WU22" s="124"/>
      <c r="WV22" s="124"/>
      <c r="WW22" s="124"/>
      <c r="WX22" s="124"/>
      <c r="WY22" s="124"/>
      <c r="WZ22" s="124"/>
      <c r="XA22" s="124"/>
      <c r="XB22" s="124"/>
      <c r="XC22" s="124"/>
      <c r="XD22" s="124"/>
      <c r="XE22" s="124"/>
      <c r="XF22" s="124"/>
      <c r="XG22" s="124"/>
      <c r="XH22" s="124"/>
      <c r="XI22" s="124"/>
      <c r="XJ22" s="124"/>
      <c r="XK22" s="124"/>
      <c r="XL22" s="124"/>
      <c r="XM22" s="124"/>
      <c r="XN22" s="124"/>
      <c r="XO22" s="124"/>
      <c r="XP22" s="124"/>
      <c r="XQ22" s="124"/>
      <c r="XR22" s="124"/>
      <c r="XS22" s="124"/>
      <c r="XT22" s="124"/>
      <c r="XU22" s="124"/>
      <c r="XV22" s="124"/>
      <c r="XW22" s="124"/>
      <c r="XX22" s="124"/>
      <c r="XY22" s="124"/>
      <c r="XZ22" s="124"/>
      <c r="YA22" s="124"/>
      <c r="YB22" s="124"/>
      <c r="YC22" s="124"/>
      <c r="YD22" s="124"/>
      <c r="YE22" s="124"/>
      <c r="YF22" s="124"/>
      <c r="YG22" s="124"/>
      <c r="YH22" s="124"/>
      <c r="YI22" s="124"/>
      <c r="YJ22" s="124"/>
      <c r="YK22" s="124"/>
      <c r="YL22" s="124"/>
      <c r="YM22" s="124"/>
      <c r="YN22" s="124"/>
      <c r="YO22" s="124"/>
      <c r="YP22" s="124"/>
      <c r="YQ22" s="124"/>
      <c r="YR22" s="124"/>
      <c r="YS22" s="124"/>
      <c r="YT22" s="124"/>
      <c r="YU22" s="124"/>
      <c r="YV22" s="124"/>
      <c r="YW22" s="124"/>
      <c r="YX22" s="124"/>
      <c r="YY22" s="124"/>
      <c r="YZ22" s="124"/>
      <c r="ZA22" s="124"/>
      <c r="ZB22" s="124"/>
      <c r="ZC22" s="124"/>
      <c r="ZD22" s="124"/>
      <c r="ZE22" s="124"/>
      <c r="ZF22" s="124"/>
      <c r="ZG22" s="124"/>
      <c r="ZH22" s="124"/>
      <c r="ZI22" s="124"/>
      <c r="ZJ22" s="124"/>
      <c r="ZK22" s="124"/>
      <c r="ZL22" s="124"/>
      <c r="ZM22" s="124"/>
      <c r="ZN22" s="124"/>
      <c r="ZO22" s="124"/>
      <c r="ZP22" s="124"/>
      <c r="ZQ22" s="124"/>
      <c r="ZR22" s="124"/>
      <c r="ZS22" s="124"/>
      <c r="ZT22" s="124"/>
      <c r="ZU22" s="124"/>
      <c r="ZV22" s="124"/>
      <c r="ZW22" s="124"/>
      <c r="ZX22" s="124"/>
      <c r="ZY22" s="124"/>
      <c r="ZZ22" s="124"/>
      <c r="AAA22" s="124"/>
      <c r="AAB22" s="124"/>
      <c r="AAC22" s="124"/>
      <c r="AAD22" s="124"/>
      <c r="AAE22" s="124"/>
      <c r="AAF22" s="124"/>
      <c r="AAG22" s="124"/>
      <c r="AAH22" s="124"/>
      <c r="AAI22" s="124"/>
      <c r="AAJ22" s="124"/>
      <c r="AAK22" s="124"/>
      <c r="AAL22" s="124"/>
      <c r="AAM22" s="124"/>
      <c r="AAN22" s="124"/>
      <c r="AAO22" s="124"/>
      <c r="AAP22" s="124"/>
      <c r="AAQ22" s="124"/>
      <c r="AAR22" s="124"/>
      <c r="AAS22" s="124"/>
      <c r="AAT22" s="124"/>
      <c r="AAU22" s="124"/>
      <c r="AAV22" s="124"/>
      <c r="AAW22" s="124"/>
      <c r="AAX22" s="124"/>
      <c r="AAY22" s="124"/>
      <c r="AAZ22" s="124"/>
      <c r="ABA22" s="124"/>
      <c r="ABB22" s="124"/>
      <c r="ABC22" s="124"/>
      <c r="ABD22" s="124"/>
      <c r="ABE22" s="124"/>
      <c r="ABF22" s="124"/>
      <c r="ABG22" s="124"/>
      <c r="ABH22" s="124"/>
      <c r="ABI22" s="124"/>
      <c r="ABJ22" s="124"/>
      <c r="ABK22" s="124"/>
      <c r="ABL22" s="124"/>
      <c r="ABM22" s="124"/>
      <c r="ABN22" s="124"/>
      <c r="ABO22" s="124"/>
      <c r="ABP22" s="124"/>
      <c r="ABQ22" s="124"/>
      <c r="ABR22" s="124"/>
      <c r="ABS22" s="124"/>
      <c r="ABT22" s="124"/>
      <c r="ABU22" s="124"/>
      <c r="ABV22" s="124"/>
      <c r="ABW22" s="124"/>
      <c r="ABX22" s="124"/>
      <c r="ABY22" s="124"/>
      <c r="ABZ22" s="124"/>
      <c r="ACA22" s="124"/>
      <c r="ACB22" s="124"/>
      <c r="ACC22" s="124"/>
      <c r="ACD22" s="124"/>
      <c r="ACE22" s="124"/>
      <c r="ACF22" s="124"/>
      <c r="ACG22" s="124"/>
      <c r="ACH22" s="124"/>
      <c r="ACI22" s="124"/>
      <c r="ACJ22" s="124"/>
      <c r="ACK22" s="124"/>
      <c r="ACL22" s="124"/>
      <c r="ACM22" s="124"/>
      <c r="ACN22" s="124"/>
      <c r="ACO22" s="124"/>
      <c r="ACP22" s="124"/>
      <c r="ACQ22" s="124"/>
      <c r="ACR22" s="124"/>
      <c r="ACS22" s="124"/>
      <c r="ACT22" s="124"/>
      <c r="ACU22" s="124"/>
      <c r="ACV22" s="124"/>
      <c r="ACW22" s="124"/>
      <c r="ACX22" s="124"/>
      <c r="ACY22" s="124"/>
      <c r="ACZ22" s="124"/>
      <c r="ADA22" s="124"/>
      <c r="ADB22" s="124"/>
      <c r="ADC22" s="124"/>
      <c r="ADD22" s="124"/>
      <c r="ADE22" s="124"/>
      <c r="ADF22" s="124"/>
      <c r="ADG22" s="124"/>
      <c r="ADH22" s="124"/>
      <c r="ADI22" s="124"/>
      <c r="ADJ22" s="124"/>
      <c r="ADK22" s="124"/>
      <c r="ADL22" s="124"/>
      <c r="ADM22" s="124"/>
      <c r="ADN22" s="124"/>
      <c r="ADO22" s="124"/>
      <c r="ADP22" s="124"/>
      <c r="ADQ22" s="124"/>
      <c r="ADR22" s="124"/>
      <c r="ADS22" s="124"/>
      <c r="ADT22" s="124"/>
      <c r="ADU22" s="124"/>
      <c r="ADV22" s="124"/>
      <c r="ADW22" s="124"/>
      <c r="ADX22" s="124"/>
      <c r="ADY22" s="124"/>
      <c r="ADZ22" s="124"/>
      <c r="AEA22" s="124"/>
      <c r="AEB22" s="124"/>
      <c r="AEC22" s="124"/>
      <c r="AED22" s="124"/>
      <c r="AEE22" s="124"/>
      <c r="AEF22" s="124"/>
      <c r="AEG22" s="124"/>
      <c r="AEH22" s="124"/>
      <c r="AEI22" s="124"/>
      <c r="AEJ22" s="124"/>
      <c r="AEK22" s="124"/>
      <c r="AEL22" s="124"/>
      <c r="AEM22" s="124"/>
      <c r="AEN22" s="124"/>
      <c r="AEO22" s="124"/>
      <c r="AEP22" s="124"/>
      <c r="AEQ22" s="124"/>
      <c r="AER22" s="124"/>
      <c r="AES22" s="124"/>
      <c r="AET22" s="124"/>
      <c r="AEU22" s="124"/>
      <c r="AEV22" s="124"/>
      <c r="AEW22" s="124"/>
      <c r="AEX22" s="124"/>
      <c r="AEY22" s="124"/>
      <c r="AEZ22" s="124"/>
      <c r="AFA22" s="124"/>
      <c r="AFB22" s="124"/>
      <c r="AFC22" s="124"/>
      <c r="AFD22" s="124"/>
      <c r="AFE22" s="124"/>
      <c r="AFF22" s="124"/>
      <c r="AFG22" s="124"/>
      <c r="AFH22" s="124"/>
      <c r="AFI22" s="124"/>
      <c r="AFJ22" s="124"/>
      <c r="AFK22" s="124"/>
      <c r="AFL22" s="124"/>
      <c r="AFM22" s="124"/>
      <c r="AFN22" s="124"/>
      <c r="AFO22" s="124"/>
      <c r="AFP22" s="124"/>
      <c r="AFQ22" s="124"/>
      <c r="AFR22" s="124"/>
      <c r="AFS22" s="124"/>
      <c r="AFT22" s="124"/>
      <c r="AFU22" s="124"/>
      <c r="AFV22" s="124"/>
      <c r="AFW22" s="124"/>
      <c r="AFX22" s="124"/>
      <c r="AFY22" s="124"/>
      <c r="AFZ22" s="124"/>
      <c r="AGA22" s="124"/>
      <c r="AGB22" s="124"/>
      <c r="AGC22" s="124"/>
      <c r="AGD22" s="124"/>
      <c r="AGE22" s="124"/>
      <c r="AGF22" s="124"/>
      <c r="AGG22" s="124"/>
      <c r="AGH22" s="124"/>
      <c r="AGI22" s="124"/>
      <c r="AGJ22" s="124"/>
      <c r="AGK22" s="124"/>
      <c r="AGL22" s="124"/>
      <c r="AGM22" s="124"/>
      <c r="AGN22" s="124"/>
      <c r="AGO22" s="124"/>
      <c r="AGP22" s="124"/>
      <c r="AGQ22" s="124"/>
      <c r="AGR22" s="124"/>
      <c r="AGS22" s="124"/>
      <c r="AGT22" s="124"/>
      <c r="AGU22" s="124"/>
      <c r="AGV22" s="124"/>
      <c r="AGW22" s="124"/>
      <c r="AGX22" s="124"/>
      <c r="AGY22" s="124"/>
      <c r="AGZ22" s="124"/>
      <c r="AHA22" s="124"/>
      <c r="AHB22" s="124"/>
      <c r="AHC22" s="124"/>
      <c r="AHD22" s="124"/>
      <c r="AHE22" s="124"/>
      <c r="AHF22" s="124"/>
      <c r="AHG22" s="124"/>
      <c r="AHH22" s="124"/>
      <c r="AHI22" s="124"/>
      <c r="AHJ22" s="124"/>
      <c r="AHK22" s="124"/>
      <c r="AHL22" s="124"/>
      <c r="AHM22" s="124"/>
      <c r="AHN22" s="124"/>
      <c r="AHO22" s="124"/>
      <c r="AHP22" s="124"/>
      <c r="AHQ22" s="124"/>
      <c r="AHR22" s="124"/>
      <c r="AHS22" s="124"/>
      <c r="AHT22" s="124"/>
      <c r="AHU22" s="124"/>
      <c r="AHV22" s="124"/>
      <c r="AHW22" s="124"/>
      <c r="AHX22" s="124"/>
      <c r="AHY22" s="124"/>
      <c r="AHZ22" s="124"/>
      <c r="AIA22" s="124"/>
      <c r="AIB22" s="124"/>
      <c r="AIC22" s="124"/>
      <c r="AID22" s="124"/>
      <c r="AIE22" s="124"/>
      <c r="AIF22" s="124"/>
      <c r="AIG22" s="124"/>
      <c r="AIH22" s="124"/>
      <c r="AII22" s="124"/>
      <c r="AIJ22" s="124"/>
      <c r="AIK22" s="124"/>
      <c r="AIL22" s="124"/>
      <c r="AIM22" s="124"/>
      <c r="AIN22" s="124"/>
      <c r="AIO22" s="124"/>
      <c r="AIP22" s="124"/>
      <c r="AIQ22" s="124"/>
      <c r="AIR22" s="124"/>
      <c r="AIS22" s="124"/>
      <c r="AIT22" s="124"/>
      <c r="AIU22" s="124"/>
      <c r="AIV22" s="124"/>
      <c r="AIW22" s="124"/>
      <c r="AIX22" s="124"/>
      <c r="AIY22" s="124"/>
      <c r="AIZ22" s="124"/>
      <c r="AJA22" s="124"/>
      <c r="AJB22" s="124"/>
      <c r="AJC22" s="124"/>
      <c r="AJD22" s="124"/>
      <c r="AJE22" s="124"/>
      <c r="AJF22" s="124"/>
      <c r="AJG22" s="124"/>
      <c r="AJH22" s="124"/>
      <c r="AJI22" s="124"/>
      <c r="AJJ22" s="124"/>
      <c r="AJK22" s="124"/>
      <c r="AJL22" s="124"/>
      <c r="AJM22" s="124"/>
      <c r="AJN22" s="124"/>
      <c r="AJO22" s="124"/>
      <c r="AJP22" s="124"/>
      <c r="AJQ22" s="124"/>
      <c r="AJR22" s="124"/>
      <c r="AJS22" s="124"/>
      <c r="AJT22" s="124"/>
      <c r="AJU22" s="124"/>
      <c r="AJV22" s="124"/>
      <c r="AJW22" s="124"/>
      <c r="AJX22" s="124"/>
      <c r="AJY22" s="124"/>
      <c r="AJZ22" s="124"/>
      <c r="AKA22" s="124"/>
      <c r="AKB22" s="124"/>
      <c r="AKC22" s="124"/>
      <c r="AKD22" s="124"/>
      <c r="AKE22" s="124"/>
      <c r="AKF22" s="124"/>
      <c r="AKG22" s="124"/>
      <c r="AKH22" s="124"/>
      <c r="AKI22" s="124"/>
      <c r="AKJ22" s="124"/>
      <c r="AKK22" s="124"/>
      <c r="AKL22" s="124"/>
      <c r="AKM22" s="124"/>
      <c r="AKN22" s="124"/>
      <c r="AKO22" s="124"/>
      <c r="AKP22" s="124"/>
      <c r="AKQ22" s="124"/>
      <c r="AKR22" s="124"/>
      <c r="AKS22" s="124"/>
      <c r="AKT22" s="124"/>
      <c r="AKU22" s="124"/>
      <c r="AKV22" s="124"/>
      <c r="AKW22" s="124"/>
      <c r="AKX22" s="124"/>
      <c r="AKY22" s="124"/>
      <c r="AKZ22" s="124"/>
      <c r="ALA22" s="124"/>
      <c r="ALB22" s="124"/>
      <c r="ALC22" s="124"/>
      <c r="ALD22" s="124"/>
      <c r="ALE22" s="124"/>
      <c r="ALF22" s="124"/>
      <c r="ALG22" s="124"/>
      <c r="ALH22" s="124"/>
      <c r="ALI22" s="124"/>
      <c r="ALJ22" s="124"/>
      <c r="ALK22" s="124"/>
      <c r="ALL22" s="124"/>
      <c r="ALM22" s="124"/>
      <c r="ALN22" s="124"/>
      <c r="ALO22" s="124"/>
      <c r="ALP22" s="124"/>
      <c r="ALQ22" s="124"/>
      <c r="ALR22" s="124"/>
      <c r="ALS22" s="124"/>
      <c r="ALT22" s="124"/>
      <c r="ALU22" s="124"/>
      <c r="ALV22" s="124"/>
      <c r="ALW22" s="124"/>
      <c r="ALX22" s="124"/>
      <c r="ALY22" s="124"/>
      <c r="ALZ22" s="124"/>
      <c r="AMA22" s="124"/>
      <c r="AMB22" s="124"/>
      <c r="AMC22" s="124"/>
      <c r="AMD22" s="124"/>
      <c r="AME22" s="124"/>
      <c r="AMF22" s="124"/>
      <c r="AMG22" s="124"/>
      <c r="AMH22" s="124"/>
      <c r="AMI22" s="124"/>
      <c r="AMJ22" s="124"/>
      <c r="AMK22" s="124"/>
      <c r="AML22" s="124"/>
      <c r="AMM22" s="124"/>
      <c r="AMN22" s="124"/>
      <c r="AMO22" s="124"/>
      <c r="AMP22" s="124"/>
      <c r="AMQ22" s="124"/>
      <c r="AMR22" s="124"/>
      <c r="AMS22" s="124"/>
      <c r="AMT22" s="124"/>
      <c r="AMU22" s="124"/>
      <c r="AMV22" s="124"/>
      <c r="AMW22" s="124"/>
      <c r="AMX22" s="124"/>
      <c r="AMY22" s="124"/>
      <c r="AMZ22" s="124"/>
      <c r="ANA22" s="124"/>
      <c r="ANB22" s="124"/>
      <c r="ANC22" s="124"/>
      <c r="AND22" s="124"/>
      <c r="ANE22" s="124"/>
      <c r="ANF22" s="124"/>
      <c r="ANG22" s="124"/>
      <c r="ANH22" s="124"/>
      <c r="ANI22" s="124"/>
      <c r="ANJ22" s="124"/>
      <c r="ANK22" s="124"/>
      <c r="ANL22" s="124"/>
      <c r="ANM22" s="124"/>
      <c r="ANN22" s="124"/>
      <c r="ANO22" s="124"/>
      <c r="ANP22" s="124"/>
      <c r="ANQ22" s="124"/>
      <c r="ANR22" s="124"/>
      <c r="ANS22" s="124"/>
      <c r="ANT22" s="124"/>
      <c r="ANU22" s="124"/>
      <c r="ANV22" s="124"/>
      <c r="ANW22" s="124"/>
      <c r="ANX22" s="124"/>
      <c r="ANY22" s="124"/>
      <c r="ANZ22" s="124"/>
      <c r="AOA22" s="124"/>
      <c r="AOB22" s="124"/>
      <c r="AOC22" s="124"/>
      <c r="AOD22" s="124"/>
      <c r="AOE22" s="124"/>
      <c r="AOF22" s="124"/>
      <c r="AOG22" s="124"/>
      <c r="AOH22" s="124"/>
      <c r="AOI22" s="124"/>
      <c r="AOJ22" s="124"/>
      <c r="AOK22" s="124"/>
      <c r="AOL22" s="124"/>
      <c r="AOM22" s="124"/>
      <c r="AON22" s="124"/>
      <c r="AOO22" s="124"/>
      <c r="AOP22" s="124"/>
      <c r="AOQ22" s="124"/>
      <c r="AOR22" s="124"/>
      <c r="AOS22" s="124"/>
      <c r="AOT22" s="124"/>
      <c r="AOU22" s="124"/>
      <c r="AOV22" s="124"/>
      <c r="AOW22" s="124"/>
      <c r="AOX22" s="124"/>
      <c r="AOY22" s="124"/>
      <c r="AOZ22" s="124"/>
      <c r="APA22" s="124"/>
      <c r="APB22" s="124"/>
      <c r="APC22" s="124"/>
      <c r="APD22" s="124"/>
      <c r="APE22" s="124"/>
      <c r="APF22" s="124"/>
      <c r="APG22" s="124"/>
      <c r="APH22" s="124"/>
      <c r="API22" s="124"/>
      <c r="APJ22" s="124"/>
      <c r="APK22" s="124"/>
      <c r="APL22" s="124"/>
      <c r="APM22" s="124"/>
      <c r="APN22" s="124"/>
      <c r="APO22" s="124"/>
      <c r="APP22" s="124"/>
      <c r="APQ22" s="124"/>
      <c r="APR22" s="124"/>
      <c r="APS22" s="124"/>
      <c r="APT22" s="124"/>
      <c r="APU22" s="124"/>
      <c r="APV22" s="124"/>
      <c r="APW22" s="124"/>
      <c r="APX22" s="124"/>
      <c r="APY22" s="124"/>
      <c r="APZ22" s="124"/>
      <c r="AQA22" s="124"/>
      <c r="AQB22" s="124"/>
      <c r="AQC22" s="124"/>
      <c r="AQD22" s="124"/>
      <c r="AQE22" s="124"/>
      <c r="AQF22" s="124"/>
      <c r="AQG22" s="124"/>
      <c r="AQH22" s="124"/>
      <c r="AQI22" s="124"/>
      <c r="AQJ22" s="124"/>
      <c r="AQK22" s="124"/>
      <c r="AQL22" s="124"/>
      <c r="AQM22" s="124"/>
      <c r="AQN22" s="124"/>
      <c r="AQO22" s="124"/>
      <c r="AQP22" s="124"/>
      <c r="AQQ22" s="124"/>
      <c r="AQR22" s="124"/>
      <c r="AQS22" s="124"/>
      <c r="AQT22" s="124"/>
      <c r="AQU22" s="124"/>
      <c r="AQV22" s="124"/>
      <c r="AQW22" s="124"/>
      <c r="AQX22" s="124"/>
      <c r="AQY22" s="124"/>
      <c r="AQZ22" s="124"/>
      <c r="ARA22" s="124"/>
      <c r="ARB22" s="124"/>
      <c r="ARC22" s="124"/>
      <c r="ARD22" s="124"/>
      <c r="ARE22" s="124"/>
      <c r="ARF22" s="124"/>
      <c r="ARG22" s="124"/>
      <c r="ARH22" s="124"/>
      <c r="ARI22" s="124"/>
      <c r="ARJ22" s="124"/>
      <c r="ARK22" s="124"/>
      <c r="ARL22" s="124"/>
      <c r="ARM22" s="124"/>
      <c r="ARN22" s="124"/>
      <c r="ARO22" s="124"/>
      <c r="ARP22" s="124"/>
      <c r="ARQ22" s="124"/>
      <c r="ARR22" s="124"/>
      <c r="ARS22" s="124"/>
      <c r="ART22" s="124"/>
      <c r="ARU22" s="124"/>
      <c r="ARV22" s="124"/>
      <c r="ARW22" s="124"/>
      <c r="ARX22" s="124"/>
      <c r="ARY22" s="124"/>
      <c r="ARZ22" s="124"/>
      <c r="ASA22" s="124"/>
      <c r="ASB22" s="124"/>
      <c r="ASC22" s="124"/>
      <c r="ASD22" s="124"/>
      <c r="ASE22" s="124"/>
      <c r="ASF22" s="124"/>
      <c r="ASG22" s="124"/>
      <c r="ASH22" s="124"/>
      <c r="ASI22" s="124"/>
      <c r="ASJ22" s="124"/>
      <c r="ASK22" s="124"/>
      <c r="ASL22" s="124"/>
      <c r="ASM22" s="124"/>
      <c r="ASN22" s="124"/>
      <c r="ASO22" s="124"/>
      <c r="ASP22" s="124"/>
      <c r="ASQ22" s="124"/>
      <c r="ASR22" s="124"/>
      <c r="ASS22" s="124"/>
      <c r="AST22" s="124"/>
      <c r="ASU22" s="124"/>
      <c r="ASV22" s="124"/>
      <c r="ASW22" s="124"/>
      <c r="ASX22" s="124"/>
      <c r="ASY22" s="124"/>
      <c r="ASZ22" s="124"/>
      <c r="ATA22" s="124"/>
      <c r="ATB22" s="124"/>
      <c r="ATC22" s="124"/>
      <c r="ATD22" s="124"/>
      <c r="ATE22" s="124"/>
      <c r="ATF22" s="124"/>
      <c r="ATG22" s="124"/>
      <c r="ATH22" s="124"/>
      <c r="ATI22" s="124"/>
      <c r="ATJ22" s="124"/>
      <c r="ATK22" s="124"/>
      <c r="ATL22" s="124"/>
      <c r="ATM22" s="124"/>
      <c r="ATN22" s="124"/>
      <c r="ATO22" s="124"/>
      <c r="ATP22" s="124"/>
      <c r="ATQ22" s="124"/>
      <c r="ATR22" s="124"/>
      <c r="ATS22" s="124"/>
      <c r="ATT22" s="124"/>
      <c r="ATU22" s="124"/>
      <c r="ATV22" s="124"/>
      <c r="ATW22" s="124"/>
      <c r="ATX22" s="124"/>
      <c r="ATY22" s="124"/>
      <c r="ATZ22" s="124"/>
      <c r="AUA22" s="124"/>
      <c r="AUB22" s="124"/>
      <c r="AUC22" s="124"/>
      <c r="AUD22" s="124"/>
      <c r="AUE22" s="124"/>
      <c r="AUF22" s="124"/>
      <c r="AUG22" s="124"/>
      <c r="AUH22" s="124"/>
      <c r="AUI22" s="124"/>
      <c r="AUJ22" s="124"/>
      <c r="AUK22" s="124"/>
      <c r="AUL22" s="124"/>
      <c r="AUM22" s="124"/>
      <c r="AUN22" s="124"/>
      <c r="AUO22" s="124"/>
      <c r="AUP22" s="124"/>
      <c r="AUQ22" s="124"/>
      <c r="AUR22" s="124"/>
      <c r="AUS22" s="124"/>
      <c r="AUT22" s="124"/>
      <c r="AUU22" s="124"/>
      <c r="AUV22" s="124"/>
      <c r="AUW22" s="124"/>
      <c r="AUX22" s="124"/>
      <c r="AUY22" s="124"/>
      <c r="AUZ22" s="124"/>
      <c r="AVA22" s="124"/>
      <c r="AVB22" s="124"/>
      <c r="AVC22" s="124"/>
      <c r="AVD22" s="124"/>
      <c r="AVE22" s="124"/>
      <c r="AVF22" s="124"/>
      <c r="AVG22" s="124"/>
      <c r="AVH22" s="124"/>
      <c r="AVI22" s="124"/>
      <c r="AVJ22" s="124"/>
      <c r="AVK22" s="124"/>
      <c r="AVL22" s="124"/>
      <c r="AVM22" s="124"/>
      <c r="AVN22" s="124"/>
      <c r="AVO22" s="124"/>
      <c r="AVP22" s="124"/>
      <c r="AVQ22" s="124"/>
      <c r="AVR22" s="124"/>
      <c r="AVS22" s="124"/>
      <c r="AVT22" s="124"/>
      <c r="AVU22" s="124"/>
      <c r="AVV22" s="124"/>
      <c r="AVW22" s="124"/>
      <c r="AVX22" s="124"/>
      <c r="AVY22" s="124"/>
      <c r="AVZ22" s="124"/>
      <c r="AWA22" s="124"/>
      <c r="AWB22" s="124"/>
      <c r="AWC22" s="124"/>
      <c r="AWD22" s="124"/>
      <c r="AWE22" s="124"/>
      <c r="AWF22" s="124"/>
      <c r="AWG22" s="124"/>
      <c r="AWH22" s="124"/>
      <c r="AWI22" s="124"/>
      <c r="AWJ22" s="124"/>
      <c r="AWK22" s="124"/>
      <c r="AWL22" s="124"/>
      <c r="AWM22" s="124"/>
      <c r="AWN22" s="124"/>
      <c r="AWO22" s="124"/>
      <c r="AWP22" s="124"/>
      <c r="AWQ22" s="124"/>
      <c r="AWR22" s="124"/>
      <c r="AWS22" s="124"/>
      <c r="AWT22" s="124"/>
      <c r="AWU22" s="124"/>
      <c r="AWV22" s="124"/>
      <c r="AWW22" s="124"/>
      <c r="AWX22" s="124"/>
      <c r="AWY22" s="124"/>
      <c r="AWZ22" s="124"/>
      <c r="AXA22" s="124"/>
      <c r="AXB22" s="124"/>
      <c r="AXC22" s="124"/>
      <c r="AXD22" s="124"/>
      <c r="AXE22" s="124"/>
      <c r="AXF22" s="124"/>
      <c r="AXG22" s="124"/>
      <c r="AXH22" s="124"/>
      <c r="AXI22" s="124"/>
      <c r="AXJ22" s="124"/>
      <c r="AXK22" s="124"/>
      <c r="AXL22" s="124"/>
      <c r="AXM22" s="124"/>
      <c r="AXN22" s="124"/>
      <c r="AXO22" s="124"/>
      <c r="AXP22" s="124"/>
      <c r="AXQ22" s="124"/>
      <c r="AXR22" s="124"/>
      <c r="AXS22" s="124"/>
      <c r="AXT22" s="124"/>
      <c r="AXU22" s="124"/>
      <c r="AXV22" s="124"/>
      <c r="AXW22" s="124"/>
      <c r="AXX22" s="124"/>
      <c r="AXY22" s="124"/>
      <c r="AXZ22" s="124"/>
      <c r="AYA22" s="124"/>
      <c r="AYB22" s="124"/>
      <c r="AYC22" s="124"/>
      <c r="AYD22" s="124"/>
      <c r="AYE22" s="124"/>
      <c r="AYF22" s="124"/>
      <c r="AYG22" s="124"/>
      <c r="AYH22" s="124"/>
      <c r="AYI22" s="124"/>
      <c r="AYJ22" s="124"/>
      <c r="AYK22" s="124"/>
      <c r="AYL22" s="124"/>
      <c r="AYM22" s="124"/>
      <c r="AYN22" s="124"/>
      <c r="AYO22" s="124"/>
      <c r="AYP22" s="124"/>
      <c r="AYQ22" s="124"/>
      <c r="AYR22" s="124"/>
      <c r="AYS22" s="124"/>
      <c r="AYT22" s="124"/>
      <c r="AYU22" s="124"/>
      <c r="AYV22" s="124"/>
      <c r="AYW22" s="124"/>
      <c r="AYX22" s="124"/>
      <c r="AYY22" s="124"/>
      <c r="AYZ22" s="124"/>
      <c r="AZA22" s="124"/>
      <c r="AZB22" s="124"/>
      <c r="AZC22" s="124"/>
      <c r="AZD22" s="124"/>
      <c r="AZE22" s="124"/>
      <c r="AZF22" s="124"/>
      <c r="AZG22" s="124"/>
      <c r="AZH22" s="124"/>
      <c r="AZI22" s="124"/>
      <c r="AZJ22" s="124"/>
      <c r="AZK22" s="124"/>
      <c r="AZL22" s="124"/>
      <c r="AZM22" s="124"/>
      <c r="AZN22" s="124"/>
      <c r="AZO22" s="124"/>
      <c r="AZP22" s="124"/>
      <c r="AZQ22" s="124"/>
      <c r="AZR22" s="124"/>
      <c r="AZS22" s="124"/>
      <c r="AZT22" s="124"/>
      <c r="AZU22" s="124"/>
      <c r="AZV22" s="124"/>
      <c r="AZW22" s="124"/>
      <c r="AZX22" s="124"/>
      <c r="AZY22" s="124"/>
      <c r="AZZ22" s="124"/>
      <c r="BAA22" s="124"/>
      <c r="BAB22" s="124"/>
      <c r="BAC22" s="124"/>
      <c r="BAD22" s="124"/>
      <c r="BAE22" s="124"/>
      <c r="BAF22" s="124"/>
      <c r="BAG22" s="124"/>
      <c r="BAH22" s="124"/>
      <c r="BAI22" s="124"/>
      <c r="BAJ22" s="124"/>
      <c r="BAK22" s="124"/>
      <c r="BAL22" s="124"/>
      <c r="BAM22" s="124"/>
      <c r="BAN22" s="124"/>
      <c r="BAO22" s="124"/>
      <c r="BAP22" s="124"/>
      <c r="BAQ22" s="124"/>
      <c r="BAR22" s="124"/>
      <c r="BAS22" s="124"/>
      <c r="BAT22" s="124"/>
      <c r="BAU22" s="124"/>
      <c r="BAV22" s="124"/>
      <c r="BAW22" s="124"/>
      <c r="BAX22" s="124"/>
      <c r="BAY22" s="124"/>
      <c r="BAZ22" s="124"/>
      <c r="BBA22" s="124"/>
      <c r="BBB22" s="124"/>
      <c r="BBC22" s="124"/>
      <c r="BBD22" s="124"/>
      <c r="BBE22" s="124"/>
      <c r="BBF22" s="124"/>
      <c r="BBG22" s="124"/>
      <c r="BBH22" s="124"/>
      <c r="BBI22" s="124"/>
      <c r="BBJ22" s="124"/>
      <c r="BBK22" s="124"/>
      <c r="BBL22" s="124"/>
      <c r="BBM22" s="124"/>
      <c r="BBN22" s="124"/>
      <c r="BBO22" s="124"/>
      <c r="BBP22" s="124"/>
      <c r="BBQ22" s="124"/>
      <c r="BBR22" s="124"/>
      <c r="BBS22" s="124"/>
      <c r="BBT22" s="124"/>
      <c r="BBU22" s="124"/>
      <c r="BBV22" s="124"/>
      <c r="BBW22" s="124"/>
      <c r="BBX22" s="124"/>
      <c r="BBY22" s="124"/>
      <c r="BBZ22" s="124"/>
      <c r="BCA22" s="124"/>
      <c r="BCB22" s="124"/>
      <c r="BCC22" s="124"/>
      <c r="BCD22" s="124"/>
      <c r="BCE22" s="124"/>
      <c r="BCF22" s="124"/>
      <c r="BCG22" s="124"/>
      <c r="BCH22" s="124"/>
      <c r="BCI22" s="124"/>
      <c r="BCJ22" s="124"/>
      <c r="BCK22" s="124"/>
      <c r="BCL22" s="124"/>
      <c r="BCM22" s="124"/>
      <c r="BCN22" s="124"/>
      <c r="BCO22" s="124"/>
      <c r="BCP22" s="124"/>
      <c r="BCQ22" s="124"/>
      <c r="BCR22" s="124"/>
      <c r="BCS22" s="124"/>
      <c r="BCT22" s="124"/>
      <c r="BCU22" s="124"/>
      <c r="BCV22" s="124"/>
      <c r="BCW22" s="124"/>
      <c r="BCX22" s="124"/>
      <c r="BCY22" s="124"/>
      <c r="BCZ22" s="124"/>
      <c r="BDA22" s="124"/>
      <c r="BDB22" s="124"/>
      <c r="BDC22" s="124"/>
      <c r="BDD22" s="124"/>
      <c r="BDE22" s="124"/>
      <c r="BDF22" s="124"/>
      <c r="BDG22" s="124"/>
      <c r="BDH22" s="124"/>
      <c r="BDI22" s="124"/>
      <c r="BDJ22" s="124"/>
      <c r="BDK22" s="124"/>
      <c r="BDL22" s="124"/>
      <c r="BDM22" s="124"/>
      <c r="BDN22" s="124"/>
      <c r="BDO22" s="124"/>
      <c r="BDP22" s="124"/>
      <c r="BDQ22" s="124"/>
      <c r="BDR22" s="124"/>
      <c r="BDS22" s="124"/>
      <c r="BDT22" s="124"/>
      <c r="BDU22" s="124"/>
      <c r="BDV22" s="124"/>
      <c r="BDW22" s="124"/>
      <c r="BDX22" s="124"/>
      <c r="BDY22" s="124"/>
      <c r="BDZ22" s="124"/>
      <c r="BEA22" s="124"/>
      <c r="BEB22" s="124"/>
      <c r="BEC22" s="124"/>
      <c r="BED22" s="124"/>
      <c r="BEE22" s="124"/>
      <c r="BEF22" s="124"/>
      <c r="BEG22" s="124"/>
      <c r="BEH22" s="124"/>
      <c r="BEI22" s="124"/>
      <c r="BEJ22" s="124"/>
      <c r="BEK22" s="124"/>
      <c r="BEL22" s="124"/>
      <c r="BEM22" s="124"/>
      <c r="BEN22" s="124"/>
      <c r="BEO22" s="124"/>
      <c r="BEP22" s="124"/>
      <c r="BEQ22" s="124"/>
      <c r="BER22" s="124"/>
      <c r="BES22" s="124"/>
      <c r="BET22" s="124"/>
      <c r="BEU22" s="124"/>
      <c r="BEV22" s="124"/>
      <c r="BEW22" s="124"/>
      <c r="BEX22" s="124"/>
      <c r="BEY22" s="124"/>
      <c r="BEZ22" s="124"/>
      <c r="BFA22" s="124"/>
      <c r="BFB22" s="124"/>
      <c r="BFC22" s="124"/>
      <c r="BFD22" s="124"/>
      <c r="BFE22" s="124"/>
      <c r="BFF22" s="124"/>
      <c r="BFG22" s="124"/>
      <c r="BFH22" s="124"/>
      <c r="BFI22" s="124"/>
      <c r="BFJ22" s="124"/>
      <c r="BFK22" s="124"/>
      <c r="BFL22" s="124"/>
      <c r="BFM22" s="124"/>
      <c r="BFN22" s="124"/>
      <c r="BFO22" s="124"/>
      <c r="BFP22" s="124"/>
      <c r="BFQ22" s="124"/>
      <c r="BFR22" s="124"/>
      <c r="BFS22" s="124"/>
      <c r="BFT22" s="124"/>
      <c r="BFU22" s="124"/>
      <c r="BFV22" s="124"/>
      <c r="BFW22" s="124"/>
      <c r="BFX22" s="124"/>
      <c r="BFY22" s="124"/>
      <c r="BFZ22" s="124"/>
      <c r="BGA22" s="124"/>
      <c r="BGB22" s="124"/>
      <c r="BGC22" s="124"/>
      <c r="BGD22" s="124"/>
      <c r="BGE22" s="124"/>
      <c r="BGF22" s="124"/>
      <c r="BGG22" s="124"/>
      <c r="BGH22" s="124"/>
      <c r="BGI22" s="124"/>
      <c r="BGJ22" s="124"/>
      <c r="BGK22" s="124"/>
      <c r="BGL22" s="124"/>
      <c r="BGM22" s="124"/>
      <c r="BGN22" s="124"/>
      <c r="BGO22" s="124"/>
      <c r="BGP22" s="124"/>
      <c r="BGQ22" s="124"/>
      <c r="BGR22" s="124"/>
      <c r="BGS22" s="124"/>
      <c r="BGT22" s="124"/>
      <c r="BGU22" s="124"/>
      <c r="BGV22" s="124"/>
      <c r="BGW22" s="124"/>
      <c r="BGX22" s="124"/>
      <c r="BGY22" s="124"/>
      <c r="BGZ22" s="124"/>
      <c r="BHA22" s="124"/>
      <c r="BHB22" s="124"/>
      <c r="BHC22" s="124"/>
      <c r="BHD22" s="124"/>
      <c r="BHE22" s="124"/>
      <c r="BHF22" s="124"/>
      <c r="BHG22" s="124"/>
      <c r="BHH22" s="124"/>
      <c r="BHI22" s="124"/>
      <c r="BHJ22" s="124"/>
      <c r="BHK22" s="124"/>
      <c r="BHL22" s="124"/>
      <c r="BHM22" s="124"/>
      <c r="BHN22" s="124"/>
      <c r="BHO22" s="124"/>
      <c r="BHP22" s="124"/>
      <c r="BHQ22" s="124"/>
      <c r="BHR22" s="124"/>
      <c r="BHS22" s="124"/>
      <c r="BHT22" s="124"/>
      <c r="BHU22" s="124"/>
      <c r="BHV22" s="124"/>
      <c r="BHW22" s="124"/>
      <c r="BHX22" s="124"/>
      <c r="BHY22" s="124"/>
      <c r="BHZ22" s="124"/>
      <c r="BIA22" s="124"/>
      <c r="BIB22" s="124"/>
      <c r="BIC22" s="124"/>
      <c r="BID22" s="124"/>
      <c r="BIE22" s="124"/>
      <c r="BIF22" s="124"/>
      <c r="BIG22" s="124"/>
      <c r="BIH22" s="124"/>
      <c r="BII22" s="124"/>
      <c r="BIJ22" s="124"/>
      <c r="BIK22" s="124"/>
      <c r="BIL22" s="124"/>
      <c r="BIM22" s="124"/>
      <c r="BIN22" s="124"/>
      <c r="BIO22" s="124"/>
      <c r="BIP22" s="124"/>
      <c r="BIQ22" s="124"/>
      <c r="BIR22" s="124"/>
      <c r="BIS22" s="124"/>
      <c r="BIT22" s="124"/>
      <c r="BIU22" s="124"/>
      <c r="BIV22" s="124"/>
      <c r="BIW22" s="124"/>
      <c r="BIX22" s="124"/>
      <c r="BIY22" s="124"/>
      <c r="BIZ22" s="124"/>
      <c r="BJA22" s="124"/>
      <c r="BJB22" s="124"/>
      <c r="BJC22" s="124"/>
      <c r="BJD22" s="124"/>
      <c r="BJE22" s="124"/>
      <c r="BJF22" s="124"/>
      <c r="BJG22" s="124"/>
      <c r="BJH22" s="124"/>
      <c r="BJI22" s="124"/>
      <c r="BJJ22" s="124"/>
      <c r="BJK22" s="124"/>
      <c r="BJL22" s="124"/>
      <c r="BJM22" s="124"/>
      <c r="BJN22" s="124"/>
      <c r="BJO22" s="124"/>
      <c r="BJP22" s="124"/>
      <c r="BJQ22" s="124"/>
      <c r="BJR22" s="124"/>
      <c r="BJS22" s="124"/>
      <c r="BJT22" s="124"/>
      <c r="BJU22" s="124"/>
      <c r="BJV22" s="124"/>
      <c r="BJW22" s="124"/>
      <c r="BJX22" s="124"/>
      <c r="BJY22" s="124"/>
      <c r="BJZ22" s="124"/>
      <c r="BKA22" s="124"/>
      <c r="BKB22" s="124"/>
      <c r="BKC22" s="124"/>
      <c r="BKD22" s="124"/>
      <c r="BKE22" s="124"/>
      <c r="BKF22" s="124"/>
      <c r="BKG22" s="124"/>
      <c r="BKH22" s="124"/>
      <c r="BKI22" s="124"/>
      <c r="BKJ22" s="124"/>
      <c r="BKK22" s="124"/>
      <c r="BKL22" s="124"/>
      <c r="BKM22" s="124"/>
      <c r="BKN22" s="124"/>
      <c r="BKO22" s="124"/>
      <c r="BKP22" s="124"/>
      <c r="BKQ22" s="124"/>
      <c r="BKR22" s="124"/>
      <c r="BKS22" s="124"/>
      <c r="BKT22" s="124"/>
      <c r="BKU22" s="124"/>
      <c r="BKV22" s="124"/>
      <c r="BKW22" s="124"/>
      <c r="BKX22" s="124"/>
      <c r="BKY22" s="124"/>
      <c r="BKZ22" s="124"/>
      <c r="BLA22" s="124"/>
      <c r="BLB22" s="124"/>
      <c r="BLC22" s="124"/>
      <c r="BLD22" s="124"/>
      <c r="BLE22" s="124"/>
      <c r="BLF22" s="124"/>
      <c r="BLG22" s="124"/>
      <c r="BLH22" s="124"/>
      <c r="BLI22" s="124"/>
      <c r="BLJ22" s="124"/>
      <c r="BLK22" s="124"/>
      <c r="BLL22" s="124"/>
      <c r="BLM22" s="124"/>
      <c r="BLN22" s="124"/>
      <c r="BLO22" s="124"/>
      <c r="BLP22" s="124"/>
      <c r="BLQ22" s="124"/>
      <c r="BLR22" s="124"/>
      <c r="BLS22" s="124"/>
      <c r="BLT22" s="124"/>
      <c r="BLU22" s="124"/>
      <c r="BLV22" s="124"/>
      <c r="BLW22" s="124"/>
      <c r="BLX22" s="124"/>
      <c r="BLY22" s="124"/>
      <c r="BLZ22" s="124"/>
      <c r="BMA22" s="124"/>
      <c r="BMB22" s="124"/>
      <c r="BMC22" s="124"/>
      <c r="BMD22" s="124"/>
      <c r="BME22" s="124"/>
      <c r="BMF22" s="124"/>
      <c r="BMG22" s="124"/>
      <c r="BMH22" s="124"/>
      <c r="BMI22" s="124"/>
      <c r="BMJ22" s="124"/>
      <c r="BMK22" s="124"/>
      <c r="BML22" s="124"/>
      <c r="BMM22" s="124"/>
      <c r="BMN22" s="124"/>
      <c r="BMO22" s="124"/>
      <c r="BMP22" s="124"/>
      <c r="BMQ22" s="124"/>
      <c r="BMR22" s="124"/>
      <c r="BMS22" s="124"/>
      <c r="BMT22" s="124"/>
      <c r="BMU22" s="124"/>
      <c r="BMV22" s="124"/>
      <c r="BMW22" s="124"/>
      <c r="BMX22" s="124"/>
      <c r="BMY22" s="124"/>
      <c r="BMZ22" s="124"/>
      <c r="BNA22" s="124"/>
      <c r="BNB22" s="124"/>
      <c r="BNC22" s="124"/>
      <c r="BND22" s="124"/>
      <c r="BNE22" s="124"/>
      <c r="BNF22" s="124"/>
      <c r="BNG22" s="124"/>
      <c r="BNH22" s="124"/>
      <c r="BNI22" s="124"/>
      <c r="BNJ22" s="124"/>
      <c r="BNK22" s="124"/>
      <c r="BNL22" s="124"/>
      <c r="BNM22" s="124"/>
      <c r="BNN22" s="124"/>
      <c r="BNO22" s="124"/>
      <c r="BNP22" s="124"/>
      <c r="BNQ22" s="124"/>
      <c r="BNR22" s="124"/>
      <c r="BNS22" s="124"/>
      <c r="BNT22" s="124"/>
      <c r="BNU22" s="124"/>
      <c r="BNV22" s="124"/>
      <c r="BNW22" s="124"/>
      <c r="BNX22" s="124"/>
      <c r="BNY22" s="124"/>
      <c r="BNZ22" s="124"/>
      <c r="BOA22" s="124"/>
      <c r="BOB22" s="124"/>
      <c r="BOC22" s="124"/>
      <c r="BOD22" s="124"/>
      <c r="BOE22" s="124"/>
      <c r="BOF22" s="124"/>
      <c r="BOG22" s="124"/>
      <c r="BOH22" s="124"/>
      <c r="BOI22" s="124"/>
      <c r="BOJ22" s="124"/>
      <c r="BOK22" s="124"/>
      <c r="BOL22" s="124"/>
      <c r="BOM22" s="124"/>
      <c r="BON22" s="124"/>
      <c r="BOO22" s="124"/>
      <c r="BOP22" s="124"/>
      <c r="BOQ22" s="124"/>
      <c r="BOR22" s="124"/>
      <c r="BOS22" s="124"/>
      <c r="BOT22" s="124"/>
      <c r="BOU22" s="124"/>
      <c r="BOV22" s="124"/>
      <c r="BOW22" s="124"/>
      <c r="BOX22" s="124"/>
      <c r="BOY22" s="124"/>
      <c r="BOZ22" s="124"/>
      <c r="BPA22" s="124"/>
      <c r="BPB22" s="124"/>
      <c r="BPC22" s="124"/>
      <c r="BPD22" s="124"/>
      <c r="BPE22" s="124"/>
      <c r="BPF22" s="124"/>
      <c r="BPG22" s="124"/>
      <c r="BPH22" s="124"/>
      <c r="BPI22" s="124"/>
      <c r="BPJ22" s="124"/>
      <c r="BPK22" s="124"/>
      <c r="BPL22" s="124"/>
      <c r="BPM22" s="124"/>
      <c r="BPN22" s="124"/>
      <c r="BPO22" s="124"/>
      <c r="BPP22" s="124"/>
      <c r="BPQ22" s="124"/>
      <c r="BPR22" s="124"/>
      <c r="BPS22" s="124"/>
      <c r="BPT22" s="124"/>
      <c r="BPU22" s="124"/>
      <c r="BPV22" s="124"/>
      <c r="BPW22" s="124"/>
      <c r="BPX22" s="124"/>
      <c r="BPY22" s="124"/>
      <c r="BPZ22" s="124"/>
      <c r="BQA22" s="124"/>
      <c r="BQB22" s="124"/>
      <c r="BQC22" s="124"/>
      <c r="BQD22" s="124"/>
      <c r="BQE22" s="124"/>
      <c r="BQF22" s="124"/>
      <c r="BQG22" s="124"/>
      <c r="BQH22" s="124"/>
      <c r="BQI22" s="124"/>
      <c r="BQJ22" s="124"/>
      <c r="BQK22" s="124"/>
      <c r="BQL22" s="124"/>
      <c r="BQM22" s="124"/>
      <c r="BQN22" s="124"/>
      <c r="BQO22" s="124"/>
      <c r="BQP22" s="124"/>
      <c r="BQQ22" s="124"/>
      <c r="BQR22" s="124"/>
      <c r="BQS22" s="124"/>
      <c r="BQT22" s="124"/>
      <c r="BQU22" s="124"/>
      <c r="BQV22" s="124"/>
      <c r="BQW22" s="124"/>
      <c r="BQX22" s="124"/>
      <c r="BQY22" s="124"/>
      <c r="BQZ22" s="124"/>
      <c r="BRA22" s="124"/>
      <c r="BRB22" s="124"/>
      <c r="BRC22" s="124"/>
      <c r="BRD22" s="124"/>
      <c r="BRE22" s="124"/>
      <c r="BRF22" s="124"/>
      <c r="BRG22" s="124"/>
      <c r="BRH22" s="124"/>
      <c r="BRI22" s="124"/>
      <c r="BRJ22" s="124"/>
      <c r="BRK22" s="124"/>
      <c r="BRL22" s="124"/>
      <c r="BRM22" s="124"/>
      <c r="BRN22" s="124"/>
      <c r="BRO22" s="124"/>
      <c r="BRP22" s="124"/>
      <c r="BRQ22" s="124"/>
      <c r="BRR22" s="124"/>
      <c r="BRS22" s="124"/>
      <c r="BRT22" s="124"/>
      <c r="BRU22" s="124"/>
      <c r="BRV22" s="124"/>
      <c r="BRW22" s="124"/>
      <c r="BRX22" s="124"/>
      <c r="BRY22" s="124"/>
      <c r="BRZ22" s="124"/>
      <c r="BSA22" s="124"/>
      <c r="BSB22" s="124"/>
      <c r="BSC22" s="124"/>
      <c r="BSD22" s="124"/>
      <c r="BSE22" s="124"/>
      <c r="BSF22" s="124"/>
      <c r="BSG22" s="124"/>
      <c r="BSH22" s="124"/>
      <c r="BSI22" s="124"/>
      <c r="BSJ22" s="124"/>
      <c r="BSK22" s="124"/>
      <c r="BSL22" s="124"/>
      <c r="BSM22" s="124"/>
      <c r="BSN22" s="124"/>
      <c r="BSO22" s="124"/>
      <c r="BSP22" s="124"/>
      <c r="BSQ22" s="124"/>
      <c r="BSR22" s="124"/>
      <c r="BSS22" s="124"/>
      <c r="BST22" s="124"/>
      <c r="BSU22" s="124"/>
      <c r="BSV22" s="124"/>
      <c r="BSW22" s="124"/>
      <c r="BSX22" s="124"/>
      <c r="BSY22" s="124"/>
      <c r="BSZ22" s="124"/>
      <c r="BTA22" s="124"/>
      <c r="BTB22" s="124"/>
      <c r="BTC22" s="124"/>
      <c r="BTD22" s="124"/>
      <c r="BTE22" s="124"/>
      <c r="BTF22" s="124"/>
      <c r="BTG22" s="124"/>
      <c r="BTH22" s="124"/>
      <c r="BTI22" s="124"/>
      <c r="BTJ22" s="124"/>
      <c r="BTK22" s="124"/>
      <c r="BTL22" s="124"/>
      <c r="BTM22" s="124"/>
      <c r="BTN22" s="124"/>
      <c r="BTO22" s="124"/>
      <c r="BTP22" s="124"/>
      <c r="BTQ22" s="124"/>
      <c r="BTR22" s="124"/>
      <c r="BTS22" s="124"/>
      <c r="BTT22" s="124"/>
      <c r="BTU22" s="124"/>
      <c r="BTV22" s="124"/>
      <c r="BTW22" s="124"/>
      <c r="BTX22" s="124"/>
      <c r="BTY22" s="124"/>
      <c r="BTZ22" s="124"/>
      <c r="BUA22" s="124"/>
      <c r="BUB22" s="124"/>
      <c r="BUC22" s="124"/>
      <c r="BUD22" s="124"/>
      <c r="BUE22" s="124"/>
      <c r="BUF22" s="124"/>
      <c r="BUG22" s="124"/>
      <c r="BUH22" s="124"/>
      <c r="BUI22" s="124"/>
      <c r="BUJ22" s="124"/>
      <c r="BUK22" s="124"/>
      <c r="BUL22" s="124"/>
      <c r="BUM22" s="124"/>
      <c r="BUN22" s="124"/>
      <c r="BUO22" s="124"/>
      <c r="BUP22" s="124"/>
      <c r="BUQ22" s="124"/>
      <c r="BUR22" s="124"/>
      <c r="BUS22" s="124"/>
      <c r="BUT22" s="124"/>
      <c r="BUU22" s="124"/>
      <c r="BUV22" s="124"/>
      <c r="BUW22" s="124"/>
      <c r="BUX22" s="124"/>
      <c r="BUY22" s="124"/>
      <c r="BUZ22" s="124"/>
      <c r="BVA22" s="124"/>
      <c r="BVB22" s="124"/>
      <c r="BVC22" s="124"/>
      <c r="BVD22" s="124"/>
      <c r="BVE22" s="124"/>
      <c r="BVF22" s="124"/>
      <c r="BVG22" s="124"/>
      <c r="BVH22" s="124"/>
      <c r="BVI22" s="124"/>
      <c r="BVJ22" s="124"/>
      <c r="BVK22" s="124"/>
      <c r="BVL22" s="124"/>
      <c r="BVM22" s="124"/>
      <c r="BVN22" s="124"/>
      <c r="BVO22" s="124"/>
      <c r="BVP22" s="124"/>
      <c r="BVQ22" s="124"/>
      <c r="BVR22" s="124"/>
      <c r="BVS22" s="124"/>
      <c r="BVT22" s="124"/>
      <c r="BVU22" s="124"/>
      <c r="BVV22" s="124"/>
      <c r="BVW22" s="124"/>
      <c r="BVX22" s="124"/>
      <c r="BVY22" s="124"/>
      <c r="BVZ22" s="124"/>
      <c r="BWA22" s="124"/>
      <c r="BWB22" s="124"/>
      <c r="BWC22" s="124"/>
      <c r="BWD22" s="124"/>
      <c r="BWE22" s="124"/>
      <c r="BWF22" s="124"/>
      <c r="BWG22" s="124"/>
      <c r="BWH22" s="124"/>
      <c r="BWI22" s="124"/>
      <c r="BWJ22" s="124"/>
      <c r="BWK22" s="124"/>
      <c r="BWL22" s="124"/>
      <c r="BWM22" s="124"/>
      <c r="BWN22" s="124"/>
      <c r="BWO22" s="124"/>
      <c r="BWP22" s="124"/>
      <c r="BWQ22" s="124"/>
      <c r="BWR22" s="124"/>
      <c r="BWS22" s="124"/>
      <c r="BWT22" s="124"/>
      <c r="BWU22" s="124"/>
      <c r="BWV22" s="124"/>
      <c r="BWW22" s="124"/>
      <c r="BWX22" s="124"/>
      <c r="BWY22" s="124"/>
      <c r="BWZ22" s="124"/>
      <c r="BXA22" s="124"/>
      <c r="BXB22" s="124"/>
      <c r="BXC22" s="124"/>
      <c r="BXD22" s="124"/>
      <c r="BXE22" s="124"/>
      <c r="BXF22" s="124"/>
      <c r="BXG22" s="124"/>
      <c r="BXH22" s="124"/>
      <c r="BXI22" s="124"/>
      <c r="BXJ22" s="124"/>
      <c r="BXK22" s="124"/>
      <c r="BXL22" s="124"/>
      <c r="BXM22" s="124"/>
      <c r="BXN22" s="124"/>
      <c r="BXO22" s="124"/>
      <c r="BXP22" s="124"/>
      <c r="BXQ22" s="124"/>
      <c r="BXR22" s="124"/>
      <c r="BXS22" s="124"/>
      <c r="BXT22" s="124"/>
      <c r="BXU22" s="124"/>
      <c r="BXV22" s="124"/>
      <c r="BXW22" s="124"/>
      <c r="BXX22" s="124"/>
      <c r="BXY22" s="124"/>
      <c r="BXZ22" s="124"/>
      <c r="BYA22" s="124"/>
      <c r="BYB22" s="124"/>
      <c r="BYC22" s="124"/>
      <c r="BYD22" s="124"/>
      <c r="BYE22" s="124"/>
      <c r="BYF22" s="124"/>
      <c r="BYG22" s="124"/>
      <c r="BYH22" s="124"/>
      <c r="BYI22" s="124"/>
      <c r="BYJ22" s="124"/>
      <c r="BYK22" s="124"/>
      <c r="BYL22" s="124"/>
      <c r="BYM22" s="124"/>
      <c r="BYN22" s="124"/>
      <c r="BYO22" s="124"/>
      <c r="BYP22" s="124"/>
      <c r="BYQ22" s="124"/>
      <c r="BYR22" s="124"/>
      <c r="BYS22" s="124"/>
      <c r="BYT22" s="124"/>
      <c r="BYU22" s="124"/>
      <c r="BYV22" s="124"/>
      <c r="BYW22" s="124"/>
      <c r="BYX22" s="124"/>
      <c r="BYY22" s="124"/>
      <c r="BYZ22" s="124"/>
      <c r="BZA22" s="124"/>
      <c r="BZB22" s="124"/>
      <c r="BZC22" s="124"/>
      <c r="BZD22" s="124"/>
      <c r="BZE22" s="124"/>
      <c r="BZF22" s="124"/>
      <c r="BZG22" s="124"/>
      <c r="BZH22" s="124"/>
      <c r="BZI22" s="124"/>
      <c r="BZJ22" s="124"/>
      <c r="BZK22" s="124"/>
      <c r="BZL22" s="124"/>
      <c r="BZM22" s="124"/>
      <c r="BZN22" s="124"/>
      <c r="BZO22" s="124"/>
      <c r="BZP22" s="124"/>
      <c r="BZQ22" s="124"/>
      <c r="BZR22" s="124"/>
      <c r="BZS22" s="124"/>
      <c r="BZT22" s="124"/>
      <c r="BZU22" s="124"/>
      <c r="BZV22" s="124"/>
      <c r="BZW22" s="124"/>
      <c r="BZX22" s="124"/>
      <c r="BZY22" s="124"/>
      <c r="BZZ22" s="124"/>
      <c r="CAA22" s="124"/>
      <c r="CAB22" s="124"/>
      <c r="CAC22" s="124"/>
      <c r="CAD22" s="124"/>
      <c r="CAE22" s="124"/>
      <c r="CAF22" s="124"/>
      <c r="CAG22" s="124"/>
      <c r="CAH22" s="124"/>
      <c r="CAI22" s="124"/>
      <c r="CAJ22" s="124"/>
      <c r="CAK22" s="124"/>
      <c r="CAL22" s="124"/>
      <c r="CAM22" s="124"/>
      <c r="CAN22" s="124"/>
      <c r="CAO22" s="124"/>
      <c r="CAP22" s="124"/>
      <c r="CAQ22" s="124"/>
      <c r="CAR22" s="124"/>
      <c r="CAS22" s="124"/>
      <c r="CAT22" s="124"/>
      <c r="CAU22" s="124"/>
      <c r="CAV22" s="124"/>
      <c r="CAW22" s="124"/>
      <c r="CAX22" s="124"/>
      <c r="CAY22" s="124"/>
      <c r="CAZ22" s="124"/>
      <c r="CBA22" s="124"/>
      <c r="CBB22" s="124"/>
      <c r="CBC22" s="124"/>
      <c r="CBD22" s="124"/>
      <c r="CBE22" s="124"/>
      <c r="CBF22" s="124"/>
      <c r="CBG22" s="124"/>
      <c r="CBH22" s="124"/>
      <c r="CBI22" s="124"/>
      <c r="CBJ22" s="124"/>
      <c r="CBK22" s="124"/>
      <c r="CBL22" s="124"/>
      <c r="CBM22" s="124"/>
      <c r="CBN22" s="124"/>
      <c r="CBO22" s="124"/>
      <c r="CBP22" s="124"/>
      <c r="CBQ22" s="124"/>
      <c r="CBR22" s="124"/>
      <c r="CBS22" s="124"/>
      <c r="CBT22" s="124"/>
      <c r="CBU22" s="124"/>
      <c r="CBV22" s="124"/>
      <c r="CBW22" s="124"/>
      <c r="CBX22" s="124"/>
      <c r="CBY22" s="124"/>
      <c r="CBZ22" s="124"/>
      <c r="CCA22" s="124"/>
      <c r="CCB22" s="124"/>
      <c r="CCC22" s="124"/>
      <c r="CCD22" s="124"/>
      <c r="CCE22" s="124"/>
      <c r="CCF22" s="124"/>
      <c r="CCG22" s="124"/>
      <c r="CCH22" s="124"/>
      <c r="CCI22" s="124"/>
      <c r="CCJ22" s="124"/>
      <c r="CCK22" s="124"/>
      <c r="CCL22" s="124"/>
      <c r="CCM22" s="124"/>
      <c r="CCN22" s="124"/>
      <c r="CCO22" s="124"/>
      <c r="CCP22" s="124"/>
      <c r="CCQ22" s="124"/>
      <c r="CCR22" s="124"/>
      <c r="CCS22" s="124"/>
      <c r="CCT22" s="124"/>
      <c r="CCU22" s="124"/>
      <c r="CCV22" s="124"/>
      <c r="CCW22" s="124"/>
      <c r="CCX22" s="124"/>
      <c r="CCY22" s="124"/>
      <c r="CCZ22" s="124"/>
      <c r="CDA22" s="124"/>
      <c r="CDB22" s="124"/>
      <c r="CDC22" s="124"/>
      <c r="CDD22" s="124"/>
      <c r="CDE22" s="124"/>
      <c r="CDF22" s="124"/>
      <c r="CDG22" s="124"/>
      <c r="CDH22" s="124"/>
      <c r="CDI22" s="124"/>
      <c r="CDJ22" s="124"/>
      <c r="CDK22" s="124"/>
      <c r="CDL22" s="124"/>
      <c r="CDM22" s="124"/>
      <c r="CDN22" s="124"/>
      <c r="CDO22" s="124"/>
      <c r="CDP22" s="124"/>
      <c r="CDQ22" s="124"/>
      <c r="CDR22" s="124"/>
      <c r="CDS22" s="124"/>
      <c r="CDT22" s="124"/>
      <c r="CDU22" s="124"/>
      <c r="CDV22" s="124"/>
      <c r="CDW22" s="124"/>
      <c r="CDX22" s="124"/>
      <c r="CDY22" s="124"/>
      <c r="CDZ22" s="124"/>
      <c r="CEA22" s="124"/>
      <c r="CEB22" s="124"/>
      <c r="CEC22" s="124"/>
      <c r="CED22" s="124"/>
      <c r="CEE22" s="124"/>
      <c r="CEF22" s="124"/>
      <c r="CEG22" s="124"/>
      <c r="CEH22" s="124"/>
      <c r="CEI22" s="124"/>
      <c r="CEJ22" s="124"/>
      <c r="CEK22" s="124"/>
      <c r="CEL22" s="124"/>
      <c r="CEM22" s="124"/>
      <c r="CEN22" s="124"/>
      <c r="CEO22" s="124"/>
      <c r="CEP22" s="124"/>
      <c r="CEQ22" s="124"/>
      <c r="CER22" s="124"/>
      <c r="CES22" s="124"/>
      <c r="CET22" s="124"/>
      <c r="CEU22" s="124"/>
      <c r="CEV22" s="124"/>
      <c r="CEW22" s="124"/>
      <c r="CEX22" s="124"/>
      <c r="CEY22" s="124"/>
      <c r="CEZ22" s="124"/>
      <c r="CFA22" s="124"/>
      <c r="CFB22" s="124"/>
      <c r="CFC22" s="124"/>
      <c r="CFD22" s="124"/>
      <c r="CFE22" s="124"/>
      <c r="CFF22" s="124"/>
      <c r="CFG22" s="124"/>
      <c r="CFH22" s="124"/>
      <c r="CFI22" s="124"/>
      <c r="CFJ22" s="124"/>
      <c r="CFK22" s="124"/>
      <c r="CFL22" s="124"/>
      <c r="CFM22" s="124"/>
      <c r="CFN22" s="124"/>
      <c r="CFO22" s="124"/>
      <c r="CFP22" s="124"/>
      <c r="CFQ22" s="124"/>
      <c r="CFR22" s="124"/>
      <c r="CFS22" s="124"/>
      <c r="CFT22" s="124"/>
      <c r="CFU22" s="124"/>
      <c r="CFV22" s="124"/>
      <c r="CFW22" s="124"/>
      <c r="CFX22" s="124"/>
      <c r="CFY22" s="124"/>
      <c r="CFZ22" s="124"/>
      <c r="CGA22" s="124"/>
      <c r="CGB22" s="124"/>
      <c r="CGC22" s="124"/>
      <c r="CGD22" s="124"/>
      <c r="CGE22" s="124"/>
      <c r="CGF22" s="124"/>
      <c r="CGG22" s="124"/>
      <c r="CGH22" s="124"/>
      <c r="CGI22" s="124"/>
      <c r="CGJ22" s="124"/>
      <c r="CGK22" s="124"/>
      <c r="CGL22" s="124"/>
      <c r="CGM22" s="124"/>
      <c r="CGN22" s="124"/>
      <c r="CGO22" s="124"/>
      <c r="CGP22" s="124"/>
      <c r="CGQ22" s="124"/>
      <c r="CGR22" s="124"/>
      <c r="CGS22" s="124"/>
      <c r="CGT22" s="124"/>
      <c r="CGU22" s="124"/>
      <c r="CGV22" s="124"/>
      <c r="CGW22" s="124"/>
      <c r="CGX22" s="124"/>
      <c r="CGY22" s="124"/>
      <c r="CGZ22" s="124"/>
      <c r="CHA22" s="124"/>
      <c r="CHB22" s="124"/>
      <c r="CHC22" s="124"/>
      <c r="CHD22" s="124"/>
      <c r="CHE22" s="124"/>
      <c r="CHF22" s="124"/>
      <c r="CHG22" s="124"/>
      <c r="CHH22" s="124"/>
      <c r="CHI22" s="124"/>
      <c r="CHJ22" s="124"/>
      <c r="CHK22" s="124"/>
      <c r="CHL22" s="124"/>
      <c r="CHM22" s="124"/>
      <c r="CHN22" s="124"/>
      <c r="CHO22" s="124"/>
      <c r="CHP22" s="124"/>
      <c r="CHQ22" s="124"/>
      <c r="CHR22" s="124"/>
      <c r="CHS22" s="124"/>
      <c r="CHT22" s="124"/>
      <c r="CHU22" s="124"/>
      <c r="CHV22" s="124"/>
      <c r="CHW22" s="124"/>
      <c r="CHX22" s="124"/>
      <c r="CHY22" s="124"/>
      <c r="CHZ22" s="124"/>
      <c r="CIA22" s="124"/>
      <c r="CIB22" s="124"/>
      <c r="CIC22" s="124"/>
      <c r="CID22" s="124"/>
      <c r="CIE22" s="124"/>
      <c r="CIF22" s="124"/>
      <c r="CIG22" s="124"/>
      <c r="CIH22" s="124"/>
      <c r="CII22" s="124"/>
      <c r="CIJ22" s="124"/>
      <c r="CIK22" s="124"/>
      <c r="CIL22" s="124"/>
      <c r="CIM22" s="124"/>
      <c r="CIN22" s="124"/>
      <c r="CIO22" s="124"/>
      <c r="CIP22" s="124"/>
      <c r="CIQ22" s="124"/>
      <c r="CIR22" s="124"/>
      <c r="CIS22" s="124"/>
      <c r="CIT22" s="124"/>
      <c r="CIU22" s="124"/>
      <c r="CIV22" s="124"/>
      <c r="CIW22" s="124"/>
      <c r="CIX22" s="124"/>
      <c r="CIY22" s="124"/>
      <c r="CIZ22" s="124"/>
      <c r="CJA22" s="124"/>
      <c r="CJB22" s="124"/>
      <c r="CJC22" s="124"/>
      <c r="CJD22" s="124"/>
      <c r="CJE22" s="124"/>
      <c r="CJF22" s="124"/>
      <c r="CJG22" s="124"/>
      <c r="CJH22" s="124"/>
      <c r="CJI22" s="124"/>
      <c r="CJJ22" s="124"/>
      <c r="CJK22" s="124"/>
      <c r="CJL22" s="124"/>
      <c r="CJM22" s="124"/>
      <c r="CJN22" s="124"/>
      <c r="CJO22" s="124"/>
      <c r="CJP22" s="124"/>
      <c r="CJQ22" s="124"/>
      <c r="CJR22" s="124"/>
      <c r="CJS22" s="124"/>
      <c r="CJT22" s="124"/>
      <c r="CJU22" s="124"/>
      <c r="CJV22" s="124"/>
      <c r="CJW22" s="124"/>
      <c r="CJX22" s="124"/>
      <c r="CJY22" s="124"/>
      <c r="CJZ22" s="124"/>
      <c r="CKA22" s="124"/>
      <c r="CKB22" s="124"/>
      <c r="CKC22" s="124"/>
      <c r="CKD22" s="124"/>
      <c r="CKE22" s="124"/>
      <c r="CKF22" s="124"/>
      <c r="CKG22" s="124"/>
      <c r="CKH22" s="124"/>
      <c r="CKI22" s="124"/>
      <c r="CKJ22" s="124"/>
      <c r="CKK22" s="124"/>
      <c r="CKL22" s="124"/>
      <c r="CKM22" s="124"/>
      <c r="CKN22" s="124"/>
      <c r="CKO22" s="124"/>
      <c r="CKP22" s="124"/>
      <c r="CKQ22" s="124"/>
      <c r="CKR22" s="124"/>
      <c r="CKS22" s="124"/>
      <c r="CKT22" s="124"/>
      <c r="CKU22" s="124"/>
      <c r="CKV22" s="124"/>
      <c r="CKW22" s="124"/>
      <c r="CKX22" s="124"/>
      <c r="CKY22" s="124"/>
      <c r="CKZ22" s="124"/>
      <c r="CLA22" s="124"/>
      <c r="CLB22" s="124"/>
      <c r="CLC22" s="124"/>
      <c r="CLD22" s="124"/>
      <c r="CLE22" s="124"/>
      <c r="CLF22" s="124"/>
      <c r="CLG22" s="124"/>
      <c r="CLH22" s="124"/>
      <c r="CLI22" s="124"/>
      <c r="CLJ22" s="124"/>
      <c r="CLK22" s="124"/>
      <c r="CLL22" s="124"/>
      <c r="CLM22" s="124"/>
      <c r="CLN22" s="124"/>
      <c r="CLO22" s="124"/>
      <c r="CLP22" s="124"/>
      <c r="CLQ22" s="124"/>
      <c r="CLR22" s="124"/>
      <c r="CLS22" s="124"/>
      <c r="CLT22" s="124"/>
      <c r="CLU22" s="124"/>
      <c r="CLV22" s="124"/>
      <c r="CLW22" s="124"/>
      <c r="CLX22" s="124"/>
      <c r="CLY22" s="124"/>
      <c r="CLZ22" s="124"/>
      <c r="CMA22" s="124"/>
      <c r="CMB22" s="124"/>
      <c r="CMC22" s="124"/>
      <c r="CMD22" s="124"/>
      <c r="CME22" s="124"/>
      <c r="CMF22" s="124"/>
      <c r="CMG22" s="124"/>
      <c r="CMH22" s="124"/>
      <c r="CMI22" s="124"/>
      <c r="CMJ22" s="124"/>
      <c r="CMK22" s="124"/>
      <c r="CML22" s="124"/>
      <c r="CMM22" s="124"/>
      <c r="CMN22" s="124"/>
      <c r="CMO22" s="124"/>
      <c r="CMP22" s="124"/>
      <c r="CMQ22" s="124"/>
      <c r="CMR22" s="124"/>
      <c r="CMS22" s="124"/>
      <c r="CMT22" s="124"/>
      <c r="CMU22" s="124"/>
      <c r="CMV22" s="124"/>
      <c r="CMW22" s="124"/>
      <c r="CMX22" s="124"/>
      <c r="CMY22" s="124"/>
      <c r="CMZ22" s="124"/>
      <c r="CNA22" s="124"/>
      <c r="CNB22" s="124"/>
      <c r="CNC22" s="124"/>
      <c r="CND22" s="124"/>
      <c r="CNE22" s="124"/>
      <c r="CNF22" s="124"/>
      <c r="CNG22" s="124"/>
      <c r="CNH22" s="124"/>
      <c r="CNI22" s="124"/>
      <c r="CNJ22" s="124"/>
      <c r="CNK22" s="124"/>
      <c r="CNL22" s="124"/>
      <c r="CNM22" s="124"/>
      <c r="CNN22" s="124"/>
      <c r="CNO22" s="124"/>
      <c r="CNP22" s="124"/>
      <c r="CNQ22" s="124"/>
      <c r="CNR22" s="124"/>
      <c r="CNS22" s="124"/>
      <c r="CNT22" s="124"/>
      <c r="CNU22" s="124"/>
      <c r="CNV22" s="124"/>
      <c r="CNW22" s="124"/>
      <c r="CNX22" s="124"/>
      <c r="CNY22" s="124"/>
      <c r="CNZ22" s="124"/>
      <c r="COA22" s="124"/>
      <c r="COB22" s="124"/>
      <c r="COC22" s="124"/>
      <c r="COD22" s="124"/>
      <c r="COE22" s="124"/>
      <c r="COF22" s="124"/>
      <c r="COG22" s="124"/>
      <c r="COH22" s="124"/>
      <c r="COI22" s="124"/>
      <c r="COJ22" s="124"/>
      <c r="COK22" s="124"/>
      <c r="COL22" s="124"/>
      <c r="COM22" s="124"/>
      <c r="CON22" s="124"/>
      <c r="COO22" s="124"/>
      <c r="COP22" s="124"/>
      <c r="COQ22" s="124"/>
      <c r="COR22" s="124"/>
      <c r="COS22" s="124"/>
      <c r="COT22" s="124"/>
      <c r="COU22" s="124"/>
      <c r="COV22" s="124"/>
      <c r="COW22" s="124"/>
      <c r="COX22" s="124"/>
      <c r="COY22" s="124"/>
      <c r="COZ22" s="124"/>
      <c r="CPA22" s="124"/>
      <c r="CPB22" s="124"/>
      <c r="CPC22" s="124"/>
      <c r="CPD22" s="124"/>
      <c r="CPE22" s="124"/>
      <c r="CPF22" s="124"/>
      <c r="CPG22" s="124"/>
      <c r="CPH22" s="124"/>
      <c r="CPI22" s="124"/>
      <c r="CPJ22" s="124"/>
      <c r="CPK22" s="124"/>
      <c r="CPL22" s="124"/>
      <c r="CPM22" s="124"/>
      <c r="CPN22" s="124"/>
      <c r="CPO22" s="124"/>
      <c r="CPP22" s="124"/>
      <c r="CPQ22" s="124"/>
      <c r="CPR22" s="124"/>
      <c r="CPS22" s="124"/>
      <c r="CPT22" s="124"/>
      <c r="CPU22" s="124"/>
      <c r="CPV22" s="124"/>
      <c r="CPW22" s="124"/>
      <c r="CPX22" s="124"/>
      <c r="CPY22" s="124"/>
      <c r="CPZ22" s="124"/>
      <c r="CQA22" s="124"/>
      <c r="CQB22" s="124"/>
      <c r="CQC22" s="124"/>
      <c r="CQD22" s="124"/>
      <c r="CQE22" s="124"/>
      <c r="CQF22" s="124"/>
      <c r="CQG22" s="124"/>
      <c r="CQH22" s="124"/>
      <c r="CQI22" s="124"/>
      <c r="CQJ22" s="124"/>
      <c r="CQK22" s="124"/>
      <c r="CQL22" s="124"/>
      <c r="CQM22" s="124"/>
      <c r="CQN22" s="124"/>
      <c r="CQO22" s="124"/>
      <c r="CQP22" s="124"/>
      <c r="CQQ22" s="124"/>
      <c r="CQR22" s="124"/>
      <c r="CQS22" s="124"/>
      <c r="CQT22" s="124"/>
      <c r="CQU22" s="124"/>
      <c r="CQV22" s="124"/>
      <c r="CQW22" s="124"/>
      <c r="CQX22" s="124"/>
      <c r="CQY22" s="124"/>
      <c r="CQZ22" s="124"/>
      <c r="CRA22" s="124"/>
      <c r="CRB22" s="124"/>
      <c r="CRC22" s="124"/>
      <c r="CRD22" s="124"/>
      <c r="CRE22" s="124"/>
      <c r="CRF22" s="124"/>
      <c r="CRG22" s="124"/>
      <c r="CRH22" s="124"/>
      <c r="CRI22" s="124"/>
      <c r="CRJ22" s="124"/>
      <c r="CRK22" s="124"/>
      <c r="CRL22" s="124"/>
      <c r="CRM22" s="124"/>
      <c r="CRN22" s="124"/>
      <c r="CRO22" s="124"/>
      <c r="CRP22" s="124"/>
      <c r="CRQ22" s="124"/>
      <c r="CRR22" s="124"/>
      <c r="CRS22" s="124"/>
      <c r="CRT22" s="124"/>
      <c r="CRU22" s="124"/>
      <c r="CRV22" s="124"/>
      <c r="CRW22" s="124"/>
      <c r="CRX22" s="124"/>
      <c r="CRY22" s="124"/>
      <c r="CRZ22" s="124"/>
      <c r="CSA22" s="124"/>
      <c r="CSB22" s="124"/>
      <c r="CSC22" s="124"/>
      <c r="CSD22" s="124"/>
      <c r="CSE22" s="124"/>
      <c r="CSF22" s="124"/>
      <c r="CSG22" s="124"/>
      <c r="CSH22" s="124"/>
      <c r="CSI22" s="124"/>
      <c r="CSJ22" s="124"/>
      <c r="CSK22" s="124"/>
      <c r="CSL22" s="124"/>
      <c r="CSM22" s="124"/>
      <c r="CSN22" s="124"/>
      <c r="CSO22" s="124"/>
      <c r="CSP22" s="124"/>
      <c r="CSQ22" s="124"/>
      <c r="CSR22" s="124"/>
      <c r="CSS22" s="124"/>
      <c r="CST22" s="124"/>
      <c r="CSU22" s="124"/>
      <c r="CSV22" s="124"/>
      <c r="CSW22" s="124"/>
      <c r="CSX22" s="124"/>
      <c r="CSY22" s="124"/>
      <c r="CSZ22" s="124"/>
      <c r="CTA22" s="124"/>
      <c r="CTB22" s="124"/>
      <c r="CTC22" s="124"/>
      <c r="CTD22" s="124"/>
      <c r="CTE22" s="124"/>
      <c r="CTF22" s="124"/>
      <c r="CTG22" s="124"/>
      <c r="CTH22" s="124"/>
      <c r="CTI22" s="124"/>
      <c r="CTJ22" s="124"/>
      <c r="CTK22" s="124"/>
      <c r="CTL22" s="124"/>
      <c r="CTM22" s="124"/>
      <c r="CTN22" s="124"/>
      <c r="CTO22" s="124"/>
      <c r="CTP22" s="124"/>
      <c r="CTQ22" s="124"/>
      <c r="CTR22" s="124"/>
      <c r="CTS22" s="124"/>
      <c r="CTT22" s="124"/>
      <c r="CTU22" s="124"/>
      <c r="CTV22" s="124"/>
      <c r="CTW22" s="124"/>
      <c r="CTX22" s="124"/>
      <c r="CTY22" s="124"/>
      <c r="CTZ22" s="124"/>
      <c r="CUA22" s="124"/>
      <c r="CUB22" s="124"/>
      <c r="CUC22" s="124"/>
      <c r="CUD22" s="124"/>
      <c r="CUE22" s="124"/>
      <c r="CUF22" s="124"/>
      <c r="CUG22" s="124"/>
      <c r="CUH22" s="124"/>
      <c r="CUI22" s="124"/>
      <c r="CUJ22" s="124"/>
      <c r="CUK22" s="124"/>
      <c r="CUL22" s="124"/>
      <c r="CUM22" s="124"/>
      <c r="CUN22" s="124"/>
      <c r="CUO22" s="124"/>
      <c r="CUP22" s="124"/>
      <c r="CUQ22" s="124"/>
      <c r="CUR22" s="124"/>
      <c r="CUS22" s="124"/>
      <c r="CUT22" s="124"/>
      <c r="CUU22" s="124"/>
      <c r="CUV22" s="124"/>
      <c r="CUW22" s="124"/>
      <c r="CUX22" s="124"/>
      <c r="CUY22" s="124"/>
      <c r="CUZ22" s="124"/>
      <c r="CVA22" s="124"/>
      <c r="CVB22" s="124"/>
      <c r="CVC22" s="124"/>
      <c r="CVD22" s="124"/>
      <c r="CVE22" s="124"/>
      <c r="CVF22" s="124"/>
      <c r="CVG22" s="124"/>
      <c r="CVH22" s="124"/>
      <c r="CVI22" s="124"/>
      <c r="CVJ22" s="124"/>
      <c r="CVK22" s="124"/>
      <c r="CVL22" s="124"/>
      <c r="CVM22" s="124"/>
      <c r="CVN22" s="124"/>
      <c r="CVO22" s="124"/>
      <c r="CVP22" s="124"/>
      <c r="CVQ22" s="124"/>
      <c r="CVR22" s="124"/>
      <c r="CVS22" s="124"/>
      <c r="CVT22" s="124"/>
      <c r="CVU22" s="124"/>
      <c r="CVV22" s="124"/>
      <c r="CVW22" s="124"/>
      <c r="CVX22" s="124"/>
      <c r="CVY22" s="124"/>
      <c r="CVZ22" s="124"/>
      <c r="CWA22" s="124"/>
      <c r="CWB22" s="124"/>
      <c r="CWC22" s="124"/>
      <c r="CWD22" s="124"/>
      <c r="CWE22" s="124"/>
      <c r="CWF22" s="124"/>
      <c r="CWG22" s="124"/>
      <c r="CWH22" s="124"/>
      <c r="CWI22" s="124"/>
      <c r="CWJ22" s="124"/>
      <c r="CWK22" s="124"/>
      <c r="CWL22" s="124"/>
      <c r="CWM22" s="124"/>
      <c r="CWN22" s="124"/>
      <c r="CWO22" s="124"/>
      <c r="CWP22" s="124"/>
      <c r="CWQ22" s="124"/>
      <c r="CWR22" s="124"/>
      <c r="CWS22" s="124"/>
      <c r="CWT22" s="124"/>
      <c r="CWU22" s="124"/>
      <c r="CWV22" s="124"/>
      <c r="CWW22" s="124"/>
      <c r="CWX22" s="124"/>
      <c r="CWY22" s="124"/>
      <c r="CWZ22" s="124"/>
      <c r="CXA22" s="124"/>
      <c r="CXB22" s="124"/>
      <c r="CXC22" s="124"/>
      <c r="CXD22" s="124"/>
      <c r="CXE22" s="124"/>
      <c r="CXF22" s="124"/>
      <c r="CXG22" s="124"/>
      <c r="CXH22" s="124"/>
      <c r="CXI22" s="124"/>
      <c r="CXJ22" s="124"/>
      <c r="CXK22" s="124"/>
      <c r="CXL22" s="124"/>
      <c r="CXM22" s="124"/>
      <c r="CXN22" s="124"/>
      <c r="CXO22" s="124"/>
      <c r="CXP22" s="124"/>
      <c r="CXQ22" s="124"/>
      <c r="CXR22" s="124"/>
      <c r="CXS22" s="124"/>
      <c r="CXT22" s="124"/>
      <c r="CXU22" s="124"/>
      <c r="CXV22" s="124"/>
      <c r="CXW22" s="124"/>
      <c r="CXX22" s="124"/>
      <c r="CXY22" s="124"/>
      <c r="CXZ22" s="124"/>
      <c r="CYA22" s="124"/>
      <c r="CYB22" s="124"/>
      <c r="CYC22" s="124"/>
      <c r="CYD22" s="124"/>
      <c r="CYE22" s="124"/>
      <c r="CYF22" s="124"/>
      <c r="CYG22" s="124"/>
      <c r="CYH22" s="124"/>
      <c r="CYI22" s="124"/>
      <c r="CYJ22" s="124"/>
      <c r="CYK22" s="124"/>
      <c r="CYL22" s="124"/>
      <c r="CYM22" s="124"/>
      <c r="CYN22" s="124"/>
      <c r="CYO22" s="124"/>
      <c r="CYP22" s="124"/>
      <c r="CYQ22" s="124"/>
      <c r="CYR22" s="124"/>
      <c r="CYS22" s="124"/>
      <c r="CYT22" s="124"/>
      <c r="CYU22" s="124"/>
      <c r="CYV22" s="124"/>
      <c r="CYW22" s="124"/>
      <c r="CYX22" s="124"/>
      <c r="CYY22" s="124"/>
      <c r="CYZ22" s="124"/>
      <c r="CZA22" s="124"/>
      <c r="CZB22" s="124"/>
      <c r="CZC22" s="124"/>
      <c r="CZD22" s="124"/>
      <c r="CZE22" s="124"/>
      <c r="CZF22" s="124"/>
      <c r="CZG22" s="124"/>
      <c r="CZH22" s="124"/>
      <c r="CZI22" s="124"/>
      <c r="CZJ22" s="124"/>
      <c r="CZK22" s="124"/>
      <c r="CZL22" s="124"/>
      <c r="CZM22" s="124"/>
      <c r="CZN22" s="124"/>
      <c r="CZO22" s="124"/>
      <c r="CZP22" s="124"/>
      <c r="CZQ22" s="124"/>
      <c r="CZR22" s="124"/>
      <c r="CZS22" s="124"/>
      <c r="CZT22" s="124"/>
      <c r="CZU22" s="124"/>
      <c r="CZV22" s="124"/>
      <c r="CZW22" s="124"/>
      <c r="CZX22" s="124"/>
      <c r="CZY22" s="124"/>
      <c r="CZZ22" s="124"/>
      <c r="DAA22" s="124"/>
      <c r="DAB22" s="124"/>
      <c r="DAC22" s="124"/>
      <c r="DAD22" s="124"/>
      <c r="DAE22" s="124"/>
      <c r="DAF22" s="124"/>
      <c r="DAG22" s="124"/>
      <c r="DAH22" s="124"/>
      <c r="DAI22" s="124"/>
      <c r="DAJ22" s="124"/>
      <c r="DAK22" s="124"/>
      <c r="DAL22" s="124"/>
      <c r="DAM22" s="124"/>
      <c r="DAN22" s="124"/>
      <c r="DAO22" s="124"/>
      <c r="DAP22" s="124"/>
      <c r="DAQ22" s="124"/>
      <c r="DAR22" s="124"/>
      <c r="DAS22" s="124"/>
      <c r="DAT22" s="124"/>
      <c r="DAU22" s="124"/>
      <c r="DAV22" s="124"/>
      <c r="DAW22" s="124"/>
      <c r="DAX22" s="124"/>
      <c r="DAY22" s="124"/>
      <c r="DAZ22" s="124"/>
      <c r="DBA22" s="124"/>
      <c r="DBB22" s="124"/>
      <c r="DBC22" s="124"/>
      <c r="DBD22" s="124"/>
      <c r="DBE22" s="124"/>
      <c r="DBF22" s="124"/>
      <c r="DBG22" s="124"/>
      <c r="DBH22" s="124"/>
      <c r="DBI22" s="124"/>
      <c r="DBJ22" s="124"/>
      <c r="DBK22" s="124"/>
      <c r="DBL22" s="124"/>
      <c r="DBM22" s="124"/>
      <c r="DBN22" s="124"/>
      <c r="DBO22" s="124"/>
      <c r="DBP22" s="124"/>
      <c r="DBQ22" s="124"/>
      <c r="DBR22" s="124"/>
      <c r="DBS22" s="124"/>
      <c r="DBT22" s="124"/>
      <c r="DBU22" s="124"/>
      <c r="DBV22" s="124"/>
      <c r="DBW22" s="124"/>
      <c r="DBX22" s="124"/>
      <c r="DBY22" s="124"/>
      <c r="DBZ22" s="124"/>
      <c r="DCA22" s="124"/>
      <c r="DCB22" s="124"/>
      <c r="DCC22" s="124"/>
      <c r="DCD22" s="124"/>
      <c r="DCE22" s="124"/>
      <c r="DCF22" s="124"/>
      <c r="DCG22" s="124"/>
      <c r="DCH22" s="124"/>
      <c r="DCI22" s="124"/>
      <c r="DCJ22" s="124"/>
      <c r="DCK22" s="124"/>
      <c r="DCL22" s="124"/>
      <c r="DCM22" s="124"/>
      <c r="DCN22" s="124"/>
      <c r="DCO22" s="124"/>
      <c r="DCP22" s="124"/>
      <c r="DCQ22" s="124"/>
      <c r="DCR22" s="124"/>
      <c r="DCS22" s="124"/>
      <c r="DCT22" s="124"/>
      <c r="DCU22" s="124"/>
      <c r="DCV22" s="124"/>
      <c r="DCW22" s="124"/>
      <c r="DCX22" s="124"/>
      <c r="DCY22" s="124"/>
      <c r="DCZ22" s="124"/>
      <c r="DDA22" s="124"/>
      <c r="DDB22" s="124"/>
      <c r="DDC22" s="124"/>
      <c r="DDD22" s="124"/>
      <c r="DDE22" s="124"/>
      <c r="DDF22" s="124"/>
      <c r="DDG22" s="124"/>
      <c r="DDH22" s="124"/>
      <c r="DDI22" s="124"/>
      <c r="DDJ22" s="124"/>
      <c r="DDK22" s="124"/>
      <c r="DDL22" s="124"/>
      <c r="DDM22" s="124"/>
      <c r="DDN22" s="124"/>
      <c r="DDO22" s="124"/>
      <c r="DDP22" s="124"/>
      <c r="DDQ22" s="124"/>
      <c r="DDR22" s="124"/>
      <c r="DDS22" s="124"/>
      <c r="DDT22" s="124"/>
      <c r="DDU22" s="124"/>
      <c r="DDV22" s="124"/>
      <c r="DDW22" s="124"/>
      <c r="DDX22" s="124"/>
      <c r="DDY22" s="124"/>
      <c r="DDZ22" s="124"/>
      <c r="DEA22" s="124"/>
      <c r="DEB22" s="124"/>
      <c r="DEC22" s="124"/>
      <c r="DED22" s="124"/>
      <c r="DEE22" s="124"/>
      <c r="DEF22" s="124"/>
      <c r="DEG22" s="124"/>
      <c r="DEH22" s="124"/>
      <c r="DEI22" s="124"/>
      <c r="DEJ22" s="124"/>
      <c r="DEK22" s="124"/>
      <c r="DEL22" s="124"/>
      <c r="DEM22" s="124"/>
      <c r="DEN22" s="124"/>
      <c r="DEO22" s="124"/>
      <c r="DEP22" s="124"/>
      <c r="DEQ22" s="124"/>
      <c r="DER22" s="124"/>
      <c r="DES22" s="124"/>
      <c r="DET22" s="124"/>
      <c r="DEU22" s="124"/>
      <c r="DEV22" s="124"/>
      <c r="DEW22" s="124"/>
      <c r="DEX22" s="124"/>
      <c r="DEY22" s="124"/>
      <c r="DEZ22" s="124"/>
      <c r="DFA22" s="124"/>
      <c r="DFB22" s="124"/>
      <c r="DFC22" s="124"/>
      <c r="DFD22" s="124"/>
      <c r="DFE22" s="124"/>
      <c r="DFF22" s="124"/>
      <c r="DFG22" s="124"/>
      <c r="DFH22" s="124"/>
      <c r="DFI22" s="124"/>
      <c r="DFJ22" s="124"/>
      <c r="DFK22" s="124"/>
      <c r="DFL22" s="124"/>
      <c r="DFM22" s="124"/>
      <c r="DFN22" s="124"/>
      <c r="DFO22" s="124"/>
      <c r="DFP22" s="124"/>
      <c r="DFQ22" s="124"/>
      <c r="DFR22" s="124"/>
      <c r="DFS22" s="124"/>
      <c r="DFT22" s="124"/>
      <c r="DFU22" s="124"/>
      <c r="DFV22" s="124"/>
      <c r="DFW22" s="124"/>
      <c r="DFX22" s="124"/>
      <c r="DFY22" s="124"/>
      <c r="DFZ22" s="124"/>
      <c r="DGA22" s="124"/>
      <c r="DGB22" s="124"/>
      <c r="DGC22" s="124"/>
      <c r="DGD22" s="124"/>
      <c r="DGE22" s="124"/>
      <c r="DGF22" s="124"/>
      <c r="DGG22" s="124"/>
      <c r="DGH22" s="124"/>
      <c r="DGI22" s="124"/>
      <c r="DGJ22" s="124"/>
      <c r="DGK22" s="124"/>
      <c r="DGL22" s="124"/>
      <c r="DGM22" s="124"/>
      <c r="DGN22" s="124"/>
      <c r="DGO22" s="124"/>
      <c r="DGP22" s="124"/>
      <c r="DGQ22" s="124"/>
      <c r="DGR22" s="124"/>
      <c r="DGS22" s="124"/>
      <c r="DGT22" s="124"/>
      <c r="DGU22" s="124"/>
      <c r="DGV22" s="124"/>
      <c r="DGW22" s="124"/>
      <c r="DGX22" s="124"/>
      <c r="DGY22" s="124"/>
      <c r="DGZ22" s="124"/>
      <c r="DHA22" s="124"/>
      <c r="DHB22" s="124"/>
      <c r="DHC22" s="124"/>
      <c r="DHD22" s="124"/>
      <c r="DHE22" s="124"/>
      <c r="DHF22" s="124"/>
      <c r="DHG22" s="124"/>
      <c r="DHH22" s="124"/>
      <c r="DHI22" s="124"/>
      <c r="DHJ22" s="124"/>
      <c r="DHK22" s="124"/>
      <c r="DHL22" s="124"/>
      <c r="DHM22" s="124"/>
      <c r="DHN22" s="124"/>
      <c r="DHO22" s="124"/>
      <c r="DHP22" s="124"/>
      <c r="DHQ22" s="124"/>
      <c r="DHR22" s="124"/>
      <c r="DHS22" s="124"/>
      <c r="DHT22" s="124"/>
      <c r="DHU22" s="124"/>
      <c r="DHV22" s="124"/>
      <c r="DHW22" s="124"/>
      <c r="DHX22" s="124"/>
      <c r="DHY22" s="124"/>
      <c r="DHZ22" s="124"/>
      <c r="DIA22" s="124"/>
      <c r="DIB22" s="124"/>
      <c r="DIC22" s="124"/>
      <c r="DID22" s="124"/>
      <c r="DIE22" s="124"/>
      <c r="DIF22" s="124"/>
      <c r="DIG22" s="124"/>
      <c r="DIH22" s="124"/>
      <c r="DII22" s="124"/>
      <c r="DIJ22" s="124"/>
      <c r="DIK22" s="124"/>
      <c r="DIL22" s="124"/>
      <c r="DIM22" s="124"/>
      <c r="DIN22" s="124"/>
      <c r="DIO22" s="124"/>
      <c r="DIP22" s="124"/>
      <c r="DIQ22" s="124"/>
      <c r="DIR22" s="124"/>
      <c r="DIS22" s="124"/>
      <c r="DIT22" s="124"/>
      <c r="DIU22" s="124"/>
      <c r="DIV22" s="124"/>
      <c r="DIW22" s="124"/>
      <c r="DIX22" s="124"/>
      <c r="DIY22" s="124"/>
      <c r="DIZ22" s="124"/>
      <c r="DJA22" s="124"/>
      <c r="DJB22" s="124"/>
      <c r="DJC22" s="124"/>
      <c r="DJD22" s="124"/>
      <c r="DJE22" s="124"/>
      <c r="DJF22" s="124"/>
      <c r="DJG22" s="124"/>
      <c r="DJH22" s="124"/>
      <c r="DJI22" s="124"/>
      <c r="DJJ22" s="124"/>
      <c r="DJK22" s="124"/>
      <c r="DJL22" s="124"/>
      <c r="DJM22" s="124"/>
      <c r="DJN22" s="124"/>
      <c r="DJO22" s="124"/>
      <c r="DJP22" s="124"/>
      <c r="DJQ22" s="124"/>
      <c r="DJR22" s="124"/>
      <c r="DJS22" s="124"/>
      <c r="DJT22" s="124"/>
      <c r="DJU22" s="124"/>
      <c r="DJV22" s="124"/>
      <c r="DJW22" s="124"/>
      <c r="DJX22" s="124"/>
      <c r="DJY22" s="124"/>
      <c r="DJZ22" s="124"/>
      <c r="DKA22" s="124"/>
      <c r="DKB22" s="124"/>
      <c r="DKC22" s="124"/>
      <c r="DKD22" s="124"/>
      <c r="DKE22" s="124"/>
      <c r="DKF22" s="124"/>
      <c r="DKG22" s="124"/>
      <c r="DKH22" s="124"/>
      <c r="DKI22" s="124"/>
      <c r="DKJ22" s="124"/>
      <c r="DKK22" s="124"/>
      <c r="DKL22" s="124"/>
      <c r="DKM22" s="124"/>
      <c r="DKN22" s="124"/>
      <c r="DKO22" s="124"/>
      <c r="DKP22" s="124"/>
      <c r="DKQ22" s="124"/>
      <c r="DKR22" s="124"/>
      <c r="DKS22" s="124"/>
      <c r="DKT22" s="124"/>
      <c r="DKU22" s="124"/>
      <c r="DKV22" s="124"/>
      <c r="DKW22" s="124"/>
      <c r="DKX22" s="124"/>
      <c r="DKY22" s="124"/>
      <c r="DKZ22" s="124"/>
      <c r="DLA22" s="124"/>
      <c r="DLB22" s="124"/>
      <c r="DLC22" s="124"/>
      <c r="DLD22" s="124"/>
      <c r="DLE22" s="124"/>
      <c r="DLF22" s="124"/>
      <c r="DLG22" s="124"/>
      <c r="DLH22" s="124"/>
      <c r="DLI22" s="124"/>
      <c r="DLJ22" s="124"/>
      <c r="DLK22" s="124"/>
      <c r="DLL22" s="124"/>
      <c r="DLM22" s="124"/>
      <c r="DLN22" s="124"/>
      <c r="DLO22" s="124"/>
      <c r="DLP22" s="124"/>
      <c r="DLQ22" s="124"/>
      <c r="DLR22" s="124"/>
      <c r="DLS22" s="124"/>
      <c r="DLT22" s="124"/>
      <c r="DLU22" s="124"/>
      <c r="DLV22" s="124"/>
      <c r="DLW22" s="124"/>
      <c r="DLX22" s="124"/>
      <c r="DLY22" s="124"/>
      <c r="DLZ22" s="124"/>
      <c r="DMA22" s="124"/>
      <c r="DMB22" s="124"/>
      <c r="DMC22" s="124"/>
      <c r="DMD22" s="124"/>
      <c r="DME22" s="124"/>
      <c r="DMF22" s="124"/>
      <c r="DMG22" s="124"/>
      <c r="DMH22" s="124"/>
      <c r="DMI22" s="124"/>
      <c r="DMJ22" s="124"/>
      <c r="DMK22" s="124"/>
      <c r="DML22" s="124"/>
      <c r="DMM22" s="124"/>
      <c r="DMN22" s="124"/>
      <c r="DMO22" s="124"/>
      <c r="DMP22" s="124"/>
      <c r="DMQ22" s="124"/>
      <c r="DMR22" s="124"/>
      <c r="DMS22" s="124"/>
      <c r="DMT22" s="124"/>
      <c r="DMU22" s="124"/>
      <c r="DMV22" s="124"/>
      <c r="DMW22" s="124"/>
      <c r="DMX22" s="124"/>
      <c r="DMY22" s="124"/>
      <c r="DMZ22" s="124"/>
      <c r="DNA22" s="124"/>
      <c r="DNB22" s="124"/>
      <c r="DNC22" s="124"/>
      <c r="DND22" s="124"/>
      <c r="DNE22" s="124"/>
      <c r="DNF22" s="124"/>
      <c r="DNG22" s="124"/>
      <c r="DNH22" s="124"/>
      <c r="DNI22" s="124"/>
      <c r="DNJ22" s="124"/>
      <c r="DNK22" s="124"/>
      <c r="DNL22" s="124"/>
      <c r="DNM22" s="124"/>
      <c r="DNN22" s="124"/>
      <c r="DNO22" s="124"/>
      <c r="DNP22" s="124"/>
      <c r="DNQ22" s="124"/>
      <c r="DNR22" s="124"/>
      <c r="DNS22" s="124"/>
      <c r="DNT22" s="124"/>
      <c r="DNU22" s="124"/>
      <c r="DNV22" s="124"/>
      <c r="DNW22" s="124"/>
      <c r="DNX22" s="124"/>
      <c r="DNY22" s="124"/>
      <c r="DNZ22" s="124"/>
      <c r="DOA22" s="124"/>
      <c r="DOB22" s="124"/>
      <c r="DOC22" s="124"/>
      <c r="DOD22" s="124"/>
      <c r="DOE22" s="124"/>
      <c r="DOF22" s="124"/>
      <c r="DOG22" s="124"/>
      <c r="DOH22" s="124"/>
      <c r="DOI22" s="124"/>
      <c r="DOJ22" s="124"/>
      <c r="DOK22" s="124"/>
      <c r="DOL22" s="124"/>
      <c r="DOM22" s="124"/>
      <c r="DON22" s="124"/>
      <c r="DOO22" s="124"/>
      <c r="DOP22" s="124"/>
      <c r="DOQ22" s="124"/>
      <c r="DOR22" s="124"/>
      <c r="DOS22" s="124"/>
      <c r="DOT22" s="124"/>
      <c r="DOU22" s="124"/>
      <c r="DOV22" s="124"/>
      <c r="DOW22" s="124"/>
      <c r="DOX22" s="124"/>
      <c r="DOY22" s="124"/>
      <c r="DOZ22" s="124"/>
      <c r="DPA22" s="124"/>
      <c r="DPB22" s="124"/>
      <c r="DPC22" s="124"/>
      <c r="DPD22" s="124"/>
      <c r="DPE22" s="124"/>
      <c r="DPF22" s="124"/>
      <c r="DPG22" s="124"/>
      <c r="DPH22" s="124"/>
      <c r="DPI22" s="124"/>
      <c r="DPJ22" s="124"/>
      <c r="DPK22" s="124"/>
      <c r="DPL22" s="124"/>
      <c r="DPM22" s="124"/>
      <c r="DPN22" s="124"/>
      <c r="DPO22" s="124"/>
      <c r="DPP22" s="124"/>
      <c r="DPQ22" s="124"/>
      <c r="DPR22" s="124"/>
      <c r="DPS22" s="124"/>
      <c r="DPT22" s="124"/>
      <c r="DPU22" s="124"/>
      <c r="DPV22" s="124"/>
      <c r="DPW22" s="124"/>
      <c r="DPX22" s="124"/>
      <c r="DPY22" s="124"/>
      <c r="DPZ22" s="124"/>
      <c r="DQA22" s="124"/>
      <c r="DQB22" s="124"/>
      <c r="DQC22" s="124"/>
      <c r="DQD22" s="124"/>
      <c r="DQE22" s="124"/>
      <c r="DQF22" s="124"/>
      <c r="DQG22" s="124"/>
      <c r="DQH22" s="124"/>
      <c r="DQI22" s="124"/>
      <c r="DQJ22" s="124"/>
      <c r="DQK22" s="124"/>
      <c r="DQL22" s="124"/>
      <c r="DQM22" s="124"/>
      <c r="DQN22" s="124"/>
      <c r="DQO22" s="124"/>
      <c r="DQP22" s="124"/>
      <c r="DQQ22" s="124"/>
      <c r="DQR22" s="124"/>
      <c r="DQS22" s="124"/>
      <c r="DQT22" s="124"/>
      <c r="DQU22" s="124"/>
      <c r="DQV22" s="124"/>
      <c r="DQW22" s="124"/>
      <c r="DQX22" s="124"/>
      <c r="DQY22" s="124"/>
      <c r="DQZ22" s="124"/>
      <c r="DRA22" s="124"/>
      <c r="DRB22" s="124"/>
      <c r="DRC22" s="124"/>
      <c r="DRD22" s="124"/>
      <c r="DRE22" s="124"/>
      <c r="DRF22" s="124"/>
      <c r="DRG22" s="124"/>
      <c r="DRH22" s="124"/>
      <c r="DRI22" s="124"/>
      <c r="DRJ22" s="124"/>
      <c r="DRK22" s="124"/>
      <c r="DRL22" s="124"/>
      <c r="DRM22" s="124"/>
      <c r="DRN22" s="124"/>
      <c r="DRO22" s="124"/>
      <c r="DRP22" s="124"/>
      <c r="DRQ22" s="124"/>
      <c r="DRR22" s="124"/>
      <c r="DRS22" s="124"/>
      <c r="DRT22" s="124"/>
      <c r="DRU22" s="124"/>
      <c r="DRV22" s="124"/>
      <c r="DRW22" s="124"/>
      <c r="DRX22" s="124"/>
      <c r="DRY22" s="124"/>
      <c r="DRZ22" s="124"/>
      <c r="DSA22" s="124"/>
      <c r="DSB22" s="124"/>
      <c r="DSC22" s="124"/>
      <c r="DSD22" s="124"/>
      <c r="DSE22" s="124"/>
      <c r="DSF22" s="124"/>
      <c r="DSG22" s="124"/>
      <c r="DSH22" s="124"/>
      <c r="DSI22" s="124"/>
      <c r="DSJ22" s="124"/>
      <c r="DSK22" s="124"/>
      <c r="DSL22" s="124"/>
      <c r="DSM22" s="124"/>
      <c r="DSN22" s="124"/>
      <c r="DSO22" s="124"/>
      <c r="DSP22" s="124"/>
      <c r="DSQ22" s="124"/>
      <c r="DSR22" s="124"/>
      <c r="DSS22" s="124"/>
      <c r="DST22" s="124"/>
      <c r="DSU22" s="124"/>
      <c r="DSV22" s="124"/>
      <c r="DSW22" s="124"/>
      <c r="DSX22" s="124"/>
      <c r="DSY22" s="124"/>
      <c r="DSZ22" s="124"/>
      <c r="DTA22" s="124"/>
      <c r="DTB22" s="124"/>
      <c r="DTC22" s="124"/>
      <c r="DTD22" s="124"/>
      <c r="DTE22" s="124"/>
      <c r="DTF22" s="124"/>
      <c r="DTG22" s="124"/>
      <c r="DTH22" s="124"/>
      <c r="DTI22" s="124"/>
      <c r="DTJ22" s="124"/>
      <c r="DTK22" s="124"/>
      <c r="DTL22" s="124"/>
      <c r="DTM22" s="124"/>
      <c r="DTN22" s="124"/>
      <c r="DTO22" s="124"/>
      <c r="DTP22" s="124"/>
      <c r="DTQ22" s="124"/>
      <c r="DTR22" s="124"/>
      <c r="DTS22" s="124"/>
      <c r="DTT22" s="124"/>
      <c r="DTU22" s="124"/>
      <c r="DTV22" s="124"/>
      <c r="DTW22" s="124"/>
      <c r="DTX22" s="124"/>
      <c r="DTY22" s="124"/>
      <c r="DTZ22" s="124"/>
      <c r="DUA22" s="124"/>
      <c r="DUB22" s="124"/>
      <c r="DUC22" s="124"/>
      <c r="DUD22" s="124"/>
      <c r="DUE22" s="124"/>
      <c r="DUF22" s="124"/>
      <c r="DUG22" s="124"/>
      <c r="DUH22" s="124"/>
      <c r="DUI22" s="124"/>
      <c r="DUJ22" s="124"/>
      <c r="DUK22" s="124"/>
      <c r="DUL22" s="124"/>
      <c r="DUM22" s="124"/>
      <c r="DUN22" s="124"/>
      <c r="DUO22" s="124"/>
      <c r="DUP22" s="124"/>
      <c r="DUQ22" s="124"/>
      <c r="DUR22" s="124"/>
      <c r="DUS22" s="124"/>
      <c r="DUT22" s="124"/>
      <c r="DUU22" s="124"/>
      <c r="DUV22" s="124"/>
      <c r="DUW22" s="124"/>
      <c r="DUX22" s="124"/>
      <c r="DUY22" s="124"/>
      <c r="DUZ22" s="124"/>
      <c r="DVA22" s="124"/>
      <c r="DVB22" s="124"/>
      <c r="DVC22" s="124"/>
      <c r="DVD22" s="124"/>
      <c r="DVE22" s="124"/>
      <c r="DVF22" s="124"/>
      <c r="DVG22" s="124"/>
      <c r="DVH22" s="124"/>
      <c r="DVI22" s="124"/>
      <c r="DVJ22" s="124"/>
      <c r="DVK22" s="124"/>
      <c r="DVL22" s="124"/>
      <c r="DVM22" s="124"/>
      <c r="DVN22" s="124"/>
      <c r="DVO22" s="124"/>
      <c r="DVP22" s="124"/>
      <c r="DVQ22" s="124"/>
      <c r="DVR22" s="124"/>
      <c r="DVS22" s="124"/>
      <c r="DVT22" s="124"/>
      <c r="DVU22" s="124"/>
      <c r="DVV22" s="124"/>
      <c r="DVW22" s="124"/>
      <c r="DVX22" s="124"/>
      <c r="DVY22" s="124"/>
      <c r="DVZ22" s="124"/>
      <c r="DWA22" s="124"/>
      <c r="DWB22" s="124"/>
      <c r="DWC22" s="124"/>
      <c r="DWD22" s="124"/>
      <c r="DWE22" s="124"/>
      <c r="DWF22" s="124"/>
      <c r="DWG22" s="124"/>
      <c r="DWH22" s="124"/>
      <c r="DWI22" s="124"/>
      <c r="DWJ22" s="124"/>
      <c r="DWK22" s="124"/>
      <c r="DWL22" s="124"/>
      <c r="DWM22" s="124"/>
      <c r="DWN22" s="124"/>
      <c r="DWO22" s="124"/>
      <c r="DWP22" s="124"/>
      <c r="DWQ22" s="124"/>
      <c r="DWR22" s="124"/>
      <c r="DWS22" s="124"/>
      <c r="DWT22" s="124"/>
      <c r="DWU22" s="124"/>
      <c r="DWV22" s="124"/>
      <c r="DWW22" s="124"/>
      <c r="DWX22" s="124"/>
      <c r="DWY22" s="124"/>
      <c r="DWZ22" s="124"/>
      <c r="DXA22" s="124"/>
      <c r="DXB22" s="124"/>
      <c r="DXC22" s="124"/>
      <c r="DXD22" s="124"/>
      <c r="DXE22" s="124"/>
      <c r="DXF22" s="124"/>
      <c r="DXG22" s="124"/>
      <c r="DXH22" s="124"/>
      <c r="DXI22" s="124"/>
      <c r="DXJ22" s="124"/>
      <c r="DXK22" s="124"/>
      <c r="DXL22" s="124"/>
      <c r="DXM22" s="124"/>
      <c r="DXN22" s="124"/>
      <c r="DXO22" s="124"/>
      <c r="DXP22" s="124"/>
      <c r="DXQ22" s="124"/>
      <c r="DXR22" s="124"/>
      <c r="DXS22" s="124"/>
      <c r="DXT22" s="124"/>
      <c r="DXU22" s="124"/>
      <c r="DXV22" s="124"/>
      <c r="DXW22" s="124"/>
      <c r="DXX22" s="124"/>
      <c r="DXY22" s="124"/>
      <c r="DXZ22" s="124"/>
      <c r="DYA22" s="124"/>
      <c r="DYB22" s="124"/>
      <c r="DYC22" s="124"/>
      <c r="DYD22" s="124"/>
      <c r="DYE22" s="124"/>
      <c r="DYF22" s="124"/>
      <c r="DYG22" s="124"/>
      <c r="DYH22" s="124"/>
      <c r="DYI22" s="124"/>
      <c r="DYJ22" s="124"/>
      <c r="DYK22" s="124"/>
      <c r="DYL22" s="124"/>
      <c r="DYM22" s="124"/>
      <c r="DYN22" s="124"/>
      <c r="DYO22" s="124"/>
      <c r="DYP22" s="124"/>
      <c r="DYQ22" s="124"/>
      <c r="DYR22" s="124"/>
      <c r="DYS22" s="124"/>
      <c r="DYT22" s="124"/>
      <c r="DYU22" s="124"/>
      <c r="DYV22" s="124"/>
      <c r="DYW22" s="124"/>
      <c r="DYX22" s="124"/>
      <c r="DYY22" s="124"/>
      <c r="DYZ22" s="124"/>
      <c r="DZA22" s="124"/>
      <c r="DZB22" s="124"/>
      <c r="DZC22" s="124"/>
      <c r="DZD22" s="124"/>
      <c r="DZE22" s="124"/>
      <c r="DZF22" s="124"/>
      <c r="DZG22" s="124"/>
      <c r="DZH22" s="124"/>
      <c r="DZI22" s="124"/>
      <c r="DZJ22" s="124"/>
      <c r="DZK22" s="124"/>
      <c r="DZL22" s="124"/>
      <c r="DZM22" s="124"/>
      <c r="DZN22" s="124"/>
      <c r="DZO22" s="124"/>
      <c r="DZP22" s="124"/>
      <c r="DZQ22" s="124"/>
      <c r="DZR22" s="124"/>
      <c r="DZS22" s="124"/>
      <c r="DZT22" s="124"/>
      <c r="DZU22" s="124"/>
      <c r="DZV22" s="124"/>
      <c r="DZW22" s="124"/>
      <c r="DZX22" s="124"/>
      <c r="DZY22" s="124"/>
      <c r="DZZ22" s="124"/>
      <c r="EAA22" s="124"/>
      <c r="EAB22" s="124"/>
      <c r="EAC22" s="124"/>
      <c r="EAD22" s="124"/>
      <c r="EAE22" s="124"/>
      <c r="EAF22" s="124"/>
      <c r="EAG22" s="124"/>
      <c r="EAH22" s="124"/>
      <c r="EAI22" s="124"/>
      <c r="EAJ22" s="124"/>
      <c r="EAK22" s="124"/>
      <c r="EAL22" s="124"/>
      <c r="EAM22" s="124"/>
      <c r="EAN22" s="124"/>
      <c r="EAO22" s="124"/>
      <c r="EAP22" s="124"/>
      <c r="EAQ22" s="124"/>
      <c r="EAR22" s="124"/>
      <c r="EAS22" s="124"/>
      <c r="EAT22" s="124"/>
      <c r="EAU22" s="124"/>
      <c r="EAV22" s="124"/>
      <c r="EAW22" s="124"/>
      <c r="EAX22" s="124"/>
      <c r="EAY22" s="124"/>
      <c r="EAZ22" s="124"/>
      <c r="EBA22" s="124"/>
      <c r="EBB22" s="124"/>
      <c r="EBC22" s="124"/>
      <c r="EBD22" s="124"/>
      <c r="EBE22" s="124"/>
      <c r="EBF22" s="124"/>
      <c r="EBG22" s="124"/>
      <c r="EBH22" s="124"/>
      <c r="EBI22" s="124"/>
      <c r="EBJ22" s="124"/>
      <c r="EBK22" s="124"/>
      <c r="EBL22" s="124"/>
      <c r="EBM22" s="124"/>
      <c r="EBN22" s="124"/>
      <c r="EBO22" s="124"/>
      <c r="EBP22" s="124"/>
      <c r="EBQ22" s="124"/>
      <c r="EBR22" s="124"/>
      <c r="EBS22" s="124"/>
      <c r="EBT22" s="124"/>
      <c r="EBU22" s="124"/>
      <c r="EBV22" s="124"/>
      <c r="EBW22" s="124"/>
      <c r="EBX22" s="124"/>
      <c r="EBY22" s="124"/>
      <c r="EBZ22" s="124"/>
      <c r="ECA22" s="124"/>
      <c r="ECB22" s="124"/>
      <c r="ECC22" s="124"/>
      <c r="ECD22" s="124"/>
      <c r="ECE22" s="124"/>
      <c r="ECF22" s="124"/>
      <c r="ECG22" s="124"/>
      <c r="ECH22" s="124"/>
      <c r="ECI22" s="124"/>
      <c r="ECJ22" s="124"/>
      <c r="ECK22" s="124"/>
      <c r="ECL22" s="124"/>
      <c r="ECM22" s="124"/>
      <c r="ECN22" s="124"/>
      <c r="ECO22" s="124"/>
      <c r="ECP22" s="124"/>
      <c r="ECQ22" s="124"/>
      <c r="ECR22" s="124"/>
      <c r="ECS22" s="124"/>
      <c r="ECT22" s="124"/>
      <c r="ECU22" s="124"/>
      <c r="ECV22" s="124"/>
      <c r="ECW22" s="124"/>
      <c r="ECX22" s="124"/>
      <c r="ECY22" s="124"/>
      <c r="ECZ22" s="124"/>
      <c r="EDA22" s="124"/>
      <c r="EDB22" s="124"/>
      <c r="EDC22" s="124"/>
      <c r="EDD22" s="124"/>
      <c r="EDE22" s="124"/>
      <c r="EDF22" s="124"/>
      <c r="EDG22" s="124"/>
      <c r="EDH22" s="124"/>
      <c r="EDI22" s="124"/>
      <c r="EDJ22" s="124"/>
      <c r="EDK22" s="124"/>
      <c r="EDL22" s="124"/>
      <c r="EDM22" s="124"/>
      <c r="EDN22" s="124"/>
      <c r="EDO22" s="124"/>
      <c r="EDP22" s="124"/>
      <c r="EDQ22" s="124"/>
      <c r="EDR22" s="124"/>
      <c r="EDS22" s="124"/>
      <c r="EDT22" s="124"/>
      <c r="EDU22" s="124"/>
      <c r="EDV22" s="124"/>
      <c r="EDW22" s="124"/>
      <c r="EDX22" s="124"/>
      <c r="EDY22" s="124"/>
      <c r="EDZ22" s="124"/>
      <c r="EEA22" s="124"/>
      <c r="EEB22" s="124"/>
      <c r="EEC22" s="124"/>
      <c r="EED22" s="124"/>
      <c r="EEE22" s="124"/>
      <c r="EEF22" s="124"/>
      <c r="EEG22" s="124"/>
      <c r="EEH22" s="124"/>
      <c r="EEI22" s="124"/>
      <c r="EEJ22" s="124"/>
      <c r="EEK22" s="124"/>
      <c r="EEL22" s="124"/>
      <c r="EEM22" s="124"/>
      <c r="EEN22" s="124"/>
      <c r="EEO22" s="124"/>
      <c r="EEP22" s="124"/>
      <c r="EEQ22" s="124"/>
      <c r="EER22" s="124"/>
      <c r="EES22" s="124"/>
      <c r="EET22" s="124"/>
      <c r="EEU22" s="124"/>
      <c r="EEV22" s="124"/>
      <c r="EEW22" s="124"/>
      <c r="EEX22" s="124"/>
      <c r="EEY22" s="124"/>
      <c r="EEZ22" s="124"/>
      <c r="EFA22" s="124"/>
      <c r="EFB22" s="124"/>
      <c r="EFC22" s="124"/>
      <c r="EFD22" s="124"/>
      <c r="EFE22" s="124"/>
      <c r="EFF22" s="124"/>
      <c r="EFG22" s="124"/>
      <c r="EFH22" s="124"/>
      <c r="EFI22" s="124"/>
      <c r="EFJ22" s="124"/>
      <c r="EFK22" s="124"/>
      <c r="EFL22" s="124"/>
      <c r="EFM22" s="124"/>
      <c r="EFN22" s="124"/>
      <c r="EFO22" s="124"/>
      <c r="EFP22" s="124"/>
      <c r="EFQ22" s="124"/>
      <c r="EFR22" s="124"/>
      <c r="EFS22" s="124"/>
      <c r="EFT22" s="124"/>
      <c r="EFU22" s="124"/>
      <c r="EFV22" s="124"/>
      <c r="EFW22" s="124"/>
      <c r="EFX22" s="124"/>
      <c r="EFY22" s="124"/>
      <c r="EFZ22" s="124"/>
      <c r="EGA22" s="124"/>
      <c r="EGB22" s="124"/>
      <c r="EGC22" s="124"/>
      <c r="EGD22" s="124"/>
      <c r="EGE22" s="124"/>
      <c r="EGF22" s="124"/>
      <c r="EGG22" s="124"/>
      <c r="EGH22" s="124"/>
      <c r="EGI22" s="124"/>
      <c r="EGJ22" s="124"/>
      <c r="EGK22" s="124"/>
      <c r="EGL22" s="124"/>
      <c r="EGM22" s="124"/>
      <c r="EGN22" s="124"/>
      <c r="EGO22" s="124"/>
      <c r="EGP22" s="124"/>
      <c r="EGQ22" s="124"/>
      <c r="EGR22" s="124"/>
      <c r="EGS22" s="124"/>
      <c r="EGT22" s="124"/>
      <c r="EGU22" s="124"/>
      <c r="EGV22" s="124"/>
      <c r="EGW22" s="124"/>
      <c r="EGX22" s="124"/>
      <c r="EGY22" s="124"/>
      <c r="EGZ22" s="124"/>
      <c r="EHA22" s="124"/>
      <c r="EHB22" s="124"/>
      <c r="EHC22" s="124"/>
      <c r="EHD22" s="124"/>
      <c r="EHE22" s="124"/>
      <c r="EHF22" s="124"/>
      <c r="EHG22" s="124"/>
      <c r="EHH22" s="124"/>
      <c r="EHI22" s="124"/>
      <c r="EHJ22" s="124"/>
      <c r="EHK22" s="124"/>
      <c r="EHL22" s="124"/>
      <c r="EHM22" s="124"/>
      <c r="EHN22" s="124"/>
      <c r="EHO22" s="124"/>
      <c r="EHP22" s="124"/>
      <c r="EHQ22" s="124"/>
      <c r="EHR22" s="124"/>
      <c r="EHS22" s="124"/>
      <c r="EHT22" s="124"/>
      <c r="EHU22" s="124"/>
      <c r="EHV22" s="124"/>
      <c r="EHW22" s="124"/>
      <c r="EHX22" s="124"/>
      <c r="EHY22" s="124"/>
      <c r="EHZ22" s="124"/>
      <c r="EIA22" s="124"/>
      <c r="EIB22" s="124"/>
      <c r="EIC22" s="124"/>
      <c r="EID22" s="124"/>
      <c r="EIE22" s="124"/>
      <c r="EIF22" s="124"/>
      <c r="EIG22" s="124"/>
      <c r="EIH22" s="124"/>
      <c r="EII22" s="124"/>
      <c r="EIJ22" s="124"/>
      <c r="EIK22" s="124"/>
      <c r="EIL22" s="124"/>
      <c r="EIM22" s="124"/>
      <c r="EIN22" s="124"/>
      <c r="EIO22" s="124"/>
      <c r="EIP22" s="124"/>
      <c r="EIQ22" s="124"/>
      <c r="EIR22" s="124"/>
      <c r="EIS22" s="124"/>
      <c r="EIT22" s="124"/>
      <c r="EIU22" s="124"/>
      <c r="EIV22" s="124"/>
      <c r="EIW22" s="124"/>
      <c r="EIX22" s="124"/>
      <c r="EIY22" s="124"/>
      <c r="EIZ22" s="124"/>
      <c r="EJA22" s="124"/>
      <c r="EJB22" s="124"/>
      <c r="EJC22" s="124"/>
      <c r="EJD22" s="124"/>
      <c r="EJE22" s="124"/>
      <c r="EJF22" s="124"/>
      <c r="EJG22" s="124"/>
      <c r="EJH22" s="124"/>
      <c r="EJI22" s="124"/>
      <c r="EJJ22" s="124"/>
      <c r="EJK22" s="124"/>
      <c r="EJL22" s="124"/>
      <c r="EJM22" s="124"/>
      <c r="EJN22" s="124"/>
      <c r="EJO22" s="124"/>
      <c r="EJP22" s="124"/>
      <c r="EJQ22" s="124"/>
      <c r="EJR22" s="124"/>
      <c r="EJS22" s="124"/>
      <c r="EJT22" s="124"/>
      <c r="EJU22" s="124"/>
      <c r="EJV22" s="124"/>
      <c r="EJW22" s="124"/>
      <c r="EJX22" s="124"/>
      <c r="EJY22" s="124"/>
      <c r="EJZ22" s="124"/>
      <c r="EKA22" s="124"/>
      <c r="EKB22" s="124"/>
      <c r="EKC22" s="124"/>
      <c r="EKD22" s="124"/>
      <c r="EKE22" s="124"/>
      <c r="EKF22" s="124"/>
      <c r="EKG22" s="124"/>
      <c r="EKH22" s="124"/>
      <c r="EKI22" s="124"/>
      <c r="EKJ22" s="124"/>
      <c r="EKK22" s="124"/>
      <c r="EKL22" s="124"/>
      <c r="EKM22" s="124"/>
      <c r="EKN22" s="124"/>
      <c r="EKO22" s="124"/>
      <c r="EKP22" s="124"/>
      <c r="EKQ22" s="124"/>
      <c r="EKR22" s="124"/>
      <c r="EKS22" s="124"/>
      <c r="EKT22" s="124"/>
      <c r="EKU22" s="124"/>
      <c r="EKV22" s="124"/>
      <c r="EKW22" s="124"/>
      <c r="EKX22" s="124"/>
      <c r="EKY22" s="124"/>
      <c r="EKZ22" s="124"/>
      <c r="ELA22" s="124"/>
      <c r="ELB22" s="124"/>
      <c r="ELC22" s="124"/>
      <c r="ELD22" s="124"/>
      <c r="ELE22" s="124"/>
      <c r="ELF22" s="124"/>
      <c r="ELG22" s="124"/>
      <c r="ELH22" s="124"/>
      <c r="ELI22" s="124"/>
      <c r="ELJ22" s="124"/>
      <c r="ELK22" s="124"/>
      <c r="ELL22" s="124"/>
      <c r="ELM22" s="124"/>
      <c r="ELN22" s="124"/>
      <c r="ELO22" s="124"/>
      <c r="ELP22" s="124"/>
      <c r="ELQ22" s="124"/>
      <c r="ELR22" s="124"/>
      <c r="ELS22" s="124"/>
      <c r="ELT22" s="124"/>
      <c r="ELU22" s="124"/>
      <c r="ELV22" s="124"/>
      <c r="ELW22" s="124"/>
      <c r="ELX22" s="124"/>
      <c r="ELY22" s="124"/>
      <c r="ELZ22" s="124"/>
      <c r="EMA22" s="124"/>
      <c r="EMB22" s="124"/>
      <c r="EMC22" s="124"/>
      <c r="EMD22" s="124"/>
      <c r="EME22" s="124"/>
      <c r="EMF22" s="124"/>
      <c r="EMG22" s="124"/>
      <c r="EMH22" s="124"/>
      <c r="EMI22" s="124"/>
      <c r="EMJ22" s="124"/>
      <c r="EMK22" s="124"/>
      <c r="EML22" s="124"/>
      <c r="EMM22" s="124"/>
      <c r="EMN22" s="124"/>
      <c r="EMO22" s="124"/>
      <c r="EMP22" s="124"/>
      <c r="EMQ22" s="124"/>
      <c r="EMR22" s="124"/>
      <c r="EMS22" s="124"/>
      <c r="EMT22" s="124"/>
      <c r="EMU22" s="124"/>
      <c r="EMV22" s="124"/>
      <c r="EMW22" s="124"/>
      <c r="EMX22" s="124"/>
      <c r="EMY22" s="124"/>
      <c r="EMZ22" s="124"/>
      <c r="ENA22" s="124"/>
      <c r="ENB22" s="124"/>
      <c r="ENC22" s="124"/>
      <c r="END22" s="124"/>
      <c r="ENE22" s="124"/>
      <c r="ENF22" s="124"/>
      <c r="ENG22" s="124"/>
      <c r="ENH22" s="124"/>
      <c r="ENI22" s="124"/>
      <c r="ENJ22" s="124"/>
      <c r="ENK22" s="124"/>
      <c r="ENL22" s="124"/>
      <c r="ENM22" s="124"/>
      <c r="ENN22" s="124"/>
      <c r="ENO22" s="124"/>
      <c r="ENP22" s="124"/>
      <c r="ENQ22" s="124"/>
      <c r="ENR22" s="124"/>
      <c r="ENS22" s="124"/>
      <c r="ENT22" s="124"/>
      <c r="ENU22" s="124"/>
      <c r="ENV22" s="124"/>
      <c r="ENW22" s="124"/>
      <c r="ENX22" s="124"/>
      <c r="ENY22" s="124"/>
      <c r="ENZ22" s="124"/>
      <c r="EOA22" s="124"/>
      <c r="EOB22" s="124"/>
      <c r="EOC22" s="124"/>
      <c r="EOD22" s="124"/>
      <c r="EOE22" s="124"/>
      <c r="EOF22" s="124"/>
      <c r="EOG22" s="124"/>
      <c r="EOH22" s="124"/>
      <c r="EOI22" s="124"/>
      <c r="EOJ22" s="124"/>
      <c r="EOK22" s="124"/>
      <c r="EOL22" s="124"/>
      <c r="EOM22" s="124"/>
      <c r="EON22" s="124"/>
      <c r="EOO22" s="124"/>
      <c r="EOP22" s="124"/>
      <c r="EOQ22" s="124"/>
      <c r="EOR22" s="124"/>
      <c r="EOS22" s="124"/>
      <c r="EOT22" s="124"/>
      <c r="EOU22" s="124"/>
      <c r="EOV22" s="124"/>
      <c r="EOW22" s="124"/>
      <c r="EOX22" s="124"/>
      <c r="EOY22" s="124"/>
      <c r="EOZ22" s="124"/>
      <c r="EPA22" s="124"/>
      <c r="EPB22" s="124"/>
      <c r="EPC22" s="124"/>
      <c r="EPD22" s="124"/>
      <c r="EPE22" s="124"/>
      <c r="EPF22" s="124"/>
      <c r="EPG22" s="124"/>
      <c r="EPH22" s="124"/>
      <c r="EPI22" s="124"/>
      <c r="EPJ22" s="124"/>
      <c r="EPK22" s="124"/>
      <c r="EPL22" s="124"/>
      <c r="EPM22" s="124"/>
      <c r="EPN22" s="124"/>
      <c r="EPO22" s="124"/>
      <c r="EPP22" s="124"/>
      <c r="EPQ22" s="124"/>
      <c r="EPR22" s="124"/>
      <c r="EPS22" s="124"/>
      <c r="EPT22" s="124"/>
      <c r="EPU22" s="124"/>
      <c r="EPV22" s="124"/>
      <c r="EPW22" s="124"/>
      <c r="EPX22" s="124"/>
      <c r="EPY22" s="124"/>
      <c r="EPZ22" s="124"/>
      <c r="EQA22" s="124"/>
      <c r="EQB22" s="124"/>
      <c r="EQC22" s="124"/>
      <c r="EQD22" s="124"/>
      <c r="EQE22" s="124"/>
      <c r="EQF22" s="124"/>
      <c r="EQG22" s="124"/>
      <c r="EQH22" s="124"/>
      <c r="EQI22" s="124"/>
      <c r="EQJ22" s="124"/>
      <c r="EQK22" s="124"/>
      <c r="EQL22" s="124"/>
      <c r="EQM22" s="124"/>
      <c r="EQN22" s="124"/>
      <c r="EQO22" s="124"/>
      <c r="EQP22" s="124"/>
      <c r="EQQ22" s="124"/>
      <c r="EQR22" s="124"/>
      <c r="EQS22" s="124"/>
      <c r="EQT22" s="124"/>
      <c r="EQU22" s="124"/>
      <c r="EQV22" s="124"/>
      <c r="EQW22" s="124"/>
      <c r="EQX22" s="124"/>
      <c r="EQY22" s="124"/>
      <c r="EQZ22" s="124"/>
      <c r="ERA22" s="124"/>
      <c r="ERB22" s="124"/>
      <c r="ERC22" s="124"/>
      <c r="ERD22" s="124"/>
      <c r="ERE22" s="124"/>
      <c r="ERF22" s="124"/>
      <c r="ERG22" s="124"/>
      <c r="ERH22" s="124"/>
      <c r="ERI22" s="124"/>
      <c r="ERJ22" s="124"/>
      <c r="ERK22" s="124"/>
      <c r="ERL22" s="124"/>
      <c r="ERM22" s="124"/>
      <c r="ERN22" s="124"/>
      <c r="ERO22" s="124"/>
      <c r="ERP22" s="124"/>
      <c r="ERQ22" s="124"/>
      <c r="ERR22" s="124"/>
      <c r="ERS22" s="124"/>
      <c r="ERT22" s="124"/>
      <c r="ERU22" s="124"/>
      <c r="ERV22" s="124"/>
      <c r="ERW22" s="124"/>
      <c r="ERX22" s="124"/>
      <c r="ERY22" s="124"/>
      <c r="ERZ22" s="124"/>
      <c r="ESA22" s="124"/>
      <c r="ESB22" s="124"/>
      <c r="ESC22" s="124"/>
      <c r="ESD22" s="124"/>
      <c r="ESE22" s="124"/>
      <c r="ESF22" s="124"/>
      <c r="ESG22" s="124"/>
      <c r="ESH22" s="124"/>
      <c r="ESI22" s="124"/>
      <c r="ESJ22" s="124"/>
      <c r="ESK22" s="124"/>
      <c r="ESL22" s="124"/>
      <c r="ESM22" s="124"/>
      <c r="ESN22" s="124"/>
      <c r="ESO22" s="124"/>
      <c r="ESP22" s="124"/>
      <c r="ESQ22" s="124"/>
      <c r="ESR22" s="124"/>
      <c r="ESS22" s="124"/>
      <c r="EST22" s="124"/>
      <c r="ESU22" s="124"/>
      <c r="ESV22" s="124"/>
      <c r="ESW22" s="124"/>
      <c r="ESX22" s="124"/>
      <c r="ESY22" s="124"/>
      <c r="ESZ22" s="124"/>
      <c r="ETA22" s="124"/>
      <c r="ETB22" s="124"/>
      <c r="ETC22" s="124"/>
      <c r="ETD22" s="124"/>
      <c r="ETE22" s="124"/>
      <c r="ETF22" s="124"/>
      <c r="ETG22" s="124"/>
      <c r="ETH22" s="124"/>
      <c r="ETI22" s="124"/>
      <c r="ETJ22" s="124"/>
      <c r="ETK22" s="124"/>
      <c r="ETL22" s="124"/>
      <c r="ETM22" s="124"/>
      <c r="ETN22" s="124"/>
      <c r="ETO22" s="124"/>
      <c r="ETP22" s="124"/>
      <c r="ETQ22" s="124"/>
      <c r="ETR22" s="124"/>
      <c r="ETS22" s="124"/>
      <c r="ETT22" s="124"/>
      <c r="ETU22" s="124"/>
      <c r="ETV22" s="124"/>
      <c r="ETW22" s="124"/>
      <c r="ETX22" s="124"/>
      <c r="ETY22" s="124"/>
      <c r="ETZ22" s="124"/>
      <c r="EUA22" s="124"/>
      <c r="EUB22" s="124"/>
      <c r="EUC22" s="124"/>
      <c r="EUD22" s="124"/>
      <c r="EUE22" s="124"/>
      <c r="EUF22" s="124"/>
      <c r="EUG22" s="124"/>
      <c r="EUH22" s="124"/>
      <c r="EUI22" s="124"/>
      <c r="EUJ22" s="124"/>
      <c r="EUK22" s="124"/>
      <c r="EUL22" s="124"/>
      <c r="EUM22" s="124"/>
      <c r="EUN22" s="124"/>
      <c r="EUO22" s="124"/>
      <c r="EUP22" s="124"/>
      <c r="EUQ22" s="124"/>
      <c r="EUR22" s="124"/>
      <c r="EUS22" s="124"/>
      <c r="EUT22" s="124"/>
      <c r="EUU22" s="124"/>
      <c r="EUV22" s="124"/>
      <c r="EUW22" s="124"/>
      <c r="EUX22" s="124"/>
      <c r="EUY22" s="124"/>
      <c r="EUZ22" s="124"/>
      <c r="EVA22" s="124"/>
      <c r="EVB22" s="124"/>
      <c r="EVC22" s="124"/>
      <c r="EVD22" s="124"/>
      <c r="EVE22" s="124"/>
      <c r="EVF22" s="124"/>
      <c r="EVG22" s="124"/>
      <c r="EVH22" s="124"/>
      <c r="EVI22" s="124"/>
      <c r="EVJ22" s="124"/>
      <c r="EVK22" s="124"/>
      <c r="EVL22" s="124"/>
      <c r="EVM22" s="124"/>
      <c r="EVN22" s="124"/>
      <c r="EVO22" s="124"/>
      <c r="EVP22" s="124"/>
      <c r="EVQ22" s="124"/>
      <c r="EVR22" s="124"/>
      <c r="EVS22" s="124"/>
      <c r="EVT22" s="124"/>
      <c r="EVU22" s="124"/>
      <c r="EVV22" s="124"/>
      <c r="EVW22" s="124"/>
      <c r="EVX22" s="124"/>
      <c r="EVY22" s="124"/>
      <c r="EVZ22" s="124"/>
      <c r="EWA22" s="124"/>
      <c r="EWB22" s="124"/>
      <c r="EWC22" s="124"/>
      <c r="EWD22" s="124"/>
      <c r="EWE22" s="124"/>
      <c r="EWF22" s="124"/>
      <c r="EWG22" s="124"/>
      <c r="EWH22" s="124"/>
      <c r="EWI22" s="124"/>
      <c r="EWJ22" s="124"/>
      <c r="EWK22" s="124"/>
      <c r="EWL22" s="124"/>
      <c r="EWM22" s="124"/>
      <c r="EWN22" s="124"/>
      <c r="EWO22" s="124"/>
      <c r="EWP22" s="124"/>
      <c r="EWQ22" s="124"/>
      <c r="EWR22" s="124"/>
      <c r="EWS22" s="124"/>
      <c r="EWT22" s="124"/>
      <c r="EWU22" s="124"/>
      <c r="EWV22" s="124"/>
      <c r="EWW22" s="124"/>
      <c r="EWX22" s="124"/>
      <c r="EWY22" s="124"/>
      <c r="EWZ22" s="124"/>
      <c r="EXA22" s="124"/>
      <c r="EXB22" s="124"/>
      <c r="EXC22" s="124"/>
      <c r="EXD22" s="124"/>
      <c r="EXE22" s="124"/>
      <c r="EXF22" s="124"/>
      <c r="EXG22" s="124"/>
      <c r="EXH22" s="124"/>
      <c r="EXI22" s="124"/>
      <c r="EXJ22" s="124"/>
      <c r="EXK22" s="124"/>
      <c r="EXL22" s="124"/>
      <c r="EXM22" s="124"/>
      <c r="EXN22" s="124"/>
      <c r="EXO22" s="124"/>
      <c r="EXP22" s="124"/>
      <c r="EXQ22" s="124"/>
      <c r="EXR22" s="124"/>
      <c r="EXS22" s="124"/>
      <c r="EXT22" s="124"/>
      <c r="EXU22" s="124"/>
      <c r="EXV22" s="124"/>
      <c r="EXW22" s="124"/>
      <c r="EXX22" s="124"/>
      <c r="EXY22" s="124"/>
      <c r="EXZ22" s="124"/>
      <c r="EYA22" s="124"/>
      <c r="EYB22" s="124"/>
      <c r="EYC22" s="124"/>
      <c r="EYD22" s="124"/>
      <c r="EYE22" s="124"/>
      <c r="EYF22" s="124"/>
      <c r="EYG22" s="124"/>
      <c r="EYH22" s="124"/>
      <c r="EYI22" s="124"/>
      <c r="EYJ22" s="124"/>
      <c r="EYK22" s="124"/>
      <c r="EYL22" s="124"/>
      <c r="EYM22" s="124"/>
      <c r="EYN22" s="124"/>
      <c r="EYO22" s="124"/>
      <c r="EYP22" s="124"/>
      <c r="EYQ22" s="124"/>
      <c r="EYR22" s="124"/>
      <c r="EYS22" s="124"/>
      <c r="EYT22" s="124"/>
      <c r="EYU22" s="124"/>
      <c r="EYV22" s="124"/>
      <c r="EYW22" s="124"/>
      <c r="EYX22" s="124"/>
      <c r="EYY22" s="124"/>
      <c r="EYZ22" s="124"/>
      <c r="EZA22" s="124"/>
      <c r="EZB22" s="124"/>
      <c r="EZC22" s="124"/>
      <c r="EZD22" s="124"/>
      <c r="EZE22" s="124"/>
      <c r="EZF22" s="124"/>
      <c r="EZG22" s="124"/>
      <c r="EZH22" s="124"/>
      <c r="EZI22" s="124"/>
      <c r="EZJ22" s="124"/>
      <c r="EZK22" s="124"/>
      <c r="EZL22" s="124"/>
      <c r="EZM22" s="124"/>
      <c r="EZN22" s="124"/>
      <c r="EZO22" s="124"/>
      <c r="EZP22" s="124"/>
      <c r="EZQ22" s="124"/>
      <c r="EZR22" s="124"/>
      <c r="EZS22" s="124"/>
      <c r="EZT22" s="124"/>
      <c r="EZU22" s="124"/>
      <c r="EZV22" s="124"/>
      <c r="EZW22" s="124"/>
      <c r="EZX22" s="124"/>
      <c r="EZY22" s="124"/>
      <c r="EZZ22" s="124"/>
      <c r="FAA22" s="124"/>
      <c r="FAB22" s="124"/>
      <c r="FAC22" s="124"/>
      <c r="FAD22" s="124"/>
      <c r="FAE22" s="124"/>
      <c r="FAF22" s="124"/>
      <c r="FAG22" s="124"/>
      <c r="FAH22" s="124"/>
      <c r="FAI22" s="124"/>
      <c r="FAJ22" s="124"/>
      <c r="FAK22" s="124"/>
      <c r="FAL22" s="124"/>
      <c r="FAM22" s="124"/>
      <c r="FAN22" s="124"/>
      <c r="FAO22" s="124"/>
      <c r="FAP22" s="124"/>
      <c r="FAQ22" s="124"/>
      <c r="FAR22" s="124"/>
      <c r="FAS22" s="124"/>
      <c r="FAT22" s="124"/>
      <c r="FAU22" s="124"/>
      <c r="FAV22" s="124"/>
      <c r="FAW22" s="124"/>
      <c r="FAX22" s="124"/>
      <c r="FAY22" s="124"/>
      <c r="FAZ22" s="124"/>
      <c r="FBA22" s="124"/>
      <c r="FBB22" s="124"/>
      <c r="FBC22" s="124"/>
      <c r="FBD22" s="124"/>
      <c r="FBE22" s="124"/>
      <c r="FBF22" s="124"/>
      <c r="FBG22" s="124"/>
      <c r="FBH22" s="124"/>
      <c r="FBI22" s="124"/>
      <c r="FBJ22" s="124"/>
      <c r="FBK22" s="124"/>
      <c r="FBL22" s="124"/>
      <c r="FBM22" s="124"/>
      <c r="FBN22" s="124"/>
      <c r="FBO22" s="124"/>
      <c r="FBP22" s="124"/>
      <c r="FBQ22" s="124"/>
      <c r="FBR22" s="124"/>
      <c r="FBS22" s="124"/>
      <c r="FBT22" s="124"/>
      <c r="FBU22" s="124"/>
      <c r="FBV22" s="124"/>
      <c r="FBW22" s="124"/>
      <c r="FBX22" s="124"/>
      <c r="FBY22" s="124"/>
      <c r="FBZ22" s="124"/>
      <c r="FCA22" s="124"/>
      <c r="FCB22" s="124"/>
      <c r="FCC22" s="124"/>
      <c r="FCD22" s="124"/>
      <c r="FCE22" s="124"/>
      <c r="FCF22" s="124"/>
      <c r="FCG22" s="124"/>
      <c r="FCH22" s="124"/>
      <c r="FCI22" s="124"/>
      <c r="FCJ22" s="124"/>
      <c r="FCK22" s="124"/>
      <c r="FCL22" s="124"/>
      <c r="FCM22" s="124"/>
      <c r="FCN22" s="124"/>
      <c r="FCO22" s="124"/>
      <c r="FCP22" s="124"/>
      <c r="FCQ22" s="124"/>
      <c r="FCR22" s="124"/>
      <c r="FCS22" s="124"/>
      <c r="FCT22" s="124"/>
      <c r="FCU22" s="124"/>
      <c r="FCV22" s="124"/>
      <c r="FCW22" s="124"/>
      <c r="FCX22" s="124"/>
      <c r="FCY22" s="124"/>
      <c r="FCZ22" s="124"/>
      <c r="FDA22" s="124"/>
      <c r="FDB22" s="124"/>
      <c r="FDC22" s="124"/>
      <c r="FDD22" s="124"/>
      <c r="FDE22" s="124"/>
      <c r="FDF22" s="124"/>
      <c r="FDG22" s="124"/>
      <c r="FDH22" s="124"/>
      <c r="FDI22" s="124"/>
      <c r="FDJ22" s="124"/>
      <c r="FDK22" s="124"/>
      <c r="FDL22" s="124"/>
      <c r="FDM22" s="124"/>
      <c r="FDN22" s="124"/>
      <c r="FDO22" s="124"/>
      <c r="FDP22" s="124"/>
      <c r="FDQ22" s="124"/>
      <c r="FDR22" s="124"/>
      <c r="FDS22" s="124"/>
      <c r="FDT22" s="124"/>
      <c r="FDU22" s="124"/>
      <c r="FDV22" s="124"/>
      <c r="FDW22" s="124"/>
      <c r="FDX22" s="124"/>
      <c r="FDY22" s="124"/>
      <c r="FDZ22" s="124"/>
      <c r="FEA22" s="124"/>
      <c r="FEB22" s="124"/>
      <c r="FEC22" s="124"/>
      <c r="FED22" s="124"/>
      <c r="FEE22" s="124"/>
      <c r="FEF22" s="124"/>
      <c r="FEG22" s="124"/>
      <c r="FEH22" s="124"/>
      <c r="FEI22" s="124"/>
      <c r="FEJ22" s="124"/>
      <c r="FEK22" s="124"/>
      <c r="FEL22" s="124"/>
      <c r="FEM22" s="124"/>
      <c r="FEN22" s="124"/>
      <c r="FEO22" s="124"/>
      <c r="FEP22" s="124"/>
      <c r="FEQ22" s="124"/>
      <c r="FER22" s="124"/>
      <c r="FES22" s="124"/>
      <c r="FET22" s="124"/>
      <c r="FEU22" s="124"/>
      <c r="FEV22" s="124"/>
      <c r="FEW22" s="124"/>
      <c r="FEX22" s="124"/>
      <c r="FEY22" s="124"/>
      <c r="FEZ22" s="124"/>
      <c r="FFA22" s="124"/>
      <c r="FFB22" s="124"/>
      <c r="FFC22" s="124"/>
      <c r="FFD22" s="124"/>
      <c r="FFE22" s="124"/>
      <c r="FFF22" s="124"/>
      <c r="FFG22" s="124"/>
      <c r="FFH22" s="124"/>
      <c r="FFI22" s="124"/>
      <c r="FFJ22" s="124"/>
      <c r="FFK22" s="124"/>
      <c r="FFL22" s="124"/>
      <c r="FFM22" s="124"/>
      <c r="FFN22" s="124"/>
      <c r="FFO22" s="124"/>
      <c r="FFP22" s="124"/>
      <c r="FFQ22" s="124"/>
      <c r="FFR22" s="124"/>
      <c r="FFS22" s="124"/>
      <c r="FFT22" s="124"/>
      <c r="FFU22" s="124"/>
      <c r="FFV22" s="124"/>
      <c r="FFW22" s="124"/>
      <c r="FFX22" s="124"/>
      <c r="FFY22" s="124"/>
      <c r="FFZ22" s="124"/>
      <c r="FGA22" s="124"/>
      <c r="FGB22" s="124"/>
      <c r="FGC22" s="124"/>
      <c r="FGD22" s="124"/>
      <c r="FGE22" s="124"/>
      <c r="FGF22" s="124"/>
      <c r="FGG22" s="124"/>
      <c r="FGH22" s="124"/>
      <c r="FGI22" s="124"/>
      <c r="FGJ22" s="124"/>
      <c r="FGK22" s="124"/>
      <c r="FGL22" s="124"/>
      <c r="FGM22" s="124"/>
      <c r="FGN22" s="124"/>
      <c r="FGO22" s="124"/>
      <c r="FGP22" s="124"/>
      <c r="FGQ22" s="124"/>
      <c r="FGR22" s="124"/>
      <c r="FGS22" s="124"/>
      <c r="FGT22" s="124"/>
      <c r="FGU22" s="124"/>
      <c r="FGV22" s="124"/>
      <c r="FGW22" s="124"/>
      <c r="FGX22" s="124"/>
      <c r="FGY22" s="124"/>
      <c r="FGZ22" s="124"/>
      <c r="FHA22" s="124"/>
      <c r="FHB22" s="124"/>
      <c r="FHC22" s="124"/>
      <c r="FHD22" s="124"/>
      <c r="FHE22" s="124"/>
      <c r="FHF22" s="124"/>
      <c r="FHG22" s="124"/>
      <c r="FHH22" s="124"/>
      <c r="FHI22" s="124"/>
      <c r="FHJ22" s="124"/>
      <c r="FHK22" s="124"/>
      <c r="FHL22" s="124"/>
      <c r="FHM22" s="124"/>
      <c r="FHN22" s="124"/>
      <c r="FHO22" s="124"/>
      <c r="FHP22" s="124"/>
      <c r="FHQ22" s="124"/>
      <c r="FHR22" s="124"/>
      <c r="FHS22" s="124"/>
      <c r="FHT22" s="124"/>
      <c r="FHU22" s="124"/>
      <c r="FHV22" s="124"/>
      <c r="FHW22" s="124"/>
      <c r="FHX22" s="124"/>
      <c r="FHY22" s="124"/>
      <c r="FHZ22" s="124"/>
      <c r="FIA22" s="124"/>
      <c r="FIB22" s="124"/>
      <c r="FIC22" s="124"/>
      <c r="FID22" s="124"/>
      <c r="FIE22" s="124"/>
      <c r="FIF22" s="124"/>
      <c r="FIG22" s="124"/>
      <c r="FIH22" s="124"/>
      <c r="FII22" s="124"/>
      <c r="FIJ22" s="124"/>
      <c r="FIK22" s="124"/>
      <c r="FIL22" s="124"/>
      <c r="FIM22" s="124"/>
      <c r="FIN22" s="124"/>
      <c r="FIO22" s="124"/>
      <c r="FIP22" s="124"/>
      <c r="FIQ22" s="124"/>
      <c r="FIR22" s="124"/>
      <c r="FIS22" s="124"/>
      <c r="FIT22" s="124"/>
      <c r="FIU22" s="124"/>
      <c r="FIV22" s="124"/>
      <c r="FIW22" s="124"/>
      <c r="FIX22" s="124"/>
      <c r="FIY22" s="124"/>
      <c r="FIZ22" s="124"/>
      <c r="FJA22" s="124"/>
      <c r="FJB22" s="124"/>
      <c r="FJC22" s="124"/>
      <c r="FJD22" s="124"/>
      <c r="FJE22" s="124"/>
      <c r="FJF22" s="124"/>
      <c r="FJG22" s="124"/>
      <c r="FJH22" s="124"/>
      <c r="FJI22" s="124"/>
      <c r="FJJ22" s="124"/>
      <c r="FJK22" s="124"/>
      <c r="FJL22" s="124"/>
      <c r="FJM22" s="124"/>
      <c r="FJN22" s="124"/>
      <c r="FJO22" s="124"/>
      <c r="FJP22" s="124"/>
      <c r="FJQ22" s="124"/>
      <c r="FJR22" s="124"/>
      <c r="FJS22" s="124"/>
      <c r="FJT22" s="124"/>
      <c r="FJU22" s="124"/>
      <c r="FJV22" s="124"/>
      <c r="FJW22" s="124"/>
      <c r="FJX22" s="124"/>
      <c r="FJY22" s="124"/>
      <c r="FJZ22" s="124"/>
      <c r="FKA22" s="124"/>
      <c r="FKB22" s="124"/>
      <c r="FKC22" s="124"/>
      <c r="FKD22" s="124"/>
      <c r="FKE22" s="124"/>
      <c r="FKF22" s="124"/>
      <c r="FKG22" s="124"/>
      <c r="FKH22" s="124"/>
      <c r="FKI22" s="124"/>
      <c r="FKJ22" s="124"/>
      <c r="FKK22" s="124"/>
      <c r="FKL22" s="124"/>
      <c r="FKM22" s="124"/>
      <c r="FKN22" s="124"/>
      <c r="FKO22" s="124"/>
      <c r="FKP22" s="124"/>
      <c r="FKQ22" s="124"/>
      <c r="FKR22" s="124"/>
      <c r="FKS22" s="124"/>
      <c r="FKT22" s="124"/>
      <c r="FKU22" s="124"/>
      <c r="FKV22" s="124"/>
      <c r="FKW22" s="124"/>
      <c r="FKX22" s="124"/>
      <c r="FKY22" s="124"/>
      <c r="FKZ22" s="124"/>
      <c r="FLA22" s="124"/>
      <c r="FLB22" s="124"/>
      <c r="FLC22" s="124"/>
      <c r="FLD22" s="124"/>
      <c r="FLE22" s="124"/>
      <c r="FLF22" s="124"/>
      <c r="FLG22" s="124"/>
      <c r="FLH22" s="124"/>
      <c r="FLI22" s="124"/>
      <c r="FLJ22" s="124"/>
      <c r="FLK22" s="124"/>
      <c r="FLL22" s="124"/>
      <c r="FLM22" s="124"/>
      <c r="FLN22" s="124"/>
      <c r="FLO22" s="124"/>
      <c r="FLP22" s="124"/>
      <c r="FLQ22" s="124"/>
      <c r="FLR22" s="124"/>
      <c r="FLS22" s="124"/>
      <c r="FLT22" s="124"/>
      <c r="FLU22" s="124"/>
      <c r="FLV22" s="124"/>
      <c r="FLW22" s="124"/>
      <c r="FLX22" s="124"/>
      <c r="FLY22" s="124"/>
      <c r="FLZ22" s="124"/>
      <c r="FMA22" s="124"/>
      <c r="FMB22" s="124"/>
      <c r="FMC22" s="124"/>
      <c r="FMD22" s="124"/>
      <c r="FME22" s="124"/>
      <c r="FMF22" s="124"/>
      <c r="FMG22" s="124"/>
      <c r="FMH22" s="124"/>
      <c r="FMI22" s="124"/>
      <c r="FMJ22" s="124"/>
      <c r="FMK22" s="124"/>
      <c r="FML22" s="124"/>
      <c r="FMM22" s="124"/>
      <c r="FMN22" s="124"/>
      <c r="FMO22" s="124"/>
      <c r="FMP22" s="124"/>
      <c r="FMQ22" s="124"/>
      <c r="FMR22" s="124"/>
      <c r="FMS22" s="124"/>
      <c r="FMT22" s="124"/>
      <c r="FMU22" s="124"/>
      <c r="FMV22" s="124"/>
      <c r="FMW22" s="124"/>
      <c r="FMX22" s="124"/>
      <c r="FMY22" s="124"/>
      <c r="FMZ22" s="124"/>
      <c r="FNA22" s="124"/>
      <c r="FNB22" s="124"/>
      <c r="FNC22" s="124"/>
      <c r="FND22" s="124"/>
      <c r="FNE22" s="124"/>
      <c r="FNF22" s="124"/>
      <c r="FNG22" s="124"/>
      <c r="FNH22" s="124"/>
      <c r="FNI22" s="124"/>
      <c r="FNJ22" s="124"/>
      <c r="FNK22" s="124"/>
      <c r="FNL22" s="124"/>
      <c r="FNM22" s="124"/>
      <c r="FNN22" s="124"/>
      <c r="FNO22" s="124"/>
      <c r="FNP22" s="124"/>
      <c r="FNQ22" s="124"/>
      <c r="FNR22" s="124"/>
      <c r="FNS22" s="124"/>
      <c r="FNT22" s="124"/>
      <c r="FNU22" s="124"/>
      <c r="FNV22" s="124"/>
      <c r="FNW22" s="124"/>
      <c r="FNX22" s="124"/>
      <c r="FNY22" s="124"/>
      <c r="FNZ22" s="124"/>
      <c r="FOA22" s="124"/>
      <c r="FOB22" s="124"/>
      <c r="FOC22" s="124"/>
      <c r="FOD22" s="124"/>
      <c r="FOE22" s="124"/>
      <c r="FOF22" s="124"/>
      <c r="FOG22" s="124"/>
      <c r="FOH22" s="124"/>
      <c r="FOI22" s="124"/>
      <c r="FOJ22" s="124"/>
      <c r="FOK22" s="124"/>
      <c r="FOL22" s="124"/>
      <c r="FOM22" s="124"/>
      <c r="FON22" s="124"/>
      <c r="FOO22" s="124"/>
      <c r="FOP22" s="124"/>
      <c r="FOQ22" s="124"/>
      <c r="FOR22" s="124"/>
      <c r="FOS22" s="124"/>
      <c r="FOT22" s="124"/>
      <c r="FOU22" s="124"/>
      <c r="FOV22" s="124"/>
      <c r="FOW22" s="124"/>
      <c r="FOX22" s="124"/>
      <c r="FOY22" s="124"/>
      <c r="FOZ22" s="124"/>
      <c r="FPA22" s="124"/>
      <c r="FPB22" s="124"/>
      <c r="FPC22" s="124"/>
      <c r="FPD22" s="124"/>
      <c r="FPE22" s="124"/>
      <c r="FPF22" s="124"/>
      <c r="FPG22" s="124"/>
      <c r="FPH22" s="124"/>
      <c r="FPI22" s="124"/>
      <c r="FPJ22" s="124"/>
      <c r="FPK22" s="124"/>
      <c r="FPL22" s="124"/>
      <c r="FPM22" s="124"/>
      <c r="FPN22" s="124"/>
      <c r="FPO22" s="124"/>
      <c r="FPP22" s="124"/>
      <c r="FPQ22" s="124"/>
      <c r="FPR22" s="124"/>
      <c r="FPS22" s="124"/>
      <c r="FPT22" s="124"/>
      <c r="FPU22" s="124"/>
      <c r="FPV22" s="124"/>
      <c r="FPW22" s="124"/>
      <c r="FPX22" s="124"/>
      <c r="FPY22" s="124"/>
      <c r="FPZ22" s="124"/>
      <c r="FQA22" s="124"/>
      <c r="FQB22" s="124"/>
      <c r="FQC22" s="124"/>
      <c r="FQD22" s="124"/>
      <c r="FQE22" s="124"/>
      <c r="FQF22" s="124"/>
      <c r="FQG22" s="124"/>
      <c r="FQH22" s="124"/>
      <c r="FQI22" s="124"/>
      <c r="FQJ22" s="124"/>
      <c r="FQK22" s="124"/>
      <c r="FQL22" s="124"/>
      <c r="FQM22" s="124"/>
      <c r="FQN22" s="124"/>
      <c r="FQO22" s="124"/>
      <c r="FQP22" s="124"/>
      <c r="FQQ22" s="124"/>
      <c r="FQR22" s="124"/>
      <c r="FQS22" s="124"/>
      <c r="FQT22" s="124"/>
      <c r="FQU22" s="124"/>
      <c r="FQV22" s="124"/>
      <c r="FQW22" s="124"/>
      <c r="FQX22" s="124"/>
      <c r="FQY22" s="124"/>
      <c r="FQZ22" s="124"/>
      <c r="FRA22" s="124"/>
      <c r="FRB22" s="124"/>
      <c r="FRC22" s="124"/>
      <c r="FRD22" s="124"/>
      <c r="FRE22" s="124"/>
      <c r="FRF22" s="124"/>
      <c r="FRG22" s="124"/>
      <c r="FRH22" s="124"/>
      <c r="FRI22" s="124"/>
      <c r="FRJ22" s="124"/>
      <c r="FRK22" s="124"/>
      <c r="FRL22" s="124"/>
      <c r="FRM22" s="124"/>
      <c r="FRN22" s="124"/>
      <c r="FRO22" s="124"/>
      <c r="FRP22" s="124"/>
      <c r="FRQ22" s="124"/>
      <c r="FRR22" s="124"/>
      <c r="FRS22" s="124"/>
      <c r="FRT22" s="124"/>
      <c r="FRU22" s="124"/>
      <c r="FRV22" s="124"/>
      <c r="FRW22" s="124"/>
      <c r="FRX22" s="124"/>
      <c r="FRY22" s="124"/>
      <c r="FRZ22" s="124"/>
      <c r="FSA22" s="124"/>
      <c r="FSB22" s="124"/>
      <c r="FSC22" s="124"/>
      <c r="FSD22" s="124"/>
      <c r="FSE22" s="124"/>
      <c r="FSF22" s="124"/>
      <c r="FSG22" s="124"/>
      <c r="FSH22" s="124"/>
      <c r="FSI22" s="124"/>
      <c r="FSJ22" s="124"/>
      <c r="FSK22" s="124"/>
      <c r="FSL22" s="124"/>
      <c r="FSM22" s="124"/>
      <c r="FSN22" s="124"/>
      <c r="FSO22" s="124"/>
      <c r="FSP22" s="124"/>
      <c r="FSQ22" s="124"/>
      <c r="FSR22" s="124"/>
      <c r="FSS22" s="124"/>
      <c r="FST22" s="124"/>
      <c r="FSU22" s="124"/>
      <c r="FSV22" s="124"/>
      <c r="FSW22" s="124"/>
      <c r="FSX22" s="124"/>
      <c r="FSY22" s="124"/>
      <c r="FSZ22" s="124"/>
      <c r="FTA22" s="124"/>
      <c r="FTB22" s="124"/>
      <c r="FTC22" s="124"/>
      <c r="FTD22" s="124"/>
      <c r="FTE22" s="124"/>
      <c r="FTF22" s="124"/>
      <c r="FTG22" s="124"/>
      <c r="FTH22" s="124"/>
      <c r="FTI22" s="124"/>
      <c r="FTJ22" s="124"/>
      <c r="FTK22" s="124"/>
      <c r="FTL22" s="124"/>
      <c r="FTM22" s="124"/>
      <c r="FTN22" s="124"/>
      <c r="FTO22" s="124"/>
      <c r="FTP22" s="124"/>
      <c r="FTQ22" s="124"/>
      <c r="FTR22" s="124"/>
      <c r="FTS22" s="124"/>
      <c r="FTT22" s="124"/>
      <c r="FTU22" s="124"/>
      <c r="FTV22" s="124"/>
      <c r="FTW22" s="124"/>
      <c r="FTX22" s="124"/>
      <c r="FTY22" s="124"/>
      <c r="FTZ22" s="124"/>
      <c r="FUA22" s="124"/>
      <c r="FUB22" s="124"/>
      <c r="FUC22" s="124"/>
      <c r="FUD22" s="124"/>
      <c r="FUE22" s="124"/>
      <c r="FUF22" s="124"/>
      <c r="FUG22" s="124"/>
      <c r="FUH22" s="124"/>
      <c r="FUI22" s="124"/>
      <c r="FUJ22" s="124"/>
      <c r="FUK22" s="124"/>
      <c r="FUL22" s="124"/>
      <c r="FUM22" s="124"/>
      <c r="FUN22" s="124"/>
      <c r="FUO22" s="124"/>
      <c r="FUP22" s="124"/>
      <c r="FUQ22" s="124"/>
      <c r="FUR22" s="124"/>
      <c r="FUS22" s="124"/>
      <c r="FUT22" s="124"/>
      <c r="FUU22" s="124"/>
      <c r="FUV22" s="124"/>
      <c r="FUW22" s="124"/>
      <c r="FUX22" s="124"/>
      <c r="FUY22" s="124"/>
      <c r="FUZ22" s="124"/>
      <c r="FVA22" s="124"/>
      <c r="FVB22" s="124"/>
      <c r="FVC22" s="124"/>
      <c r="FVD22" s="124"/>
      <c r="FVE22" s="124"/>
      <c r="FVF22" s="124"/>
      <c r="FVG22" s="124"/>
      <c r="FVH22" s="124"/>
      <c r="FVI22" s="124"/>
      <c r="FVJ22" s="124"/>
      <c r="FVK22" s="124"/>
      <c r="FVL22" s="124"/>
      <c r="FVM22" s="124"/>
      <c r="FVN22" s="124"/>
      <c r="FVO22" s="124"/>
      <c r="FVP22" s="124"/>
      <c r="FVQ22" s="124"/>
      <c r="FVR22" s="124"/>
      <c r="FVS22" s="124"/>
      <c r="FVT22" s="124"/>
      <c r="FVU22" s="124"/>
      <c r="FVV22" s="124"/>
      <c r="FVW22" s="124"/>
      <c r="FVX22" s="124"/>
      <c r="FVY22" s="124"/>
      <c r="FVZ22" s="124"/>
      <c r="FWA22" s="124"/>
      <c r="FWB22" s="124"/>
      <c r="FWC22" s="124"/>
      <c r="FWD22" s="124"/>
      <c r="FWE22" s="124"/>
      <c r="FWF22" s="124"/>
      <c r="FWG22" s="124"/>
      <c r="FWH22" s="124"/>
      <c r="FWI22" s="124"/>
      <c r="FWJ22" s="124"/>
      <c r="FWK22" s="124"/>
      <c r="FWL22" s="124"/>
      <c r="FWM22" s="124"/>
      <c r="FWN22" s="124"/>
      <c r="FWO22" s="124"/>
      <c r="FWP22" s="124"/>
      <c r="FWQ22" s="124"/>
      <c r="FWR22" s="124"/>
      <c r="FWS22" s="124"/>
      <c r="FWT22" s="124"/>
      <c r="FWU22" s="124"/>
      <c r="FWV22" s="124"/>
      <c r="FWW22" s="124"/>
      <c r="FWX22" s="124"/>
      <c r="FWY22" s="124"/>
      <c r="FWZ22" s="124"/>
      <c r="FXA22" s="124"/>
      <c r="FXB22" s="124"/>
      <c r="FXC22" s="124"/>
      <c r="FXD22" s="124"/>
      <c r="FXE22" s="124"/>
      <c r="FXF22" s="124"/>
      <c r="FXG22" s="124"/>
      <c r="FXH22" s="124"/>
      <c r="FXI22" s="124"/>
      <c r="FXJ22" s="124"/>
      <c r="FXK22" s="124"/>
      <c r="FXL22" s="124"/>
      <c r="FXM22" s="124"/>
      <c r="FXN22" s="124"/>
      <c r="FXO22" s="124"/>
      <c r="FXP22" s="124"/>
      <c r="FXQ22" s="124"/>
      <c r="FXR22" s="124"/>
      <c r="FXS22" s="124"/>
      <c r="FXT22" s="124"/>
      <c r="FXU22" s="124"/>
      <c r="FXV22" s="124"/>
      <c r="FXW22" s="124"/>
      <c r="FXX22" s="124"/>
      <c r="FXY22" s="124"/>
      <c r="FXZ22" s="124"/>
      <c r="FYA22" s="124"/>
      <c r="FYB22" s="124"/>
      <c r="FYC22" s="124"/>
      <c r="FYD22" s="124"/>
      <c r="FYE22" s="124"/>
      <c r="FYF22" s="124"/>
      <c r="FYG22" s="124"/>
      <c r="FYH22" s="124"/>
      <c r="FYI22" s="124"/>
      <c r="FYJ22" s="124"/>
      <c r="FYK22" s="124"/>
      <c r="FYL22" s="124"/>
      <c r="FYM22" s="124"/>
      <c r="FYN22" s="124"/>
      <c r="FYO22" s="124"/>
      <c r="FYP22" s="124"/>
      <c r="FYQ22" s="124"/>
      <c r="FYR22" s="124"/>
      <c r="FYS22" s="124"/>
      <c r="FYT22" s="124"/>
      <c r="FYU22" s="124"/>
      <c r="FYV22" s="124"/>
      <c r="FYW22" s="124"/>
      <c r="FYX22" s="124"/>
      <c r="FYY22" s="124"/>
      <c r="FYZ22" s="124"/>
      <c r="FZA22" s="124"/>
      <c r="FZB22" s="124"/>
      <c r="FZC22" s="124"/>
      <c r="FZD22" s="124"/>
      <c r="FZE22" s="124"/>
      <c r="FZF22" s="124"/>
      <c r="FZG22" s="124"/>
      <c r="FZH22" s="124"/>
      <c r="FZI22" s="124"/>
      <c r="FZJ22" s="124"/>
      <c r="FZK22" s="124"/>
      <c r="FZL22" s="124"/>
      <c r="FZM22" s="124"/>
      <c r="FZN22" s="124"/>
      <c r="FZO22" s="124"/>
      <c r="FZP22" s="124"/>
      <c r="FZQ22" s="124"/>
      <c r="FZR22" s="124"/>
      <c r="FZS22" s="124"/>
      <c r="FZT22" s="124"/>
      <c r="FZU22" s="124"/>
      <c r="FZV22" s="124"/>
      <c r="FZW22" s="124"/>
      <c r="FZX22" s="124"/>
      <c r="FZY22" s="124"/>
      <c r="FZZ22" s="124"/>
      <c r="GAA22" s="124"/>
      <c r="GAB22" s="124"/>
      <c r="GAC22" s="124"/>
      <c r="GAD22" s="124"/>
      <c r="GAE22" s="124"/>
      <c r="GAF22" s="124"/>
      <c r="GAG22" s="124"/>
      <c r="GAH22" s="124"/>
      <c r="GAI22" s="124"/>
      <c r="GAJ22" s="124"/>
      <c r="GAK22" s="124"/>
      <c r="GAL22" s="124"/>
      <c r="GAM22" s="124"/>
      <c r="GAN22" s="124"/>
      <c r="GAO22" s="124"/>
      <c r="GAP22" s="124"/>
      <c r="GAQ22" s="124"/>
      <c r="GAR22" s="124"/>
      <c r="GAS22" s="124"/>
      <c r="GAT22" s="124"/>
      <c r="GAU22" s="124"/>
      <c r="GAV22" s="124"/>
      <c r="GAW22" s="124"/>
      <c r="GAX22" s="124"/>
      <c r="GAY22" s="124"/>
      <c r="GAZ22" s="124"/>
      <c r="GBA22" s="124"/>
      <c r="GBB22" s="124"/>
      <c r="GBC22" s="124"/>
      <c r="GBD22" s="124"/>
      <c r="GBE22" s="124"/>
      <c r="GBF22" s="124"/>
      <c r="GBG22" s="124"/>
      <c r="GBH22" s="124"/>
      <c r="GBI22" s="124"/>
      <c r="GBJ22" s="124"/>
      <c r="GBK22" s="124"/>
      <c r="GBL22" s="124"/>
      <c r="GBM22" s="124"/>
      <c r="GBN22" s="124"/>
      <c r="GBO22" s="124"/>
      <c r="GBP22" s="124"/>
      <c r="GBQ22" s="124"/>
      <c r="GBR22" s="124"/>
      <c r="GBS22" s="124"/>
      <c r="GBT22" s="124"/>
      <c r="GBU22" s="124"/>
      <c r="GBV22" s="124"/>
      <c r="GBW22" s="124"/>
      <c r="GBX22" s="124"/>
      <c r="GBY22" s="124"/>
      <c r="GBZ22" s="124"/>
      <c r="GCA22" s="124"/>
      <c r="GCB22" s="124"/>
      <c r="GCC22" s="124"/>
      <c r="GCD22" s="124"/>
      <c r="GCE22" s="124"/>
      <c r="GCF22" s="124"/>
      <c r="GCG22" s="124"/>
      <c r="GCH22" s="124"/>
      <c r="GCI22" s="124"/>
      <c r="GCJ22" s="124"/>
      <c r="GCK22" s="124"/>
      <c r="GCL22" s="124"/>
      <c r="GCM22" s="124"/>
      <c r="GCN22" s="124"/>
      <c r="GCO22" s="124"/>
      <c r="GCP22" s="124"/>
      <c r="GCQ22" s="124"/>
      <c r="GCR22" s="124"/>
      <c r="GCS22" s="124"/>
      <c r="GCT22" s="124"/>
      <c r="GCU22" s="124"/>
      <c r="GCV22" s="124"/>
      <c r="GCW22" s="124"/>
      <c r="GCX22" s="124"/>
      <c r="GCY22" s="124"/>
      <c r="GCZ22" s="124"/>
      <c r="GDA22" s="124"/>
      <c r="GDB22" s="124"/>
      <c r="GDC22" s="124"/>
      <c r="GDD22" s="124"/>
      <c r="GDE22" s="124"/>
      <c r="GDF22" s="124"/>
      <c r="GDG22" s="124"/>
      <c r="GDH22" s="124"/>
      <c r="GDI22" s="124"/>
      <c r="GDJ22" s="124"/>
      <c r="GDK22" s="124"/>
      <c r="GDL22" s="124"/>
      <c r="GDM22" s="124"/>
      <c r="GDN22" s="124"/>
      <c r="GDO22" s="124"/>
      <c r="GDP22" s="124"/>
      <c r="GDQ22" s="124"/>
      <c r="GDR22" s="124"/>
      <c r="GDS22" s="124"/>
      <c r="GDT22" s="124"/>
      <c r="GDU22" s="124"/>
      <c r="GDV22" s="124"/>
      <c r="GDW22" s="124"/>
      <c r="GDX22" s="124"/>
      <c r="GDY22" s="124"/>
      <c r="GDZ22" s="124"/>
      <c r="GEA22" s="124"/>
      <c r="GEB22" s="124"/>
      <c r="GEC22" s="124"/>
      <c r="GED22" s="124"/>
      <c r="GEE22" s="124"/>
      <c r="GEF22" s="124"/>
      <c r="GEG22" s="124"/>
      <c r="GEH22" s="124"/>
      <c r="GEI22" s="124"/>
      <c r="GEJ22" s="124"/>
      <c r="GEK22" s="124"/>
      <c r="GEL22" s="124"/>
      <c r="GEM22" s="124"/>
      <c r="GEN22" s="124"/>
      <c r="GEO22" s="124"/>
      <c r="GEP22" s="124"/>
      <c r="GEQ22" s="124"/>
      <c r="GER22" s="124"/>
      <c r="GES22" s="124"/>
      <c r="GET22" s="124"/>
      <c r="GEU22" s="124"/>
      <c r="GEV22" s="124"/>
      <c r="GEW22" s="124"/>
      <c r="GEX22" s="124"/>
      <c r="GEY22" s="124"/>
      <c r="GEZ22" s="124"/>
      <c r="GFA22" s="124"/>
      <c r="GFB22" s="124"/>
      <c r="GFC22" s="124"/>
      <c r="GFD22" s="124"/>
      <c r="GFE22" s="124"/>
      <c r="GFF22" s="124"/>
      <c r="GFG22" s="124"/>
      <c r="GFH22" s="124"/>
      <c r="GFI22" s="124"/>
      <c r="GFJ22" s="124"/>
      <c r="GFK22" s="124"/>
      <c r="GFL22" s="124"/>
      <c r="GFM22" s="124"/>
      <c r="GFN22" s="124"/>
      <c r="GFO22" s="124"/>
      <c r="GFP22" s="124"/>
      <c r="GFQ22" s="124"/>
      <c r="GFR22" s="124"/>
      <c r="GFS22" s="124"/>
      <c r="GFT22" s="124"/>
      <c r="GFU22" s="124"/>
      <c r="GFV22" s="124"/>
      <c r="GFW22" s="124"/>
      <c r="GFX22" s="124"/>
      <c r="GFY22" s="124"/>
      <c r="GFZ22" s="124"/>
      <c r="GGA22" s="124"/>
      <c r="GGB22" s="124"/>
      <c r="GGC22" s="124"/>
      <c r="GGD22" s="124"/>
      <c r="GGE22" s="124"/>
      <c r="GGF22" s="124"/>
      <c r="GGG22" s="124"/>
      <c r="GGH22" s="124"/>
      <c r="GGI22" s="124"/>
      <c r="GGJ22" s="124"/>
      <c r="GGK22" s="124"/>
      <c r="GGL22" s="124"/>
      <c r="GGM22" s="124"/>
      <c r="GGN22" s="124"/>
      <c r="GGO22" s="124"/>
      <c r="GGP22" s="124"/>
      <c r="GGQ22" s="124"/>
      <c r="GGR22" s="124"/>
      <c r="GGS22" s="124"/>
      <c r="GGT22" s="124"/>
      <c r="GGU22" s="124"/>
      <c r="GGV22" s="124"/>
      <c r="GGW22" s="124"/>
      <c r="GGX22" s="124"/>
      <c r="GGY22" s="124"/>
      <c r="GGZ22" s="124"/>
      <c r="GHA22" s="124"/>
      <c r="GHB22" s="124"/>
      <c r="GHC22" s="124"/>
      <c r="GHD22" s="124"/>
      <c r="GHE22" s="124"/>
      <c r="GHF22" s="124"/>
      <c r="GHG22" s="124"/>
      <c r="GHH22" s="124"/>
      <c r="GHI22" s="124"/>
      <c r="GHJ22" s="124"/>
      <c r="GHK22" s="124"/>
      <c r="GHL22" s="124"/>
      <c r="GHM22" s="124"/>
      <c r="GHN22" s="124"/>
      <c r="GHO22" s="124"/>
      <c r="GHP22" s="124"/>
      <c r="GHQ22" s="124"/>
      <c r="GHR22" s="124"/>
      <c r="GHS22" s="124"/>
      <c r="GHT22" s="124"/>
      <c r="GHU22" s="124"/>
      <c r="GHV22" s="124"/>
      <c r="GHW22" s="124"/>
      <c r="GHX22" s="124"/>
      <c r="GHY22" s="124"/>
      <c r="GHZ22" s="124"/>
      <c r="GIA22" s="124"/>
      <c r="GIB22" s="124"/>
      <c r="GIC22" s="124"/>
      <c r="GID22" s="124"/>
      <c r="GIE22" s="124"/>
      <c r="GIF22" s="124"/>
      <c r="GIG22" s="124"/>
      <c r="GIH22" s="124"/>
      <c r="GII22" s="124"/>
      <c r="GIJ22" s="124"/>
      <c r="GIK22" s="124"/>
      <c r="GIL22" s="124"/>
      <c r="GIM22" s="124"/>
      <c r="GIN22" s="124"/>
      <c r="GIO22" s="124"/>
      <c r="GIP22" s="124"/>
      <c r="GIQ22" s="124"/>
      <c r="GIR22" s="124"/>
      <c r="GIS22" s="124"/>
      <c r="GIT22" s="124"/>
      <c r="GIU22" s="124"/>
      <c r="GIV22" s="124"/>
      <c r="GIW22" s="124"/>
      <c r="GIX22" s="124"/>
      <c r="GIY22" s="124"/>
      <c r="GIZ22" s="124"/>
      <c r="GJA22" s="124"/>
      <c r="GJB22" s="124"/>
      <c r="GJC22" s="124"/>
      <c r="GJD22" s="124"/>
      <c r="GJE22" s="124"/>
      <c r="GJF22" s="124"/>
      <c r="GJG22" s="124"/>
      <c r="GJH22" s="124"/>
      <c r="GJI22" s="124"/>
      <c r="GJJ22" s="124"/>
      <c r="GJK22" s="124"/>
      <c r="GJL22" s="124"/>
      <c r="GJM22" s="124"/>
      <c r="GJN22" s="124"/>
      <c r="GJO22" s="124"/>
      <c r="GJP22" s="124"/>
      <c r="GJQ22" s="124"/>
      <c r="GJR22" s="124"/>
      <c r="GJS22" s="124"/>
      <c r="GJT22" s="124"/>
      <c r="GJU22" s="124"/>
      <c r="GJV22" s="124"/>
      <c r="GJW22" s="124"/>
      <c r="GJX22" s="124"/>
      <c r="GJY22" s="124"/>
      <c r="GJZ22" s="124"/>
      <c r="GKA22" s="124"/>
      <c r="GKB22" s="124"/>
      <c r="GKC22" s="124"/>
      <c r="GKD22" s="124"/>
      <c r="GKE22" s="124"/>
      <c r="GKF22" s="124"/>
      <c r="GKG22" s="124"/>
      <c r="GKH22" s="124"/>
      <c r="GKI22" s="124"/>
      <c r="GKJ22" s="124"/>
      <c r="GKK22" s="124"/>
      <c r="GKL22" s="124"/>
      <c r="GKM22" s="124"/>
      <c r="GKN22" s="124"/>
      <c r="GKO22" s="124"/>
      <c r="GKP22" s="124"/>
      <c r="GKQ22" s="124"/>
      <c r="GKR22" s="124"/>
      <c r="GKS22" s="124"/>
      <c r="GKT22" s="124"/>
      <c r="GKU22" s="124"/>
      <c r="GKV22" s="124"/>
      <c r="GKW22" s="124"/>
      <c r="GKX22" s="124"/>
      <c r="GKY22" s="124"/>
      <c r="GKZ22" s="124"/>
      <c r="GLA22" s="124"/>
      <c r="GLB22" s="124"/>
      <c r="GLC22" s="124"/>
      <c r="GLD22" s="124"/>
      <c r="GLE22" s="124"/>
      <c r="GLF22" s="124"/>
      <c r="GLG22" s="124"/>
      <c r="GLH22" s="124"/>
      <c r="GLI22" s="124"/>
      <c r="GLJ22" s="124"/>
      <c r="GLK22" s="124"/>
      <c r="GLL22" s="124"/>
      <c r="GLM22" s="124"/>
      <c r="GLN22" s="124"/>
      <c r="GLO22" s="124"/>
      <c r="GLP22" s="124"/>
      <c r="GLQ22" s="124"/>
      <c r="GLR22" s="124"/>
      <c r="GLS22" s="124"/>
      <c r="GLT22" s="124"/>
      <c r="GLU22" s="124"/>
      <c r="GLV22" s="124"/>
      <c r="GLW22" s="124"/>
      <c r="GLX22" s="124"/>
      <c r="GLY22" s="124"/>
      <c r="GLZ22" s="124"/>
      <c r="GMA22" s="124"/>
      <c r="GMB22" s="124"/>
      <c r="GMC22" s="124"/>
      <c r="GMD22" s="124"/>
      <c r="GME22" s="124"/>
      <c r="GMF22" s="124"/>
      <c r="GMG22" s="124"/>
      <c r="GMH22" s="124"/>
      <c r="GMI22" s="124"/>
      <c r="GMJ22" s="124"/>
      <c r="GMK22" s="124"/>
      <c r="GML22" s="124"/>
      <c r="GMM22" s="124"/>
      <c r="GMN22" s="124"/>
      <c r="GMO22" s="124"/>
      <c r="GMP22" s="124"/>
      <c r="GMQ22" s="124"/>
      <c r="GMR22" s="124"/>
      <c r="GMS22" s="124"/>
      <c r="GMT22" s="124"/>
      <c r="GMU22" s="124"/>
      <c r="GMV22" s="124"/>
      <c r="GMW22" s="124"/>
      <c r="GMX22" s="124"/>
      <c r="GMY22" s="124"/>
      <c r="GMZ22" s="124"/>
      <c r="GNA22" s="124"/>
      <c r="GNB22" s="124"/>
      <c r="GNC22" s="124"/>
      <c r="GND22" s="124"/>
      <c r="GNE22" s="124"/>
      <c r="GNF22" s="124"/>
      <c r="GNG22" s="124"/>
      <c r="GNH22" s="124"/>
      <c r="GNI22" s="124"/>
      <c r="GNJ22" s="124"/>
      <c r="GNK22" s="124"/>
      <c r="GNL22" s="124"/>
      <c r="GNM22" s="124"/>
      <c r="GNN22" s="124"/>
      <c r="GNO22" s="124"/>
      <c r="GNP22" s="124"/>
      <c r="GNQ22" s="124"/>
      <c r="GNR22" s="124"/>
      <c r="GNS22" s="124"/>
      <c r="GNT22" s="124"/>
      <c r="GNU22" s="124"/>
      <c r="GNV22" s="124"/>
      <c r="GNW22" s="124"/>
      <c r="GNX22" s="124"/>
      <c r="GNY22" s="124"/>
      <c r="GNZ22" s="124"/>
      <c r="GOA22" s="124"/>
      <c r="GOB22" s="124"/>
      <c r="GOC22" s="124"/>
      <c r="GOD22" s="124"/>
      <c r="GOE22" s="124"/>
      <c r="GOF22" s="124"/>
      <c r="GOG22" s="124"/>
      <c r="GOH22" s="124"/>
      <c r="GOI22" s="124"/>
      <c r="GOJ22" s="124"/>
      <c r="GOK22" s="124"/>
      <c r="GOL22" s="124"/>
      <c r="GOM22" s="124"/>
      <c r="GON22" s="124"/>
      <c r="GOO22" s="124"/>
      <c r="GOP22" s="124"/>
      <c r="GOQ22" s="124"/>
      <c r="GOR22" s="124"/>
      <c r="GOS22" s="124"/>
      <c r="GOT22" s="124"/>
      <c r="GOU22" s="124"/>
      <c r="GOV22" s="124"/>
      <c r="GOW22" s="124"/>
      <c r="GOX22" s="124"/>
      <c r="GOY22" s="124"/>
      <c r="GOZ22" s="124"/>
      <c r="GPA22" s="124"/>
      <c r="GPB22" s="124"/>
      <c r="GPC22" s="124"/>
      <c r="GPD22" s="124"/>
      <c r="GPE22" s="124"/>
      <c r="GPF22" s="124"/>
      <c r="GPG22" s="124"/>
      <c r="GPH22" s="124"/>
      <c r="GPI22" s="124"/>
      <c r="GPJ22" s="124"/>
      <c r="GPK22" s="124"/>
      <c r="GPL22" s="124"/>
      <c r="GPM22" s="124"/>
      <c r="GPN22" s="124"/>
      <c r="GPO22" s="124"/>
      <c r="GPP22" s="124"/>
      <c r="GPQ22" s="124"/>
      <c r="GPR22" s="124"/>
      <c r="GPS22" s="124"/>
      <c r="GPT22" s="124"/>
      <c r="GPU22" s="124"/>
      <c r="GPV22" s="124"/>
      <c r="GPW22" s="124"/>
      <c r="GPX22" s="124"/>
      <c r="GPY22" s="124"/>
      <c r="GPZ22" s="124"/>
      <c r="GQA22" s="124"/>
      <c r="GQB22" s="124"/>
      <c r="GQC22" s="124"/>
      <c r="GQD22" s="124"/>
      <c r="GQE22" s="124"/>
      <c r="GQF22" s="124"/>
      <c r="GQG22" s="124"/>
      <c r="GQH22" s="124"/>
      <c r="GQI22" s="124"/>
      <c r="GQJ22" s="124"/>
      <c r="GQK22" s="124"/>
      <c r="GQL22" s="124"/>
      <c r="GQM22" s="124"/>
      <c r="GQN22" s="124"/>
      <c r="GQO22" s="124"/>
      <c r="GQP22" s="124"/>
      <c r="GQQ22" s="124"/>
      <c r="GQR22" s="124"/>
      <c r="GQS22" s="124"/>
      <c r="GQT22" s="124"/>
      <c r="GQU22" s="124"/>
      <c r="GQV22" s="124"/>
      <c r="GQW22" s="124"/>
      <c r="GQX22" s="124"/>
      <c r="GQY22" s="124"/>
      <c r="GQZ22" s="124"/>
      <c r="GRA22" s="124"/>
      <c r="GRB22" s="124"/>
      <c r="GRC22" s="124"/>
      <c r="GRD22" s="124"/>
      <c r="GRE22" s="124"/>
      <c r="GRF22" s="124"/>
      <c r="GRG22" s="124"/>
      <c r="GRH22" s="124"/>
      <c r="GRI22" s="124"/>
      <c r="GRJ22" s="124"/>
      <c r="GRK22" s="124"/>
      <c r="GRL22" s="124"/>
      <c r="GRM22" s="124"/>
      <c r="GRN22" s="124"/>
      <c r="GRO22" s="124"/>
      <c r="GRP22" s="124"/>
      <c r="GRQ22" s="124"/>
      <c r="GRR22" s="124"/>
      <c r="GRS22" s="124"/>
      <c r="GRT22" s="124"/>
      <c r="GRU22" s="124"/>
      <c r="GRV22" s="124"/>
      <c r="GRW22" s="124"/>
      <c r="GRX22" s="124"/>
      <c r="GRY22" s="124"/>
      <c r="GRZ22" s="124"/>
      <c r="GSA22" s="124"/>
      <c r="GSB22" s="124"/>
      <c r="GSC22" s="124"/>
      <c r="GSD22" s="124"/>
      <c r="GSE22" s="124"/>
      <c r="GSF22" s="124"/>
      <c r="GSG22" s="124"/>
      <c r="GSH22" s="124"/>
      <c r="GSI22" s="124"/>
      <c r="GSJ22" s="124"/>
      <c r="GSK22" s="124"/>
      <c r="GSL22" s="124"/>
      <c r="GSM22" s="124"/>
      <c r="GSN22" s="124"/>
      <c r="GSO22" s="124"/>
      <c r="GSP22" s="124"/>
      <c r="GSQ22" s="124"/>
      <c r="GSR22" s="124"/>
      <c r="GSS22" s="124"/>
      <c r="GST22" s="124"/>
      <c r="GSU22" s="124"/>
      <c r="GSV22" s="124"/>
      <c r="GSW22" s="124"/>
      <c r="GSX22" s="124"/>
      <c r="GSY22" s="124"/>
      <c r="GSZ22" s="124"/>
      <c r="GTA22" s="124"/>
      <c r="GTB22" s="124"/>
      <c r="GTC22" s="124"/>
      <c r="GTD22" s="124"/>
      <c r="GTE22" s="124"/>
      <c r="GTF22" s="124"/>
      <c r="GTG22" s="124"/>
      <c r="GTH22" s="124"/>
      <c r="GTI22" s="124"/>
      <c r="GTJ22" s="124"/>
      <c r="GTK22" s="124"/>
      <c r="GTL22" s="124"/>
      <c r="GTM22" s="124"/>
      <c r="GTN22" s="124"/>
      <c r="GTO22" s="124"/>
      <c r="GTP22" s="124"/>
      <c r="GTQ22" s="124"/>
      <c r="GTR22" s="124"/>
      <c r="GTS22" s="124"/>
      <c r="GTT22" s="124"/>
      <c r="GTU22" s="124"/>
      <c r="GTV22" s="124"/>
      <c r="GTW22" s="124"/>
      <c r="GTX22" s="124"/>
      <c r="GTY22" s="124"/>
      <c r="GTZ22" s="124"/>
      <c r="GUA22" s="124"/>
      <c r="GUB22" s="124"/>
      <c r="GUC22" s="124"/>
      <c r="GUD22" s="124"/>
      <c r="GUE22" s="124"/>
      <c r="GUF22" s="124"/>
      <c r="GUG22" s="124"/>
      <c r="GUH22" s="124"/>
      <c r="GUI22" s="124"/>
      <c r="GUJ22" s="124"/>
      <c r="GUK22" s="124"/>
      <c r="GUL22" s="124"/>
      <c r="GUM22" s="124"/>
      <c r="GUN22" s="124"/>
      <c r="GUO22" s="124"/>
      <c r="GUP22" s="124"/>
      <c r="GUQ22" s="124"/>
      <c r="GUR22" s="124"/>
      <c r="GUS22" s="124"/>
      <c r="GUT22" s="124"/>
      <c r="GUU22" s="124"/>
      <c r="GUV22" s="124"/>
      <c r="GUW22" s="124"/>
      <c r="GUX22" s="124"/>
      <c r="GUY22" s="124"/>
      <c r="GUZ22" s="124"/>
      <c r="GVA22" s="124"/>
      <c r="GVB22" s="124"/>
      <c r="GVC22" s="124"/>
      <c r="GVD22" s="124"/>
      <c r="GVE22" s="124"/>
      <c r="GVF22" s="124"/>
      <c r="GVG22" s="124"/>
      <c r="GVH22" s="124"/>
      <c r="GVI22" s="124"/>
      <c r="GVJ22" s="124"/>
      <c r="GVK22" s="124"/>
      <c r="GVL22" s="124"/>
      <c r="GVM22" s="124"/>
      <c r="GVN22" s="124"/>
      <c r="GVO22" s="124"/>
      <c r="GVP22" s="124"/>
      <c r="GVQ22" s="124"/>
      <c r="GVR22" s="124"/>
      <c r="GVS22" s="124"/>
      <c r="GVT22" s="124"/>
      <c r="GVU22" s="124"/>
      <c r="GVV22" s="124"/>
      <c r="GVW22" s="124"/>
      <c r="GVX22" s="124"/>
      <c r="GVY22" s="124"/>
      <c r="GVZ22" s="124"/>
      <c r="GWA22" s="124"/>
      <c r="GWB22" s="124"/>
      <c r="GWC22" s="124"/>
      <c r="GWD22" s="124"/>
      <c r="GWE22" s="124"/>
      <c r="GWF22" s="124"/>
      <c r="GWG22" s="124"/>
      <c r="GWH22" s="124"/>
      <c r="GWI22" s="124"/>
      <c r="GWJ22" s="124"/>
      <c r="GWK22" s="124"/>
      <c r="GWL22" s="124"/>
      <c r="GWM22" s="124"/>
      <c r="GWN22" s="124"/>
      <c r="GWO22" s="124"/>
      <c r="GWP22" s="124"/>
      <c r="GWQ22" s="124"/>
      <c r="GWR22" s="124"/>
      <c r="GWS22" s="124"/>
      <c r="GWT22" s="124"/>
      <c r="GWU22" s="124"/>
      <c r="GWV22" s="124"/>
      <c r="GWW22" s="124"/>
      <c r="GWX22" s="124"/>
      <c r="GWY22" s="124"/>
      <c r="GWZ22" s="124"/>
      <c r="GXA22" s="124"/>
      <c r="GXB22" s="124"/>
      <c r="GXC22" s="124"/>
      <c r="GXD22" s="124"/>
      <c r="GXE22" s="124"/>
      <c r="GXF22" s="124"/>
      <c r="GXG22" s="124"/>
      <c r="GXH22" s="124"/>
      <c r="GXI22" s="124"/>
      <c r="GXJ22" s="124"/>
      <c r="GXK22" s="124"/>
      <c r="GXL22" s="124"/>
      <c r="GXM22" s="124"/>
      <c r="GXN22" s="124"/>
      <c r="GXO22" s="124"/>
      <c r="GXP22" s="124"/>
      <c r="GXQ22" s="124"/>
      <c r="GXR22" s="124"/>
      <c r="GXS22" s="124"/>
      <c r="GXT22" s="124"/>
      <c r="GXU22" s="124"/>
      <c r="GXV22" s="124"/>
      <c r="GXW22" s="124"/>
      <c r="GXX22" s="124"/>
      <c r="GXY22" s="124"/>
      <c r="GXZ22" s="124"/>
      <c r="GYA22" s="124"/>
      <c r="GYB22" s="124"/>
      <c r="GYC22" s="124"/>
      <c r="GYD22" s="124"/>
      <c r="GYE22" s="124"/>
      <c r="GYF22" s="124"/>
      <c r="GYG22" s="124"/>
      <c r="GYH22" s="124"/>
      <c r="GYI22" s="124"/>
      <c r="GYJ22" s="124"/>
      <c r="GYK22" s="124"/>
      <c r="GYL22" s="124"/>
      <c r="GYM22" s="124"/>
      <c r="GYN22" s="124"/>
      <c r="GYO22" s="124"/>
      <c r="GYP22" s="124"/>
      <c r="GYQ22" s="124"/>
      <c r="GYR22" s="124"/>
      <c r="GYS22" s="124"/>
      <c r="GYT22" s="124"/>
      <c r="GYU22" s="124"/>
      <c r="GYV22" s="124"/>
      <c r="GYW22" s="124"/>
      <c r="GYX22" s="124"/>
      <c r="GYY22" s="124"/>
      <c r="GYZ22" s="124"/>
      <c r="GZA22" s="124"/>
      <c r="GZB22" s="124"/>
      <c r="GZC22" s="124"/>
      <c r="GZD22" s="124"/>
      <c r="GZE22" s="124"/>
      <c r="GZF22" s="124"/>
      <c r="GZG22" s="124"/>
      <c r="GZH22" s="124"/>
      <c r="GZI22" s="124"/>
      <c r="GZJ22" s="124"/>
      <c r="GZK22" s="124"/>
      <c r="GZL22" s="124"/>
      <c r="GZM22" s="124"/>
      <c r="GZN22" s="124"/>
      <c r="GZO22" s="124"/>
      <c r="GZP22" s="124"/>
      <c r="GZQ22" s="124"/>
      <c r="GZR22" s="124"/>
      <c r="GZS22" s="124"/>
      <c r="GZT22" s="124"/>
      <c r="GZU22" s="124"/>
      <c r="GZV22" s="124"/>
      <c r="GZW22" s="124"/>
      <c r="GZX22" s="124"/>
      <c r="GZY22" s="124"/>
      <c r="GZZ22" s="124"/>
      <c r="HAA22" s="124"/>
      <c r="HAB22" s="124"/>
      <c r="HAC22" s="124"/>
      <c r="HAD22" s="124"/>
      <c r="HAE22" s="124"/>
      <c r="HAF22" s="124"/>
      <c r="HAG22" s="124"/>
      <c r="HAH22" s="124"/>
      <c r="HAI22" s="124"/>
      <c r="HAJ22" s="124"/>
      <c r="HAK22" s="124"/>
      <c r="HAL22" s="124"/>
      <c r="HAM22" s="124"/>
      <c r="HAN22" s="124"/>
      <c r="HAO22" s="124"/>
      <c r="HAP22" s="124"/>
      <c r="HAQ22" s="124"/>
      <c r="HAR22" s="124"/>
      <c r="HAS22" s="124"/>
      <c r="HAT22" s="124"/>
      <c r="HAU22" s="124"/>
      <c r="HAV22" s="124"/>
      <c r="HAW22" s="124"/>
      <c r="HAX22" s="124"/>
      <c r="HAY22" s="124"/>
      <c r="HAZ22" s="124"/>
      <c r="HBA22" s="124"/>
      <c r="HBB22" s="124"/>
      <c r="HBC22" s="124"/>
      <c r="HBD22" s="124"/>
      <c r="HBE22" s="124"/>
      <c r="HBF22" s="124"/>
      <c r="HBG22" s="124"/>
      <c r="HBH22" s="124"/>
      <c r="HBI22" s="124"/>
      <c r="HBJ22" s="124"/>
      <c r="HBK22" s="124"/>
      <c r="HBL22" s="124"/>
      <c r="HBM22" s="124"/>
      <c r="HBN22" s="124"/>
      <c r="HBO22" s="124"/>
      <c r="HBP22" s="124"/>
      <c r="HBQ22" s="124"/>
      <c r="HBR22" s="124"/>
      <c r="HBS22" s="124"/>
      <c r="HBT22" s="124"/>
      <c r="HBU22" s="124"/>
      <c r="HBV22" s="124"/>
      <c r="HBW22" s="124"/>
      <c r="HBX22" s="124"/>
      <c r="HBY22" s="124"/>
      <c r="HBZ22" s="124"/>
      <c r="HCA22" s="124"/>
      <c r="HCB22" s="124"/>
      <c r="HCC22" s="124"/>
      <c r="HCD22" s="124"/>
      <c r="HCE22" s="124"/>
      <c r="HCF22" s="124"/>
      <c r="HCG22" s="124"/>
      <c r="HCH22" s="124"/>
      <c r="HCI22" s="124"/>
      <c r="HCJ22" s="124"/>
      <c r="HCK22" s="124"/>
      <c r="HCL22" s="124"/>
      <c r="HCM22" s="124"/>
      <c r="HCN22" s="124"/>
      <c r="HCO22" s="124"/>
      <c r="HCP22" s="124"/>
      <c r="HCQ22" s="124"/>
      <c r="HCR22" s="124"/>
      <c r="HCS22" s="124"/>
      <c r="HCT22" s="124"/>
      <c r="HCU22" s="124"/>
      <c r="HCV22" s="124"/>
      <c r="HCW22" s="124"/>
      <c r="HCX22" s="124"/>
      <c r="HCY22" s="124"/>
      <c r="HCZ22" s="124"/>
      <c r="HDA22" s="124"/>
      <c r="HDB22" s="124"/>
      <c r="HDC22" s="124"/>
      <c r="HDD22" s="124"/>
      <c r="HDE22" s="124"/>
      <c r="HDF22" s="124"/>
      <c r="HDG22" s="124"/>
      <c r="HDH22" s="124"/>
      <c r="HDI22" s="124"/>
      <c r="HDJ22" s="124"/>
      <c r="HDK22" s="124"/>
      <c r="HDL22" s="124"/>
      <c r="HDM22" s="124"/>
      <c r="HDN22" s="124"/>
      <c r="HDO22" s="124"/>
      <c r="HDP22" s="124"/>
      <c r="HDQ22" s="124"/>
      <c r="HDR22" s="124"/>
      <c r="HDS22" s="124"/>
      <c r="HDT22" s="124"/>
      <c r="HDU22" s="124"/>
      <c r="HDV22" s="124"/>
      <c r="HDW22" s="124"/>
      <c r="HDX22" s="124"/>
      <c r="HDY22" s="124"/>
      <c r="HDZ22" s="124"/>
      <c r="HEA22" s="124"/>
      <c r="HEB22" s="124"/>
      <c r="HEC22" s="124"/>
      <c r="HED22" s="124"/>
      <c r="HEE22" s="124"/>
      <c r="HEF22" s="124"/>
      <c r="HEG22" s="124"/>
      <c r="HEH22" s="124"/>
      <c r="HEI22" s="124"/>
      <c r="HEJ22" s="124"/>
      <c r="HEK22" s="124"/>
      <c r="HEL22" s="124"/>
      <c r="HEM22" s="124"/>
      <c r="HEN22" s="124"/>
      <c r="HEO22" s="124"/>
      <c r="HEP22" s="124"/>
      <c r="HEQ22" s="124"/>
      <c r="HER22" s="124"/>
      <c r="HES22" s="124"/>
      <c r="HET22" s="124"/>
      <c r="HEU22" s="124"/>
      <c r="HEV22" s="124"/>
      <c r="HEW22" s="124"/>
      <c r="HEX22" s="124"/>
      <c r="HEY22" s="124"/>
      <c r="HEZ22" s="124"/>
      <c r="HFA22" s="124"/>
      <c r="HFB22" s="124"/>
      <c r="HFC22" s="124"/>
      <c r="HFD22" s="124"/>
      <c r="HFE22" s="124"/>
      <c r="HFF22" s="124"/>
      <c r="HFG22" s="124"/>
      <c r="HFH22" s="124"/>
      <c r="HFI22" s="124"/>
      <c r="HFJ22" s="124"/>
      <c r="HFK22" s="124"/>
      <c r="HFL22" s="124"/>
      <c r="HFM22" s="124"/>
      <c r="HFN22" s="124"/>
      <c r="HFO22" s="124"/>
      <c r="HFP22" s="124"/>
      <c r="HFQ22" s="124"/>
      <c r="HFR22" s="124"/>
      <c r="HFS22" s="124"/>
      <c r="HFT22" s="124"/>
      <c r="HFU22" s="124"/>
      <c r="HFV22" s="124"/>
      <c r="HFW22" s="124"/>
      <c r="HFX22" s="124"/>
      <c r="HFY22" s="124"/>
      <c r="HFZ22" s="124"/>
      <c r="HGA22" s="124"/>
      <c r="HGB22" s="124"/>
      <c r="HGC22" s="124"/>
      <c r="HGD22" s="124"/>
      <c r="HGE22" s="124"/>
      <c r="HGF22" s="124"/>
      <c r="HGG22" s="124"/>
      <c r="HGH22" s="124"/>
      <c r="HGI22" s="124"/>
      <c r="HGJ22" s="124"/>
      <c r="HGK22" s="124"/>
      <c r="HGL22" s="124"/>
      <c r="HGM22" s="124"/>
      <c r="HGN22" s="124"/>
      <c r="HGO22" s="124"/>
      <c r="HGP22" s="124"/>
      <c r="HGQ22" s="124"/>
      <c r="HGR22" s="124"/>
      <c r="HGS22" s="124"/>
      <c r="HGT22" s="124"/>
      <c r="HGU22" s="124"/>
      <c r="HGV22" s="124"/>
      <c r="HGW22" s="124"/>
      <c r="HGX22" s="124"/>
      <c r="HGY22" s="124"/>
      <c r="HGZ22" s="124"/>
      <c r="HHA22" s="124"/>
      <c r="HHB22" s="124"/>
      <c r="HHC22" s="124"/>
      <c r="HHD22" s="124"/>
      <c r="HHE22" s="124"/>
      <c r="HHF22" s="124"/>
      <c r="HHG22" s="124"/>
      <c r="HHH22" s="124"/>
      <c r="HHI22" s="124"/>
      <c r="HHJ22" s="124"/>
      <c r="HHK22" s="124"/>
      <c r="HHL22" s="124"/>
      <c r="HHM22" s="124"/>
      <c r="HHN22" s="124"/>
      <c r="HHO22" s="124"/>
      <c r="HHP22" s="124"/>
      <c r="HHQ22" s="124"/>
      <c r="HHR22" s="124"/>
      <c r="HHS22" s="124"/>
      <c r="HHT22" s="124"/>
      <c r="HHU22" s="124"/>
      <c r="HHV22" s="124"/>
      <c r="HHW22" s="124"/>
      <c r="HHX22" s="124"/>
      <c r="HHY22" s="124"/>
      <c r="HHZ22" s="124"/>
      <c r="HIA22" s="124"/>
      <c r="HIB22" s="124"/>
      <c r="HIC22" s="124"/>
      <c r="HID22" s="124"/>
      <c r="HIE22" s="124"/>
      <c r="HIF22" s="124"/>
      <c r="HIG22" s="124"/>
      <c r="HIH22" s="124"/>
      <c r="HII22" s="124"/>
      <c r="HIJ22" s="124"/>
      <c r="HIK22" s="124"/>
      <c r="HIL22" s="124"/>
      <c r="HIM22" s="124"/>
      <c r="HIN22" s="124"/>
      <c r="HIO22" s="124"/>
      <c r="HIP22" s="124"/>
      <c r="HIQ22" s="124"/>
      <c r="HIR22" s="124"/>
      <c r="HIS22" s="124"/>
      <c r="HIT22" s="124"/>
      <c r="HIU22" s="124"/>
      <c r="HIV22" s="124"/>
      <c r="HIW22" s="124"/>
      <c r="HIX22" s="124"/>
      <c r="HIY22" s="124"/>
      <c r="HIZ22" s="124"/>
      <c r="HJA22" s="124"/>
      <c r="HJB22" s="124"/>
      <c r="HJC22" s="124"/>
      <c r="HJD22" s="124"/>
      <c r="HJE22" s="124"/>
      <c r="HJF22" s="124"/>
      <c r="HJG22" s="124"/>
      <c r="HJH22" s="124"/>
      <c r="HJI22" s="124"/>
      <c r="HJJ22" s="124"/>
      <c r="HJK22" s="124"/>
      <c r="HJL22" s="124"/>
      <c r="HJM22" s="124"/>
      <c r="HJN22" s="124"/>
      <c r="HJO22" s="124"/>
      <c r="HJP22" s="124"/>
      <c r="HJQ22" s="124"/>
      <c r="HJR22" s="124"/>
      <c r="HJS22" s="124"/>
      <c r="HJT22" s="124"/>
      <c r="HJU22" s="124"/>
      <c r="HJV22" s="124"/>
      <c r="HJW22" s="124"/>
      <c r="HJX22" s="124"/>
      <c r="HJY22" s="124"/>
      <c r="HJZ22" s="124"/>
      <c r="HKA22" s="124"/>
      <c r="HKB22" s="124"/>
      <c r="HKC22" s="124"/>
      <c r="HKD22" s="124"/>
      <c r="HKE22" s="124"/>
      <c r="HKF22" s="124"/>
      <c r="HKG22" s="124"/>
      <c r="HKH22" s="124"/>
      <c r="HKI22" s="124"/>
      <c r="HKJ22" s="124"/>
      <c r="HKK22" s="124"/>
      <c r="HKL22" s="124"/>
      <c r="HKM22" s="124"/>
      <c r="HKN22" s="124"/>
      <c r="HKO22" s="124"/>
      <c r="HKP22" s="124"/>
      <c r="HKQ22" s="124"/>
      <c r="HKR22" s="124"/>
      <c r="HKS22" s="124"/>
      <c r="HKT22" s="124"/>
      <c r="HKU22" s="124"/>
      <c r="HKV22" s="124"/>
      <c r="HKW22" s="124"/>
      <c r="HKX22" s="124"/>
      <c r="HKY22" s="124"/>
      <c r="HKZ22" s="124"/>
      <c r="HLA22" s="124"/>
      <c r="HLB22" s="124"/>
      <c r="HLC22" s="124"/>
      <c r="HLD22" s="124"/>
      <c r="HLE22" s="124"/>
      <c r="HLF22" s="124"/>
      <c r="HLG22" s="124"/>
      <c r="HLH22" s="124"/>
      <c r="HLI22" s="124"/>
      <c r="HLJ22" s="124"/>
      <c r="HLK22" s="124"/>
      <c r="HLL22" s="124"/>
      <c r="HLM22" s="124"/>
      <c r="HLN22" s="124"/>
      <c r="HLO22" s="124"/>
      <c r="HLP22" s="124"/>
      <c r="HLQ22" s="124"/>
      <c r="HLR22" s="124"/>
      <c r="HLS22" s="124"/>
      <c r="HLT22" s="124"/>
      <c r="HLU22" s="124"/>
      <c r="HLV22" s="124"/>
      <c r="HLW22" s="124"/>
      <c r="HLX22" s="124"/>
      <c r="HLY22" s="124"/>
      <c r="HLZ22" s="124"/>
      <c r="HMA22" s="124"/>
      <c r="HMB22" s="124"/>
      <c r="HMC22" s="124"/>
      <c r="HMD22" s="124"/>
      <c r="HME22" s="124"/>
      <c r="HMF22" s="124"/>
      <c r="HMG22" s="124"/>
      <c r="HMH22" s="124"/>
      <c r="HMI22" s="124"/>
      <c r="HMJ22" s="124"/>
      <c r="HMK22" s="124"/>
      <c r="HML22" s="124"/>
      <c r="HMM22" s="124"/>
      <c r="HMN22" s="124"/>
      <c r="HMO22" s="124"/>
      <c r="HMP22" s="124"/>
      <c r="HMQ22" s="124"/>
      <c r="HMR22" s="124"/>
      <c r="HMS22" s="124"/>
      <c r="HMT22" s="124"/>
      <c r="HMU22" s="124"/>
      <c r="HMV22" s="124"/>
      <c r="HMW22" s="124"/>
      <c r="HMX22" s="124"/>
      <c r="HMY22" s="124"/>
      <c r="HMZ22" s="124"/>
      <c r="HNA22" s="124"/>
      <c r="HNB22" s="124"/>
      <c r="HNC22" s="124"/>
      <c r="HND22" s="124"/>
      <c r="HNE22" s="124"/>
      <c r="HNF22" s="124"/>
      <c r="HNG22" s="124"/>
      <c r="HNH22" s="124"/>
      <c r="HNI22" s="124"/>
      <c r="HNJ22" s="124"/>
      <c r="HNK22" s="124"/>
      <c r="HNL22" s="124"/>
      <c r="HNM22" s="124"/>
      <c r="HNN22" s="124"/>
      <c r="HNO22" s="124"/>
      <c r="HNP22" s="124"/>
      <c r="HNQ22" s="124"/>
      <c r="HNR22" s="124"/>
      <c r="HNS22" s="124"/>
      <c r="HNT22" s="124"/>
      <c r="HNU22" s="124"/>
      <c r="HNV22" s="124"/>
      <c r="HNW22" s="124"/>
      <c r="HNX22" s="124"/>
      <c r="HNY22" s="124"/>
      <c r="HNZ22" s="124"/>
      <c r="HOA22" s="124"/>
      <c r="HOB22" s="124"/>
      <c r="HOC22" s="124"/>
      <c r="HOD22" s="124"/>
      <c r="HOE22" s="124"/>
      <c r="HOF22" s="124"/>
      <c r="HOG22" s="124"/>
      <c r="HOH22" s="124"/>
      <c r="HOI22" s="124"/>
      <c r="HOJ22" s="124"/>
      <c r="HOK22" s="124"/>
      <c r="HOL22" s="124"/>
      <c r="HOM22" s="124"/>
      <c r="HON22" s="124"/>
      <c r="HOO22" s="124"/>
      <c r="HOP22" s="124"/>
      <c r="HOQ22" s="124"/>
      <c r="HOR22" s="124"/>
      <c r="HOS22" s="124"/>
      <c r="HOT22" s="124"/>
      <c r="HOU22" s="124"/>
      <c r="HOV22" s="124"/>
      <c r="HOW22" s="124"/>
      <c r="HOX22" s="124"/>
      <c r="HOY22" s="124"/>
      <c r="HOZ22" s="124"/>
      <c r="HPA22" s="124"/>
      <c r="HPB22" s="124"/>
      <c r="HPC22" s="124"/>
      <c r="HPD22" s="124"/>
      <c r="HPE22" s="124"/>
      <c r="HPF22" s="124"/>
      <c r="HPG22" s="124"/>
      <c r="HPH22" s="124"/>
      <c r="HPI22" s="124"/>
      <c r="HPJ22" s="124"/>
      <c r="HPK22" s="124"/>
      <c r="HPL22" s="124"/>
      <c r="HPM22" s="124"/>
      <c r="HPN22" s="124"/>
      <c r="HPO22" s="124"/>
      <c r="HPP22" s="124"/>
      <c r="HPQ22" s="124"/>
      <c r="HPR22" s="124"/>
      <c r="HPS22" s="124"/>
      <c r="HPT22" s="124"/>
      <c r="HPU22" s="124"/>
      <c r="HPV22" s="124"/>
      <c r="HPW22" s="124"/>
      <c r="HPX22" s="124"/>
      <c r="HPY22" s="124"/>
      <c r="HPZ22" s="124"/>
      <c r="HQA22" s="124"/>
      <c r="HQB22" s="124"/>
      <c r="HQC22" s="124"/>
      <c r="HQD22" s="124"/>
      <c r="HQE22" s="124"/>
      <c r="HQF22" s="124"/>
      <c r="HQG22" s="124"/>
      <c r="HQH22" s="124"/>
      <c r="HQI22" s="124"/>
      <c r="HQJ22" s="124"/>
      <c r="HQK22" s="124"/>
      <c r="HQL22" s="124"/>
      <c r="HQM22" s="124"/>
      <c r="HQN22" s="124"/>
      <c r="HQO22" s="124"/>
      <c r="HQP22" s="124"/>
      <c r="HQQ22" s="124"/>
      <c r="HQR22" s="124"/>
      <c r="HQS22" s="124"/>
      <c r="HQT22" s="124"/>
      <c r="HQU22" s="124"/>
      <c r="HQV22" s="124"/>
      <c r="HQW22" s="124"/>
      <c r="HQX22" s="124"/>
      <c r="HQY22" s="124"/>
      <c r="HQZ22" s="124"/>
      <c r="HRA22" s="124"/>
      <c r="HRB22" s="124"/>
      <c r="HRC22" s="124"/>
      <c r="HRD22" s="124"/>
      <c r="HRE22" s="124"/>
      <c r="HRF22" s="124"/>
      <c r="HRG22" s="124"/>
      <c r="HRH22" s="124"/>
      <c r="HRI22" s="124"/>
      <c r="HRJ22" s="124"/>
      <c r="HRK22" s="124"/>
      <c r="HRL22" s="124"/>
      <c r="HRM22" s="124"/>
      <c r="HRN22" s="124"/>
      <c r="HRO22" s="124"/>
      <c r="HRP22" s="124"/>
      <c r="HRQ22" s="124"/>
      <c r="HRR22" s="124"/>
      <c r="HRS22" s="124"/>
      <c r="HRT22" s="124"/>
      <c r="HRU22" s="124"/>
      <c r="HRV22" s="124"/>
      <c r="HRW22" s="124"/>
      <c r="HRX22" s="124"/>
      <c r="HRY22" s="124"/>
      <c r="HRZ22" s="124"/>
      <c r="HSA22" s="124"/>
      <c r="HSB22" s="124"/>
      <c r="HSC22" s="124"/>
      <c r="HSD22" s="124"/>
      <c r="HSE22" s="124"/>
      <c r="HSF22" s="124"/>
      <c r="HSG22" s="124"/>
      <c r="HSH22" s="124"/>
      <c r="HSI22" s="124"/>
      <c r="HSJ22" s="124"/>
      <c r="HSK22" s="124"/>
      <c r="HSL22" s="124"/>
      <c r="HSM22" s="124"/>
      <c r="HSN22" s="124"/>
      <c r="HSO22" s="124"/>
      <c r="HSP22" s="124"/>
      <c r="HSQ22" s="124"/>
      <c r="HSR22" s="124"/>
      <c r="HSS22" s="124"/>
      <c r="HST22" s="124"/>
      <c r="HSU22" s="124"/>
      <c r="HSV22" s="124"/>
      <c r="HSW22" s="124"/>
      <c r="HSX22" s="124"/>
      <c r="HSY22" s="124"/>
      <c r="HSZ22" s="124"/>
      <c r="HTA22" s="124"/>
      <c r="HTB22" s="124"/>
      <c r="HTC22" s="124"/>
      <c r="HTD22" s="124"/>
      <c r="HTE22" s="124"/>
      <c r="HTF22" s="124"/>
      <c r="HTG22" s="124"/>
      <c r="HTH22" s="124"/>
      <c r="HTI22" s="124"/>
      <c r="HTJ22" s="124"/>
      <c r="HTK22" s="124"/>
      <c r="HTL22" s="124"/>
      <c r="HTM22" s="124"/>
      <c r="HTN22" s="124"/>
      <c r="HTO22" s="124"/>
      <c r="HTP22" s="124"/>
      <c r="HTQ22" s="124"/>
      <c r="HTR22" s="124"/>
      <c r="HTS22" s="124"/>
      <c r="HTT22" s="124"/>
      <c r="HTU22" s="124"/>
      <c r="HTV22" s="124"/>
      <c r="HTW22" s="124"/>
      <c r="HTX22" s="124"/>
      <c r="HTY22" s="124"/>
      <c r="HTZ22" s="124"/>
      <c r="HUA22" s="124"/>
      <c r="HUB22" s="124"/>
      <c r="HUC22" s="124"/>
      <c r="HUD22" s="124"/>
      <c r="HUE22" s="124"/>
      <c r="HUF22" s="124"/>
      <c r="HUG22" s="124"/>
      <c r="HUH22" s="124"/>
      <c r="HUI22" s="124"/>
      <c r="HUJ22" s="124"/>
      <c r="HUK22" s="124"/>
      <c r="HUL22" s="124"/>
      <c r="HUM22" s="124"/>
      <c r="HUN22" s="124"/>
      <c r="HUO22" s="124"/>
      <c r="HUP22" s="124"/>
      <c r="HUQ22" s="124"/>
      <c r="HUR22" s="124"/>
      <c r="HUS22" s="124"/>
      <c r="HUT22" s="124"/>
      <c r="HUU22" s="124"/>
      <c r="HUV22" s="124"/>
      <c r="HUW22" s="124"/>
      <c r="HUX22" s="124"/>
      <c r="HUY22" s="124"/>
      <c r="HUZ22" s="124"/>
      <c r="HVA22" s="124"/>
      <c r="HVB22" s="124"/>
      <c r="HVC22" s="124"/>
      <c r="HVD22" s="124"/>
      <c r="HVE22" s="124"/>
      <c r="HVF22" s="124"/>
      <c r="HVG22" s="124"/>
      <c r="HVH22" s="124"/>
      <c r="HVI22" s="124"/>
      <c r="HVJ22" s="124"/>
      <c r="HVK22" s="124"/>
      <c r="HVL22" s="124"/>
      <c r="HVM22" s="124"/>
      <c r="HVN22" s="124"/>
      <c r="HVO22" s="124"/>
      <c r="HVP22" s="124"/>
      <c r="HVQ22" s="124"/>
      <c r="HVR22" s="124"/>
      <c r="HVS22" s="124"/>
      <c r="HVT22" s="124"/>
      <c r="HVU22" s="124"/>
      <c r="HVV22" s="124"/>
      <c r="HVW22" s="124"/>
      <c r="HVX22" s="124"/>
      <c r="HVY22" s="124"/>
      <c r="HVZ22" s="124"/>
      <c r="HWA22" s="124"/>
      <c r="HWB22" s="124"/>
      <c r="HWC22" s="124"/>
      <c r="HWD22" s="124"/>
      <c r="HWE22" s="124"/>
      <c r="HWF22" s="124"/>
      <c r="HWG22" s="124"/>
      <c r="HWH22" s="124"/>
      <c r="HWI22" s="124"/>
      <c r="HWJ22" s="124"/>
      <c r="HWK22" s="124"/>
      <c r="HWL22" s="124"/>
      <c r="HWM22" s="124"/>
      <c r="HWN22" s="124"/>
      <c r="HWO22" s="124"/>
      <c r="HWP22" s="124"/>
      <c r="HWQ22" s="124"/>
      <c r="HWR22" s="124"/>
      <c r="HWS22" s="124"/>
      <c r="HWT22" s="124"/>
      <c r="HWU22" s="124"/>
      <c r="HWV22" s="124"/>
      <c r="HWW22" s="124"/>
      <c r="HWX22" s="124"/>
      <c r="HWY22" s="124"/>
      <c r="HWZ22" s="124"/>
      <c r="HXA22" s="124"/>
      <c r="HXB22" s="124"/>
      <c r="HXC22" s="124"/>
      <c r="HXD22" s="124"/>
      <c r="HXE22" s="124"/>
      <c r="HXF22" s="124"/>
      <c r="HXG22" s="124"/>
      <c r="HXH22" s="124"/>
      <c r="HXI22" s="124"/>
      <c r="HXJ22" s="124"/>
      <c r="HXK22" s="124"/>
      <c r="HXL22" s="124"/>
      <c r="HXM22" s="124"/>
      <c r="HXN22" s="124"/>
      <c r="HXO22" s="124"/>
      <c r="HXP22" s="124"/>
      <c r="HXQ22" s="124"/>
      <c r="HXR22" s="124"/>
      <c r="HXS22" s="124"/>
      <c r="HXT22" s="124"/>
      <c r="HXU22" s="124"/>
      <c r="HXV22" s="124"/>
      <c r="HXW22" s="124"/>
      <c r="HXX22" s="124"/>
      <c r="HXY22" s="124"/>
      <c r="HXZ22" s="124"/>
      <c r="HYA22" s="124"/>
      <c r="HYB22" s="124"/>
      <c r="HYC22" s="124"/>
      <c r="HYD22" s="124"/>
      <c r="HYE22" s="124"/>
      <c r="HYF22" s="124"/>
      <c r="HYG22" s="124"/>
      <c r="HYH22" s="124"/>
      <c r="HYI22" s="124"/>
      <c r="HYJ22" s="124"/>
      <c r="HYK22" s="124"/>
      <c r="HYL22" s="124"/>
      <c r="HYM22" s="124"/>
      <c r="HYN22" s="124"/>
      <c r="HYO22" s="124"/>
      <c r="HYP22" s="124"/>
      <c r="HYQ22" s="124"/>
      <c r="HYR22" s="124"/>
      <c r="HYS22" s="124"/>
      <c r="HYT22" s="124"/>
      <c r="HYU22" s="124"/>
      <c r="HYV22" s="124"/>
      <c r="HYW22" s="124"/>
      <c r="HYX22" s="124"/>
      <c r="HYY22" s="124"/>
      <c r="HYZ22" s="124"/>
      <c r="HZA22" s="124"/>
      <c r="HZB22" s="124"/>
      <c r="HZC22" s="124"/>
      <c r="HZD22" s="124"/>
      <c r="HZE22" s="124"/>
      <c r="HZF22" s="124"/>
      <c r="HZG22" s="124"/>
      <c r="HZH22" s="124"/>
      <c r="HZI22" s="124"/>
      <c r="HZJ22" s="124"/>
      <c r="HZK22" s="124"/>
      <c r="HZL22" s="124"/>
      <c r="HZM22" s="124"/>
      <c r="HZN22" s="124"/>
      <c r="HZO22" s="124"/>
      <c r="HZP22" s="124"/>
      <c r="HZQ22" s="124"/>
      <c r="HZR22" s="124"/>
      <c r="HZS22" s="124"/>
      <c r="HZT22" s="124"/>
      <c r="HZU22" s="124"/>
      <c r="HZV22" s="124"/>
      <c r="HZW22" s="124"/>
      <c r="HZX22" s="124"/>
      <c r="HZY22" s="124"/>
      <c r="HZZ22" s="124"/>
      <c r="IAA22" s="124"/>
      <c r="IAB22" s="124"/>
      <c r="IAC22" s="124"/>
      <c r="IAD22" s="124"/>
      <c r="IAE22" s="124"/>
      <c r="IAF22" s="124"/>
      <c r="IAG22" s="124"/>
      <c r="IAH22" s="124"/>
      <c r="IAI22" s="124"/>
      <c r="IAJ22" s="124"/>
      <c r="IAK22" s="124"/>
      <c r="IAL22" s="124"/>
      <c r="IAM22" s="124"/>
      <c r="IAN22" s="124"/>
      <c r="IAO22" s="124"/>
      <c r="IAP22" s="124"/>
      <c r="IAQ22" s="124"/>
      <c r="IAR22" s="124"/>
      <c r="IAS22" s="124"/>
      <c r="IAT22" s="124"/>
      <c r="IAU22" s="124"/>
      <c r="IAV22" s="124"/>
      <c r="IAW22" s="124"/>
      <c r="IAX22" s="124"/>
      <c r="IAY22" s="124"/>
      <c r="IAZ22" s="124"/>
      <c r="IBA22" s="124"/>
      <c r="IBB22" s="124"/>
      <c r="IBC22" s="124"/>
      <c r="IBD22" s="124"/>
      <c r="IBE22" s="124"/>
      <c r="IBF22" s="124"/>
      <c r="IBG22" s="124"/>
      <c r="IBH22" s="124"/>
      <c r="IBI22" s="124"/>
      <c r="IBJ22" s="124"/>
      <c r="IBK22" s="124"/>
      <c r="IBL22" s="124"/>
      <c r="IBM22" s="124"/>
      <c r="IBN22" s="124"/>
      <c r="IBO22" s="124"/>
      <c r="IBP22" s="124"/>
      <c r="IBQ22" s="124"/>
      <c r="IBR22" s="124"/>
      <c r="IBS22" s="124"/>
      <c r="IBT22" s="124"/>
      <c r="IBU22" s="124"/>
      <c r="IBV22" s="124"/>
      <c r="IBW22" s="124"/>
      <c r="IBX22" s="124"/>
      <c r="IBY22" s="124"/>
      <c r="IBZ22" s="124"/>
      <c r="ICA22" s="124"/>
      <c r="ICB22" s="124"/>
      <c r="ICC22" s="124"/>
      <c r="ICD22" s="124"/>
      <c r="ICE22" s="124"/>
      <c r="ICF22" s="124"/>
      <c r="ICG22" s="124"/>
      <c r="ICH22" s="124"/>
      <c r="ICI22" s="124"/>
      <c r="ICJ22" s="124"/>
      <c r="ICK22" s="124"/>
      <c r="ICL22" s="124"/>
      <c r="ICM22" s="124"/>
      <c r="ICN22" s="124"/>
      <c r="ICO22" s="124"/>
      <c r="ICP22" s="124"/>
      <c r="ICQ22" s="124"/>
      <c r="ICR22" s="124"/>
      <c r="ICS22" s="124"/>
      <c r="ICT22" s="124"/>
      <c r="ICU22" s="124"/>
      <c r="ICV22" s="124"/>
      <c r="ICW22" s="124"/>
      <c r="ICX22" s="124"/>
      <c r="ICY22" s="124"/>
      <c r="ICZ22" s="124"/>
      <c r="IDA22" s="124"/>
      <c r="IDB22" s="124"/>
      <c r="IDC22" s="124"/>
      <c r="IDD22" s="124"/>
      <c r="IDE22" s="124"/>
      <c r="IDF22" s="124"/>
      <c r="IDG22" s="124"/>
      <c r="IDH22" s="124"/>
      <c r="IDI22" s="124"/>
      <c r="IDJ22" s="124"/>
      <c r="IDK22" s="124"/>
      <c r="IDL22" s="124"/>
      <c r="IDM22" s="124"/>
      <c r="IDN22" s="124"/>
      <c r="IDO22" s="124"/>
      <c r="IDP22" s="124"/>
      <c r="IDQ22" s="124"/>
      <c r="IDR22" s="124"/>
      <c r="IDS22" s="124"/>
      <c r="IDT22" s="124"/>
      <c r="IDU22" s="124"/>
      <c r="IDV22" s="124"/>
      <c r="IDW22" s="124"/>
      <c r="IDX22" s="124"/>
      <c r="IDY22" s="124"/>
      <c r="IDZ22" s="124"/>
      <c r="IEA22" s="124"/>
      <c r="IEB22" s="124"/>
      <c r="IEC22" s="124"/>
      <c r="IED22" s="124"/>
      <c r="IEE22" s="124"/>
      <c r="IEF22" s="124"/>
      <c r="IEG22" s="124"/>
      <c r="IEH22" s="124"/>
      <c r="IEI22" s="124"/>
      <c r="IEJ22" s="124"/>
      <c r="IEK22" s="124"/>
      <c r="IEL22" s="124"/>
      <c r="IEM22" s="124"/>
      <c r="IEN22" s="124"/>
      <c r="IEO22" s="124"/>
      <c r="IEP22" s="124"/>
      <c r="IEQ22" s="124"/>
      <c r="IER22" s="124"/>
      <c r="IES22" s="124"/>
      <c r="IET22" s="124"/>
      <c r="IEU22" s="124"/>
      <c r="IEV22" s="124"/>
      <c r="IEW22" s="124"/>
      <c r="IEX22" s="124"/>
      <c r="IEY22" s="124"/>
      <c r="IEZ22" s="124"/>
      <c r="IFA22" s="124"/>
      <c r="IFB22" s="124"/>
      <c r="IFC22" s="124"/>
      <c r="IFD22" s="124"/>
      <c r="IFE22" s="124"/>
      <c r="IFF22" s="124"/>
      <c r="IFG22" s="124"/>
      <c r="IFH22" s="124"/>
      <c r="IFI22" s="124"/>
      <c r="IFJ22" s="124"/>
      <c r="IFK22" s="124"/>
      <c r="IFL22" s="124"/>
      <c r="IFM22" s="124"/>
      <c r="IFN22" s="124"/>
      <c r="IFO22" s="124"/>
      <c r="IFP22" s="124"/>
      <c r="IFQ22" s="124"/>
      <c r="IFR22" s="124"/>
      <c r="IFS22" s="124"/>
      <c r="IFT22" s="124"/>
      <c r="IFU22" s="124"/>
      <c r="IFV22" s="124"/>
      <c r="IFW22" s="124"/>
      <c r="IFX22" s="124"/>
      <c r="IFY22" s="124"/>
      <c r="IFZ22" s="124"/>
      <c r="IGA22" s="124"/>
      <c r="IGB22" s="124"/>
      <c r="IGC22" s="124"/>
      <c r="IGD22" s="124"/>
      <c r="IGE22" s="124"/>
      <c r="IGF22" s="124"/>
      <c r="IGG22" s="124"/>
      <c r="IGH22" s="124"/>
      <c r="IGI22" s="124"/>
      <c r="IGJ22" s="124"/>
      <c r="IGK22" s="124"/>
      <c r="IGL22" s="124"/>
      <c r="IGM22" s="124"/>
      <c r="IGN22" s="124"/>
      <c r="IGO22" s="124"/>
      <c r="IGP22" s="124"/>
      <c r="IGQ22" s="124"/>
      <c r="IGR22" s="124"/>
      <c r="IGS22" s="124"/>
      <c r="IGT22" s="124"/>
      <c r="IGU22" s="124"/>
      <c r="IGV22" s="124"/>
      <c r="IGW22" s="124"/>
      <c r="IGX22" s="124"/>
      <c r="IGY22" s="124"/>
      <c r="IGZ22" s="124"/>
      <c r="IHA22" s="124"/>
      <c r="IHB22" s="124"/>
      <c r="IHC22" s="124"/>
      <c r="IHD22" s="124"/>
      <c r="IHE22" s="124"/>
      <c r="IHF22" s="124"/>
      <c r="IHG22" s="124"/>
      <c r="IHH22" s="124"/>
      <c r="IHI22" s="124"/>
      <c r="IHJ22" s="124"/>
      <c r="IHK22" s="124"/>
      <c r="IHL22" s="124"/>
      <c r="IHM22" s="124"/>
      <c r="IHN22" s="124"/>
      <c r="IHO22" s="124"/>
      <c r="IHP22" s="124"/>
      <c r="IHQ22" s="124"/>
      <c r="IHR22" s="124"/>
      <c r="IHS22" s="124"/>
      <c r="IHT22" s="124"/>
      <c r="IHU22" s="124"/>
      <c r="IHV22" s="124"/>
      <c r="IHW22" s="124"/>
      <c r="IHX22" s="124"/>
      <c r="IHY22" s="124"/>
      <c r="IHZ22" s="124"/>
      <c r="IIA22" s="124"/>
      <c r="IIB22" s="124"/>
      <c r="IIC22" s="124"/>
      <c r="IID22" s="124"/>
      <c r="IIE22" s="124"/>
      <c r="IIF22" s="124"/>
      <c r="IIG22" s="124"/>
      <c r="IIH22" s="124"/>
      <c r="III22" s="124"/>
      <c r="IIJ22" s="124"/>
      <c r="IIK22" s="124"/>
      <c r="IIL22" s="124"/>
      <c r="IIM22" s="124"/>
      <c r="IIN22" s="124"/>
      <c r="IIO22" s="124"/>
      <c r="IIP22" s="124"/>
      <c r="IIQ22" s="124"/>
      <c r="IIR22" s="124"/>
      <c r="IIS22" s="124"/>
      <c r="IIT22" s="124"/>
      <c r="IIU22" s="124"/>
      <c r="IIV22" s="124"/>
      <c r="IIW22" s="124"/>
      <c r="IIX22" s="124"/>
      <c r="IIY22" s="124"/>
      <c r="IIZ22" s="124"/>
      <c r="IJA22" s="124"/>
      <c r="IJB22" s="124"/>
      <c r="IJC22" s="124"/>
      <c r="IJD22" s="124"/>
      <c r="IJE22" s="124"/>
      <c r="IJF22" s="124"/>
      <c r="IJG22" s="124"/>
      <c r="IJH22" s="124"/>
      <c r="IJI22" s="124"/>
      <c r="IJJ22" s="124"/>
      <c r="IJK22" s="124"/>
      <c r="IJL22" s="124"/>
      <c r="IJM22" s="124"/>
      <c r="IJN22" s="124"/>
      <c r="IJO22" s="124"/>
      <c r="IJP22" s="124"/>
      <c r="IJQ22" s="124"/>
      <c r="IJR22" s="124"/>
      <c r="IJS22" s="124"/>
      <c r="IJT22" s="124"/>
      <c r="IJU22" s="124"/>
      <c r="IJV22" s="124"/>
      <c r="IJW22" s="124"/>
      <c r="IJX22" s="124"/>
      <c r="IJY22" s="124"/>
      <c r="IJZ22" s="124"/>
      <c r="IKA22" s="124"/>
      <c r="IKB22" s="124"/>
      <c r="IKC22" s="124"/>
      <c r="IKD22" s="124"/>
      <c r="IKE22" s="124"/>
      <c r="IKF22" s="124"/>
      <c r="IKG22" s="124"/>
      <c r="IKH22" s="124"/>
      <c r="IKI22" s="124"/>
      <c r="IKJ22" s="124"/>
      <c r="IKK22" s="124"/>
      <c r="IKL22" s="124"/>
      <c r="IKM22" s="124"/>
      <c r="IKN22" s="124"/>
      <c r="IKO22" s="124"/>
      <c r="IKP22" s="124"/>
      <c r="IKQ22" s="124"/>
      <c r="IKR22" s="124"/>
      <c r="IKS22" s="124"/>
      <c r="IKT22" s="124"/>
      <c r="IKU22" s="124"/>
      <c r="IKV22" s="124"/>
      <c r="IKW22" s="124"/>
      <c r="IKX22" s="124"/>
      <c r="IKY22" s="124"/>
      <c r="IKZ22" s="124"/>
      <c r="ILA22" s="124"/>
      <c r="ILB22" s="124"/>
      <c r="ILC22" s="124"/>
      <c r="ILD22" s="124"/>
      <c r="ILE22" s="124"/>
      <c r="ILF22" s="124"/>
      <c r="ILG22" s="124"/>
      <c r="ILH22" s="124"/>
      <c r="ILI22" s="124"/>
      <c r="ILJ22" s="124"/>
      <c r="ILK22" s="124"/>
      <c r="ILL22" s="124"/>
      <c r="ILM22" s="124"/>
      <c r="ILN22" s="124"/>
      <c r="ILO22" s="124"/>
      <c r="ILP22" s="124"/>
      <c r="ILQ22" s="124"/>
      <c r="ILR22" s="124"/>
      <c r="ILS22" s="124"/>
      <c r="ILT22" s="124"/>
      <c r="ILU22" s="124"/>
      <c r="ILV22" s="124"/>
      <c r="ILW22" s="124"/>
      <c r="ILX22" s="124"/>
      <c r="ILY22" s="124"/>
      <c r="ILZ22" s="124"/>
      <c r="IMA22" s="124"/>
      <c r="IMB22" s="124"/>
      <c r="IMC22" s="124"/>
      <c r="IMD22" s="124"/>
      <c r="IME22" s="124"/>
      <c r="IMF22" s="124"/>
      <c r="IMG22" s="124"/>
      <c r="IMH22" s="124"/>
      <c r="IMI22" s="124"/>
      <c r="IMJ22" s="124"/>
      <c r="IMK22" s="124"/>
      <c r="IML22" s="124"/>
      <c r="IMM22" s="124"/>
      <c r="IMN22" s="124"/>
      <c r="IMO22" s="124"/>
      <c r="IMP22" s="124"/>
      <c r="IMQ22" s="124"/>
      <c r="IMR22" s="124"/>
      <c r="IMS22" s="124"/>
      <c r="IMT22" s="124"/>
      <c r="IMU22" s="124"/>
      <c r="IMV22" s="124"/>
      <c r="IMW22" s="124"/>
      <c r="IMX22" s="124"/>
      <c r="IMY22" s="124"/>
      <c r="IMZ22" s="124"/>
      <c r="INA22" s="124"/>
      <c r="INB22" s="124"/>
      <c r="INC22" s="124"/>
      <c r="IND22" s="124"/>
      <c r="INE22" s="124"/>
      <c r="INF22" s="124"/>
      <c r="ING22" s="124"/>
      <c r="INH22" s="124"/>
      <c r="INI22" s="124"/>
      <c r="INJ22" s="124"/>
      <c r="INK22" s="124"/>
      <c r="INL22" s="124"/>
      <c r="INM22" s="124"/>
      <c r="INN22" s="124"/>
      <c r="INO22" s="124"/>
      <c r="INP22" s="124"/>
      <c r="INQ22" s="124"/>
      <c r="INR22" s="124"/>
      <c r="INS22" s="124"/>
      <c r="INT22" s="124"/>
      <c r="INU22" s="124"/>
      <c r="INV22" s="124"/>
      <c r="INW22" s="124"/>
      <c r="INX22" s="124"/>
      <c r="INY22" s="124"/>
      <c r="INZ22" s="124"/>
      <c r="IOA22" s="124"/>
      <c r="IOB22" s="124"/>
      <c r="IOC22" s="124"/>
      <c r="IOD22" s="124"/>
      <c r="IOE22" s="124"/>
      <c r="IOF22" s="124"/>
      <c r="IOG22" s="124"/>
      <c r="IOH22" s="124"/>
      <c r="IOI22" s="124"/>
      <c r="IOJ22" s="124"/>
      <c r="IOK22" s="124"/>
      <c r="IOL22" s="124"/>
      <c r="IOM22" s="124"/>
      <c r="ION22" s="124"/>
      <c r="IOO22" s="124"/>
      <c r="IOP22" s="124"/>
      <c r="IOQ22" s="124"/>
      <c r="IOR22" s="124"/>
      <c r="IOS22" s="124"/>
      <c r="IOT22" s="124"/>
      <c r="IOU22" s="124"/>
      <c r="IOV22" s="124"/>
      <c r="IOW22" s="124"/>
      <c r="IOX22" s="124"/>
      <c r="IOY22" s="124"/>
      <c r="IOZ22" s="124"/>
      <c r="IPA22" s="124"/>
      <c r="IPB22" s="124"/>
      <c r="IPC22" s="124"/>
      <c r="IPD22" s="124"/>
      <c r="IPE22" s="124"/>
      <c r="IPF22" s="124"/>
      <c r="IPG22" s="124"/>
      <c r="IPH22" s="124"/>
      <c r="IPI22" s="124"/>
      <c r="IPJ22" s="124"/>
      <c r="IPK22" s="124"/>
      <c r="IPL22" s="124"/>
      <c r="IPM22" s="124"/>
      <c r="IPN22" s="124"/>
      <c r="IPO22" s="124"/>
      <c r="IPP22" s="124"/>
      <c r="IPQ22" s="124"/>
      <c r="IPR22" s="124"/>
      <c r="IPS22" s="124"/>
      <c r="IPT22" s="124"/>
      <c r="IPU22" s="124"/>
      <c r="IPV22" s="124"/>
      <c r="IPW22" s="124"/>
      <c r="IPX22" s="124"/>
      <c r="IPY22" s="124"/>
      <c r="IPZ22" s="124"/>
      <c r="IQA22" s="124"/>
      <c r="IQB22" s="124"/>
      <c r="IQC22" s="124"/>
      <c r="IQD22" s="124"/>
      <c r="IQE22" s="124"/>
      <c r="IQF22" s="124"/>
      <c r="IQG22" s="124"/>
      <c r="IQH22" s="124"/>
      <c r="IQI22" s="124"/>
      <c r="IQJ22" s="124"/>
      <c r="IQK22" s="124"/>
      <c r="IQL22" s="124"/>
      <c r="IQM22" s="124"/>
      <c r="IQN22" s="124"/>
      <c r="IQO22" s="124"/>
      <c r="IQP22" s="124"/>
      <c r="IQQ22" s="124"/>
      <c r="IQR22" s="124"/>
      <c r="IQS22" s="124"/>
      <c r="IQT22" s="124"/>
      <c r="IQU22" s="124"/>
      <c r="IQV22" s="124"/>
      <c r="IQW22" s="124"/>
      <c r="IQX22" s="124"/>
      <c r="IQY22" s="124"/>
      <c r="IQZ22" s="124"/>
      <c r="IRA22" s="124"/>
      <c r="IRB22" s="124"/>
      <c r="IRC22" s="124"/>
      <c r="IRD22" s="124"/>
      <c r="IRE22" s="124"/>
      <c r="IRF22" s="124"/>
      <c r="IRG22" s="124"/>
      <c r="IRH22" s="124"/>
      <c r="IRI22" s="124"/>
      <c r="IRJ22" s="124"/>
      <c r="IRK22" s="124"/>
      <c r="IRL22" s="124"/>
      <c r="IRM22" s="124"/>
      <c r="IRN22" s="124"/>
      <c r="IRO22" s="124"/>
      <c r="IRP22" s="124"/>
      <c r="IRQ22" s="124"/>
      <c r="IRR22" s="124"/>
      <c r="IRS22" s="124"/>
      <c r="IRT22" s="124"/>
      <c r="IRU22" s="124"/>
      <c r="IRV22" s="124"/>
      <c r="IRW22" s="124"/>
      <c r="IRX22" s="124"/>
      <c r="IRY22" s="124"/>
      <c r="IRZ22" s="124"/>
      <c r="ISA22" s="124"/>
      <c r="ISB22" s="124"/>
      <c r="ISC22" s="124"/>
      <c r="ISD22" s="124"/>
      <c r="ISE22" s="124"/>
      <c r="ISF22" s="124"/>
      <c r="ISG22" s="124"/>
      <c r="ISH22" s="124"/>
      <c r="ISI22" s="124"/>
      <c r="ISJ22" s="124"/>
      <c r="ISK22" s="124"/>
      <c r="ISL22" s="124"/>
      <c r="ISM22" s="124"/>
      <c r="ISN22" s="124"/>
      <c r="ISO22" s="124"/>
      <c r="ISP22" s="124"/>
      <c r="ISQ22" s="124"/>
      <c r="ISR22" s="124"/>
      <c r="ISS22" s="124"/>
      <c r="IST22" s="124"/>
      <c r="ISU22" s="124"/>
      <c r="ISV22" s="124"/>
      <c r="ISW22" s="124"/>
      <c r="ISX22" s="124"/>
      <c r="ISY22" s="124"/>
      <c r="ISZ22" s="124"/>
      <c r="ITA22" s="124"/>
      <c r="ITB22" s="124"/>
      <c r="ITC22" s="124"/>
      <c r="ITD22" s="124"/>
      <c r="ITE22" s="124"/>
      <c r="ITF22" s="124"/>
      <c r="ITG22" s="124"/>
      <c r="ITH22" s="124"/>
      <c r="ITI22" s="124"/>
      <c r="ITJ22" s="124"/>
      <c r="ITK22" s="124"/>
      <c r="ITL22" s="124"/>
      <c r="ITM22" s="124"/>
      <c r="ITN22" s="124"/>
      <c r="ITO22" s="124"/>
      <c r="ITP22" s="124"/>
      <c r="ITQ22" s="124"/>
      <c r="ITR22" s="124"/>
      <c r="ITS22" s="124"/>
      <c r="ITT22" s="124"/>
      <c r="ITU22" s="124"/>
      <c r="ITV22" s="124"/>
      <c r="ITW22" s="124"/>
      <c r="ITX22" s="124"/>
      <c r="ITY22" s="124"/>
      <c r="ITZ22" s="124"/>
      <c r="IUA22" s="124"/>
      <c r="IUB22" s="124"/>
      <c r="IUC22" s="124"/>
      <c r="IUD22" s="124"/>
      <c r="IUE22" s="124"/>
      <c r="IUF22" s="124"/>
      <c r="IUG22" s="124"/>
      <c r="IUH22" s="124"/>
      <c r="IUI22" s="124"/>
      <c r="IUJ22" s="124"/>
      <c r="IUK22" s="124"/>
      <c r="IUL22" s="124"/>
      <c r="IUM22" s="124"/>
      <c r="IUN22" s="124"/>
      <c r="IUO22" s="124"/>
      <c r="IUP22" s="124"/>
      <c r="IUQ22" s="124"/>
      <c r="IUR22" s="124"/>
      <c r="IUS22" s="124"/>
      <c r="IUT22" s="124"/>
      <c r="IUU22" s="124"/>
      <c r="IUV22" s="124"/>
      <c r="IUW22" s="124"/>
      <c r="IUX22" s="124"/>
      <c r="IUY22" s="124"/>
      <c r="IUZ22" s="124"/>
      <c r="IVA22" s="124"/>
      <c r="IVB22" s="124"/>
      <c r="IVC22" s="124"/>
      <c r="IVD22" s="124"/>
      <c r="IVE22" s="124"/>
      <c r="IVF22" s="124"/>
      <c r="IVG22" s="124"/>
      <c r="IVH22" s="124"/>
      <c r="IVI22" s="124"/>
      <c r="IVJ22" s="124"/>
      <c r="IVK22" s="124"/>
      <c r="IVL22" s="124"/>
      <c r="IVM22" s="124"/>
      <c r="IVN22" s="124"/>
      <c r="IVO22" s="124"/>
      <c r="IVP22" s="124"/>
      <c r="IVQ22" s="124"/>
      <c r="IVR22" s="124"/>
      <c r="IVS22" s="124"/>
      <c r="IVT22" s="124"/>
      <c r="IVU22" s="124"/>
      <c r="IVV22" s="124"/>
      <c r="IVW22" s="124"/>
      <c r="IVX22" s="124"/>
      <c r="IVY22" s="124"/>
      <c r="IVZ22" s="124"/>
      <c r="IWA22" s="124"/>
      <c r="IWB22" s="124"/>
      <c r="IWC22" s="124"/>
      <c r="IWD22" s="124"/>
      <c r="IWE22" s="124"/>
      <c r="IWF22" s="124"/>
      <c r="IWG22" s="124"/>
      <c r="IWH22" s="124"/>
      <c r="IWI22" s="124"/>
      <c r="IWJ22" s="124"/>
      <c r="IWK22" s="124"/>
      <c r="IWL22" s="124"/>
      <c r="IWM22" s="124"/>
      <c r="IWN22" s="124"/>
      <c r="IWO22" s="124"/>
      <c r="IWP22" s="124"/>
      <c r="IWQ22" s="124"/>
      <c r="IWR22" s="124"/>
      <c r="IWS22" s="124"/>
      <c r="IWT22" s="124"/>
      <c r="IWU22" s="124"/>
      <c r="IWV22" s="124"/>
      <c r="IWW22" s="124"/>
      <c r="IWX22" s="124"/>
      <c r="IWY22" s="124"/>
      <c r="IWZ22" s="124"/>
      <c r="IXA22" s="124"/>
      <c r="IXB22" s="124"/>
      <c r="IXC22" s="124"/>
      <c r="IXD22" s="124"/>
      <c r="IXE22" s="124"/>
      <c r="IXF22" s="124"/>
      <c r="IXG22" s="124"/>
      <c r="IXH22" s="124"/>
      <c r="IXI22" s="124"/>
      <c r="IXJ22" s="124"/>
      <c r="IXK22" s="124"/>
      <c r="IXL22" s="124"/>
      <c r="IXM22" s="124"/>
      <c r="IXN22" s="124"/>
      <c r="IXO22" s="124"/>
      <c r="IXP22" s="124"/>
      <c r="IXQ22" s="124"/>
      <c r="IXR22" s="124"/>
      <c r="IXS22" s="124"/>
      <c r="IXT22" s="124"/>
      <c r="IXU22" s="124"/>
      <c r="IXV22" s="124"/>
      <c r="IXW22" s="124"/>
      <c r="IXX22" s="124"/>
      <c r="IXY22" s="124"/>
      <c r="IXZ22" s="124"/>
      <c r="IYA22" s="124"/>
      <c r="IYB22" s="124"/>
      <c r="IYC22" s="124"/>
      <c r="IYD22" s="124"/>
      <c r="IYE22" s="124"/>
      <c r="IYF22" s="124"/>
      <c r="IYG22" s="124"/>
      <c r="IYH22" s="124"/>
      <c r="IYI22" s="124"/>
      <c r="IYJ22" s="124"/>
      <c r="IYK22" s="124"/>
      <c r="IYL22" s="124"/>
      <c r="IYM22" s="124"/>
      <c r="IYN22" s="124"/>
      <c r="IYO22" s="124"/>
      <c r="IYP22" s="124"/>
      <c r="IYQ22" s="124"/>
      <c r="IYR22" s="124"/>
      <c r="IYS22" s="124"/>
      <c r="IYT22" s="124"/>
      <c r="IYU22" s="124"/>
      <c r="IYV22" s="124"/>
      <c r="IYW22" s="124"/>
      <c r="IYX22" s="124"/>
      <c r="IYY22" s="124"/>
      <c r="IYZ22" s="124"/>
      <c r="IZA22" s="124"/>
      <c r="IZB22" s="124"/>
      <c r="IZC22" s="124"/>
      <c r="IZD22" s="124"/>
      <c r="IZE22" s="124"/>
      <c r="IZF22" s="124"/>
      <c r="IZG22" s="124"/>
      <c r="IZH22" s="124"/>
      <c r="IZI22" s="124"/>
      <c r="IZJ22" s="124"/>
      <c r="IZK22" s="124"/>
      <c r="IZL22" s="124"/>
      <c r="IZM22" s="124"/>
      <c r="IZN22" s="124"/>
      <c r="IZO22" s="124"/>
      <c r="IZP22" s="124"/>
      <c r="IZQ22" s="124"/>
      <c r="IZR22" s="124"/>
      <c r="IZS22" s="124"/>
      <c r="IZT22" s="124"/>
      <c r="IZU22" s="124"/>
      <c r="IZV22" s="124"/>
      <c r="IZW22" s="124"/>
      <c r="IZX22" s="124"/>
      <c r="IZY22" s="124"/>
      <c r="IZZ22" s="124"/>
      <c r="JAA22" s="124"/>
      <c r="JAB22" s="124"/>
      <c r="JAC22" s="124"/>
      <c r="JAD22" s="124"/>
      <c r="JAE22" s="124"/>
      <c r="JAF22" s="124"/>
      <c r="JAG22" s="124"/>
      <c r="JAH22" s="124"/>
      <c r="JAI22" s="124"/>
      <c r="JAJ22" s="124"/>
      <c r="JAK22" s="124"/>
      <c r="JAL22" s="124"/>
      <c r="JAM22" s="124"/>
      <c r="JAN22" s="124"/>
      <c r="JAO22" s="124"/>
      <c r="JAP22" s="124"/>
      <c r="JAQ22" s="124"/>
      <c r="JAR22" s="124"/>
      <c r="JAS22" s="124"/>
      <c r="JAT22" s="124"/>
      <c r="JAU22" s="124"/>
      <c r="JAV22" s="124"/>
      <c r="JAW22" s="124"/>
      <c r="JAX22" s="124"/>
      <c r="JAY22" s="124"/>
      <c r="JAZ22" s="124"/>
      <c r="JBA22" s="124"/>
      <c r="JBB22" s="124"/>
      <c r="JBC22" s="124"/>
      <c r="JBD22" s="124"/>
      <c r="JBE22" s="124"/>
      <c r="JBF22" s="124"/>
      <c r="JBG22" s="124"/>
      <c r="JBH22" s="124"/>
      <c r="JBI22" s="124"/>
      <c r="JBJ22" s="124"/>
      <c r="JBK22" s="124"/>
      <c r="JBL22" s="124"/>
      <c r="JBM22" s="124"/>
      <c r="JBN22" s="124"/>
      <c r="JBO22" s="124"/>
      <c r="JBP22" s="124"/>
      <c r="JBQ22" s="124"/>
      <c r="JBR22" s="124"/>
      <c r="JBS22" s="124"/>
      <c r="JBT22" s="124"/>
      <c r="JBU22" s="124"/>
      <c r="JBV22" s="124"/>
      <c r="JBW22" s="124"/>
      <c r="JBX22" s="124"/>
      <c r="JBY22" s="124"/>
      <c r="JBZ22" s="124"/>
      <c r="JCA22" s="124"/>
      <c r="JCB22" s="124"/>
      <c r="JCC22" s="124"/>
      <c r="JCD22" s="124"/>
      <c r="JCE22" s="124"/>
      <c r="JCF22" s="124"/>
      <c r="JCG22" s="124"/>
      <c r="JCH22" s="124"/>
      <c r="JCI22" s="124"/>
      <c r="JCJ22" s="124"/>
      <c r="JCK22" s="124"/>
      <c r="JCL22" s="124"/>
      <c r="JCM22" s="124"/>
      <c r="JCN22" s="124"/>
      <c r="JCO22" s="124"/>
      <c r="JCP22" s="124"/>
      <c r="JCQ22" s="124"/>
      <c r="JCR22" s="124"/>
      <c r="JCS22" s="124"/>
      <c r="JCT22" s="124"/>
      <c r="JCU22" s="124"/>
      <c r="JCV22" s="124"/>
      <c r="JCW22" s="124"/>
      <c r="JCX22" s="124"/>
      <c r="JCY22" s="124"/>
      <c r="JCZ22" s="124"/>
      <c r="JDA22" s="124"/>
      <c r="JDB22" s="124"/>
      <c r="JDC22" s="124"/>
      <c r="JDD22" s="124"/>
      <c r="JDE22" s="124"/>
      <c r="JDF22" s="124"/>
      <c r="JDG22" s="124"/>
      <c r="JDH22" s="124"/>
      <c r="JDI22" s="124"/>
      <c r="JDJ22" s="124"/>
      <c r="JDK22" s="124"/>
      <c r="JDL22" s="124"/>
      <c r="JDM22" s="124"/>
      <c r="JDN22" s="124"/>
      <c r="JDO22" s="124"/>
      <c r="JDP22" s="124"/>
      <c r="JDQ22" s="124"/>
      <c r="JDR22" s="124"/>
      <c r="JDS22" s="124"/>
      <c r="JDT22" s="124"/>
      <c r="JDU22" s="124"/>
      <c r="JDV22" s="124"/>
      <c r="JDW22" s="124"/>
      <c r="JDX22" s="124"/>
      <c r="JDY22" s="124"/>
      <c r="JDZ22" s="124"/>
      <c r="JEA22" s="124"/>
      <c r="JEB22" s="124"/>
      <c r="JEC22" s="124"/>
      <c r="JED22" s="124"/>
      <c r="JEE22" s="124"/>
      <c r="JEF22" s="124"/>
      <c r="JEG22" s="124"/>
      <c r="JEH22" s="124"/>
      <c r="JEI22" s="124"/>
      <c r="JEJ22" s="124"/>
      <c r="JEK22" s="124"/>
      <c r="JEL22" s="124"/>
      <c r="JEM22" s="124"/>
      <c r="JEN22" s="124"/>
      <c r="JEO22" s="124"/>
      <c r="JEP22" s="124"/>
      <c r="JEQ22" s="124"/>
      <c r="JER22" s="124"/>
      <c r="JES22" s="124"/>
      <c r="JET22" s="124"/>
      <c r="JEU22" s="124"/>
      <c r="JEV22" s="124"/>
      <c r="JEW22" s="124"/>
      <c r="JEX22" s="124"/>
      <c r="JEY22" s="124"/>
      <c r="JEZ22" s="124"/>
      <c r="JFA22" s="124"/>
      <c r="JFB22" s="124"/>
      <c r="JFC22" s="124"/>
      <c r="JFD22" s="124"/>
      <c r="JFE22" s="124"/>
      <c r="JFF22" s="124"/>
      <c r="JFG22" s="124"/>
      <c r="JFH22" s="124"/>
      <c r="JFI22" s="124"/>
      <c r="JFJ22" s="124"/>
      <c r="JFK22" s="124"/>
      <c r="JFL22" s="124"/>
      <c r="JFM22" s="124"/>
      <c r="JFN22" s="124"/>
      <c r="JFO22" s="124"/>
      <c r="JFP22" s="124"/>
      <c r="JFQ22" s="124"/>
      <c r="JFR22" s="124"/>
      <c r="JFS22" s="124"/>
      <c r="JFT22" s="124"/>
      <c r="JFU22" s="124"/>
      <c r="JFV22" s="124"/>
      <c r="JFW22" s="124"/>
      <c r="JFX22" s="124"/>
      <c r="JFY22" s="124"/>
      <c r="JFZ22" s="124"/>
      <c r="JGA22" s="124"/>
      <c r="JGB22" s="124"/>
      <c r="JGC22" s="124"/>
      <c r="JGD22" s="124"/>
      <c r="JGE22" s="124"/>
      <c r="JGF22" s="124"/>
      <c r="JGG22" s="124"/>
      <c r="JGH22" s="124"/>
      <c r="JGI22" s="124"/>
      <c r="JGJ22" s="124"/>
      <c r="JGK22" s="124"/>
      <c r="JGL22" s="124"/>
      <c r="JGM22" s="124"/>
      <c r="JGN22" s="124"/>
      <c r="JGO22" s="124"/>
      <c r="JGP22" s="124"/>
      <c r="JGQ22" s="124"/>
      <c r="JGR22" s="124"/>
      <c r="JGS22" s="124"/>
      <c r="JGT22" s="124"/>
      <c r="JGU22" s="124"/>
      <c r="JGV22" s="124"/>
      <c r="JGW22" s="124"/>
      <c r="JGX22" s="124"/>
      <c r="JGY22" s="124"/>
      <c r="JGZ22" s="124"/>
      <c r="JHA22" s="124"/>
      <c r="JHB22" s="124"/>
      <c r="JHC22" s="124"/>
      <c r="JHD22" s="124"/>
      <c r="JHE22" s="124"/>
      <c r="JHF22" s="124"/>
      <c r="JHG22" s="124"/>
      <c r="JHH22" s="124"/>
      <c r="JHI22" s="124"/>
      <c r="JHJ22" s="124"/>
      <c r="JHK22" s="124"/>
      <c r="JHL22" s="124"/>
      <c r="JHM22" s="124"/>
      <c r="JHN22" s="124"/>
      <c r="JHO22" s="124"/>
      <c r="JHP22" s="124"/>
      <c r="JHQ22" s="124"/>
      <c r="JHR22" s="124"/>
      <c r="JHS22" s="124"/>
      <c r="JHT22" s="124"/>
      <c r="JHU22" s="124"/>
      <c r="JHV22" s="124"/>
      <c r="JHW22" s="124"/>
      <c r="JHX22" s="124"/>
      <c r="JHY22" s="124"/>
      <c r="JHZ22" s="124"/>
      <c r="JIA22" s="124"/>
      <c r="JIB22" s="124"/>
      <c r="JIC22" s="124"/>
      <c r="JID22" s="124"/>
      <c r="JIE22" s="124"/>
      <c r="JIF22" s="124"/>
      <c r="JIG22" s="124"/>
      <c r="JIH22" s="124"/>
      <c r="JII22" s="124"/>
      <c r="JIJ22" s="124"/>
      <c r="JIK22" s="124"/>
      <c r="JIL22" s="124"/>
      <c r="JIM22" s="124"/>
      <c r="JIN22" s="124"/>
      <c r="JIO22" s="124"/>
      <c r="JIP22" s="124"/>
      <c r="JIQ22" s="124"/>
      <c r="JIR22" s="124"/>
      <c r="JIS22" s="124"/>
      <c r="JIT22" s="124"/>
      <c r="JIU22" s="124"/>
      <c r="JIV22" s="124"/>
      <c r="JIW22" s="124"/>
      <c r="JIX22" s="124"/>
      <c r="JIY22" s="124"/>
      <c r="JIZ22" s="124"/>
      <c r="JJA22" s="124"/>
      <c r="JJB22" s="124"/>
      <c r="JJC22" s="124"/>
      <c r="JJD22" s="124"/>
      <c r="JJE22" s="124"/>
      <c r="JJF22" s="124"/>
      <c r="JJG22" s="124"/>
      <c r="JJH22" s="124"/>
      <c r="JJI22" s="124"/>
      <c r="JJJ22" s="124"/>
      <c r="JJK22" s="124"/>
      <c r="JJL22" s="124"/>
      <c r="JJM22" s="124"/>
      <c r="JJN22" s="124"/>
      <c r="JJO22" s="124"/>
      <c r="JJP22" s="124"/>
      <c r="JJQ22" s="124"/>
      <c r="JJR22" s="124"/>
      <c r="JJS22" s="124"/>
      <c r="JJT22" s="124"/>
      <c r="JJU22" s="124"/>
      <c r="JJV22" s="124"/>
      <c r="JJW22" s="124"/>
      <c r="JJX22" s="124"/>
      <c r="JJY22" s="124"/>
      <c r="JJZ22" s="124"/>
      <c r="JKA22" s="124"/>
      <c r="JKB22" s="124"/>
      <c r="JKC22" s="124"/>
      <c r="JKD22" s="124"/>
      <c r="JKE22" s="124"/>
      <c r="JKF22" s="124"/>
      <c r="JKG22" s="124"/>
      <c r="JKH22" s="124"/>
      <c r="JKI22" s="124"/>
      <c r="JKJ22" s="124"/>
      <c r="JKK22" s="124"/>
      <c r="JKL22" s="124"/>
      <c r="JKM22" s="124"/>
      <c r="JKN22" s="124"/>
      <c r="JKO22" s="124"/>
      <c r="JKP22" s="124"/>
      <c r="JKQ22" s="124"/>
      <c r="JKR22" s="124"/>
      <c r="JKS22" s="124"/>
      <c r="JKT22" s="124"/>
      <c r="JKU22" s="124"/>
      <c r="JKV22" s="124"/>
      <c r="JKW22" s="124"/>
      <c r="JKX22" s="124"/>
      <c r="JKY22" s="124"/>
      <c r="JKZ22" s="124"/>
      <c r="JLA22" s="124"/>
      <c r="JLB22" s="124"/>
      <c r="JLC22" s="124"/>
      <c r="JLD22" s="124"/>
      <c r="JLE22" s="124"/>
      <c r="JLF22" s="124"/>
      <c r="JLG22" s="124"/>
      <c r="JLH22" s="124"/>
      <c r="JLI22" s="124"/>
      <c r="JLJ22" s="124"/>
      <c r="JLK22" s="124"/>
      <c r="JLL22" s="124"/>
      <c r="JLM22" s="124"/>
      <c r="JLN22" s="124"/>
      <c r="JLO22" s="124"/>
      <c r="JLP22" s="124"/>
      <c r="JLQ22" s="124"/>
      <c r="JLR22" s="124"/>
      <c r="JLS22" s="124"/>
      <c r="JLT22" s="124"/>
      <c r="JLU22" s="124"/>
      <c r="JLV22" s="124"/>
      <c r="JLW22" s="124"/>
      <c r="JLX22" s="124"/>
      <c r="JLY22" s="124"/>
      <c r="JLZ22" s="124"/>
      <c r="JMA22" s="124"/>
      <c r="JMB22" s="124"/>
      <c r="JMC22" s="124"/>
      <c r="JMD22" s="124"/>
      <c r="JME22" s="124"/>
      <c r="JMF22" s="124"/>
      <c r="JMG22" s="124"/>
      <c r="JMH22" s="124"/>
      <c r="JMI22" s="124"/>
      <c r="JMJ22" s="124"/>
      <c r="JMK22" s="124"/>
      <c r="JML22" s="124"/>
      <c r="JMM22" s="124"/>
      <c r="JMN22" s="124"/>
      <c r="JMO22" s="124"/>
      <c r="JMP22" s="124"/>
      <c r="JMQ22" s="124"/>
      <c r="JMR22" s="124"/>
      <c r="JMS22" s="124"/>
      <c r="JMT22" s="124"/>
      <c r="JMU22" s="124"/>
      <c r="JMV22" s="124"/>
      <c r="JMW22" s="124"/>
      <c r="JMX22" s="124"/>
      <c r="JMY22" s="124"/>
      <c r="JMZ22" s="124"/>
      <c r="JNA22" s="124"/>
      <c r="JNB22" s="124"/>
      <c r="JNC22" s="124"/>
      <c r="JND22" s="124"/>
      <c r="JNE22" s="124"/>
      <c r="JNF22" s="124"/>
      <c r="JNG22" s="124"/>
      <c r="JNH22" s="124"/>
      <c r="JNI22" s="124"/>
      <c r="JNJ22" s="124"/>
      <c r="JNK22" s="124"/>
      <c r="JNL22" s="124"/>
      <c r="JNM22" s="124"/>
      <c r="JNN22" s="124"/>
      <c r="JNO22" s="124"/>
      <c r="JNP22" s="124"/>
      <c r="JNQ22" s="124"/>
      <c r="JNR22" s="124"/>
      <c r="JNS22" s="124"/>
      <c r="JNT22" s="124"/>
      <c r="JNU22" s="124"/>
      <c r="JNV22" s="124"/>
      <c r="JNW22" s="124"/>
      <c r="JNX22" s="124"/>
      <c r="JNY22" s="124"/>
      <c r="JNZ22" s="124"/>
      <c r="JOA22" s="124"/>
      <c r="JOB22" s="124"/>
      <c r="JOC22" s="124"/>
      <c r="JOD22" s="124"/>
      <c r="JOE22" s="124"/>
      <c r="JOF22" s="124"/>
      <c r="JOG22" s="124"/>
      <c r="JOH22" s="124"/>
      <c r="JOI22" s="124"/>
      <c r="JOJ22" s="124"/>
      <c r="JOK22" s="124"/>
      <c r="JOL22" s="124"/>
      <c r="JOM22" s="124"/>
      <c r="JON22" s="124"/>
      <c r="JOO22" s="124"/>
      <c r="JOP22" s="124"/>
      <c r="JOQ22" s="124"/>
      <c r="JOR22" s="124"/>
      <c r="JOS22" s="124"/>
      <c r="JOT22" s="124"/>
      <c r="JOU22" s="124"/>
      <c r="JOV22" s="124"/>
      <c r="JOW22" s="124"/>
      <c r="JOX22" s="124"/>
      <c r="JOY22" s="124"/>
      <c r="JOZ22" s="124"/>
      <c r="JPA22" s="124"/>
      <c r="JPB22" s="124"/>
      <c r="JPC22" s="124"/>
      <c r="JPD22" s="124"/>
      <c r="JPE22" s="124"/>
      <c r="JPF22" s="124"/>
      <c r="JPG22" s="124"/>
      <c r="JPH22" s="124"/>
      <c r="JPI22" s="124"/>
      <c r="JPJ22" s="124"/>
      <c r="JPK22" s="124"/>
      <c r="JPL22" s="124"/>
      <c r="JPM22" s="124"/>
      <c r="JPN22" s="124"/>
      <c r="JPO22" s="124"/>
      <c r="JPP22" s="124"/>
      <c r="JPQ22" s="124"/>
      <c r="JPR22" s="124"/>
      <c r="JPS22" s="124"/>
      <c r="JPT22" s="124"/>
      <c r="JPU22" s="124"/>
      <c r="JPV22" s="124"/>
      <c r="JPW22" s="124"/>
      <c r="JPX22" s="124"/>
      <c r="JPY22" s="124"/>
      <c r="JPZ22" s="124"/>
      <c r="JQA22" s="124"/>
      <c r="JQB22" s="124"/>
      <c r="JQC22" s="124"/>
      <c r="JQD22" s="124"/>
      <c r="JQE22" s="124"/>
      <c r="JQF22" s="124"/>
      <c r="JQG22" s="124"/>
      <c r="JQH22" s="124"/>
      <c r="JQI22" s="124"/>
      <c r="JQJ22" s="124"/>
      <c r="JQK22" s="124"/>
      <c r="JQL22" s="124"/>
      <c r="JQM22" s="124"/>
      <c r="JQN22" s="124"/>
      <c r="JQO22" s="124"/>
      <c r="JQP22" s="124"/>
      <c r="JQQ22" s="124"/>
      <c r="JQR22" s="124"/>
      <c r="JQS22" s="124"/>
      <c r="JQT22" s="124"/>
      <c r="JQU22" s="124"/>
      <c r="JQV22" s="124"/>
      <c r="JQW22" s="124"/>
      <c r="JQX22" s="124"/>
      <c r="JQY22" s="124"/>
      <c r="JQZ22" s="124"/>
      <c r="JRA22" s="124"/>
      <c r="JRB22" s="124"/>
      <c r="JRC22" s="124"/>
      <c r="JRD22" s="124"/>
      <c r="JRE22" s="124"/>
      <c r="JRF22" s="124"/>
      <c r="JRG22" s="124"/>
      <c r="JRH22" s="124"/>
      <c r="JRI22" s="124"/>
      <c r="JRJ22" s="124"/>
      <c r="JRK22" s="124"/>
      <c r="JRL22" s="124"/>
      <c r="JRM22" s="124"/>
      <c r="JRN22" s="124"/>
      <c r="JRO22" s="124"/>
      <c r="JRP22" s="124"/>
      <c r="JRQ22" s="124"/>
      <c r="JRR22" s="124"/>
      <c r="JRS22" s="124"/>
      <c r="JRT22" s="124"/>
      <c r="JRU22" s="124"/>
      <c r="JRV22" s="124"/>
      <c r="JRW22" s="124"/>
      <c r="JRX22" s="124"/>
      <c r="JRY22" s="124"/>
      <c r="JRZ22" s="124"/>
      <c r="JSA22" s="124"/>
      <c r="JSB22" s="124"/>
      <c r="JSC22" s="124"/>
      <c r="JSD22" s="124"/>
      <c r="JSE22" s="124"/>
      <c r="JSF22" s="124"/>
      <c r="JSG22" s="124"/>
      <c r="JSH22" s="124"/>
      <c r="JSI22" s="124"/>
      <c r="JSJ22" s="124"/>
      <c r="JSK22" s="124"/>
      <c r="JSL22" s="124"/>
      <c r="JSM22" s="124"/>
      <c r="JSN22" s="124"/>
      <c r="JSO22" s="124"/>
      <c r="JSP22" s="124"/>
      <c r="JSQ22" s="124"/>
      <c r="JSR22" s="124"/>
      <c r="JSS22" s="124"/>
      <c r="JST22" s="124"/>
      <c r="JSU22" s="124"/>
      <c r="JSV22" s="124"/>
      <c r="JSW22" s="124"/>
      <c r="JSX22" s="124"/>
      <c r="JSY22" s="124"/>
      <c r="JSZ22" s="124"/>
      <c r="JTA22" s="124"/>
      <c r="JTB22" s="124"/>
      <c r="JTC22" s="124"/>
      <c r="JTD22" s="124"/>
      <c r="JTE22" s="124"/>
      <c r="JTF22" s="124"/>
      <c r="JTG22" s="124"/>
      <c r="JTH22" s="124"/>
      <c r="JTI22" s="124"/>
      <c r="JTJ22" s="124"/>
      <c r="JTK22" s="124"/>
      <c r="JTL22" s="124"/>
      <c r="JTM22" s="124"/>
      <c r="JTN22" s="124"/>
      <c r="JTO22" s="124"/>
      <c r="JTP22" s="124"/>
      <c r="JTQ22" s="124"/>
      <c r="JTR22" s="124"/>
      <c r="JTS22" s="124"/>
      <c r="JTT22" s="124"/>
      <c r="JTU22" s="124"/>
      <c r="JTV22" s="124"/>
      <c r="JTW22" s="124"/>
      <c r="JTX22" s="124"/>
      <c r="JTY22" s="124"/>
      <c r="JTZ22" s="124"/>
      <c r="JUA22" s="124"/>
      <c r="JUB22" s="124"/>
      <c r="JUC22" s="124"/>
      <c r="JUD22" s="124"/>
      <c r="JUE22" s="124"/>
      <c r="JUF22" s="124"/>
      <c r="JUG22" s="124"/>
      <c r="JUH22" s="124"/>
      <c r="JUI22" s="124"/>
      <c r="JUJ22" s="124"/>
      <c r="JUK22" s="124"/>
      <c r="JUL22" s="124"/>
      <c r="JUM22" s="124"/>
      <c r="JUN22" s="124"/>
      <c r="JUO22" s="124"/>
      <c r="JUP22" s="124"/>
      <c r="JUQ22" s="124"/>
      <c r="JUR22" s="124"/>
      <c r="JUS22" s="124"/>
      <c r="JUT22" s="124"/>
      <c r="JUU22" s="124"/>
      <c r="JUV22" s="124"/>
      <c r="JUW22" s="124"/>
      <c r="JUX22" s="124"/>
      <c r="JUY22" s="124"/>
      <c r="JUZ22" s="124"/>
      <c r="JVA22" s="124"/>
      <c r="JVB22" s="124"/>
      <c r="JVC22" s="124"/>
      <c r="JVD22" s="124"/>
      <c r="JVE22" s="124"/>
      <c r="JVF22" s="124"/>
      <c r="JVG22" s="124"/>
      <c r="JVH22" s="124"/>
      <c r="JVI22" s="124"/>
      <c r="JVJ22" s="124"/>
      <c r="JVK22" s="124"/>
      <c r="JVL22" s="124"/>
      <c r="JVM22" s="124"/>
      <c r="JVN22" s="124"/>
      <c r="JVO22" s="124"/>
      <c r="JVP22" s="124"/>
      <c r="JVQ22" s="124"/>
      <c r="JVR22" s="124"/>
      <c r="JVS22" s="124"/>
      <c r="JVT22" s="124"/>
      <c r="JVU22" s="124"/>
      <c r="JVV22" s="124"/>
      <c r="JVW22" s="124"/>
      <c r="JVX22" s="124"/>
      <c r="JVY22" s="124"/>
      <c r="JVZ22" s="124"/>
      <c r="JWA22" s="124"/>
      <c r="JWB22" s="124"/>
      <c r="JWC22" s="124"/>
      <c r="JWD22" s="124"/>
      <c r="JWE22" s="124"/>
      <c r="JWF22" s="124"/>
      <c r="JWG22" s="124"/>
      <c r="JWH22" s="124"/>
      <c r="JWI22" s="124"/>
      <c r="JWJ22" s="124"/>
      <c r="JWK22" s="124"/>
      <c r="JWL22" s="124"/>
      <c r="JWM22" s="124"/>
      <c r="JWN22" s="124"/>
      <c r="JWO22" s="124"/>
      <c r="JWP22" s="124"/>
      <c r="JWQ22" s="124"/>
      <c r="JWR22" s="124"/>
      <c r="JWS22" s="124"/>
      <c r="JWT22" s="124"/>
      <c r="JWU22" s="124"/>
      <c r="JWV22" s="124"/>
      <c r="JWW22" s="124"/>
      <c r="JWX22" s="124"/>
      <c r="JWY22" s="124"/>
      <c r="JWZ22" s="124"/>
      <c r="JXA22" s="124"/>
      <c r="JXB22" s="124"/>
      <c r="JXC22" s="124"/>
      <c r="JXD22" s="124"/>
      <c r="JXE22" s="124"/>
      <c r="JXF22" s="124"/>
      <c r="JXG22" s="124"/>
      <c r="JXH22" s="124"/>
      <c r="JXI22" s="124"/>
      <c r="JXJ22" s="124"/>
      <c r="JXK22" s="124"/>
      <c r="JXL22" s="124"/>
      <c r="JXM22" s="124"/>
      <c r="JXN22" s="124"/>
      <c r="JXO22" s="124"/>
      <c r="JXP22" s="124"/>
      <c r="JXQ22" s="124"/>
      <c r="JXR22" s="124"/>
      <c r="JXS22" s="124"/>
      <c r="JXT22" s="124"/>
      <c r="JXU22" s="124"/>
      <c r="JXV22" s="124"/>
      <c r="JXW22" s="124"/>
      <c r="JXX22" s="124"/>
      <c r="JXY22" s="124"/>
      <c r="JXZ22" s="124"/>
      <c r="JYA22" s="124"/>
      <c r="JYB22" s="124"/>
      <c r="JYC22" s="124"/>
      <c r="JYD22" s="124"/>
      <c r="JYE22" s="124"/>
      <c r="JYF22" s="124"/>
      <c r="JYG22" s="124"/>
      <c r="JYH22" s="124"/>
      <c r="JYI22" s="124"/>
      <c r="JYJ22" s="124"/>
      <c r="JYK22" s="124"/>
      <c r="JYL22" s="124"/>
      <c r="JYM22" s="124"/>
      <c r="JYN22" s="124"/>
      <c r="JYO22" s="124"/>
      <c r="JYP22" s="124"/>
      <c r="JYQ22" s="124"/>
      <c r="JYR22" s="124"/>
      <c r="JYS22" s="124"/>
      <c r="JYT22" s="124"/>
      <c r="JYU22" s="124"/>
      <c r="JYV22" s="124"/>
      <c r="JYW22" s="124"/>
      <c r="JYX22" s="124"/>
      <c r="JYY22" s="124"/>
      <c r="JYZ22" s="124"/>
      <c r="JZA22" s="124"/>
      <c r="JZB22" s="124"/>
      <c r="JZC22" s="124"/>
      <c r="JZD22" s="124"/>
      <c r="JZE22" s="124"/>
      <c r="JZF22" s="124"/>
      <c r="JZG22" s="124"/>
      <c r="JZH22" s="124"/>
      <c r="JZI22" s="124"/>
      <c r="JZJ22" s="124"/>
      <c r="JZK22" s="124"/>
      <c r="JZL22" s="124"/>
      <c r="JZM22" s="124"/>
      <c r="JZN22" s="124"/>
      <c r="JZO22" s="124"/>
      <c r="JZP22" s="124"/>
      <c r="JZQ22" s="124"/>
      <c r="JZR22" s="124"/>
      <c r="JZS22" s="124"/>
      <c r="JZT22" s="124"/>
      <c r="JZU22" s="124"/>
      <c r="JZV22" s="124"/>
      <c r="JZW22" s="124"/>
      <c r="JZX22" s="124"/>
      <c r="JZY22" s="124"/>
      <c r="JZZ22" s="124"/>
      <c r="KAA22" s="124"/>
      <c r="KAB22" s="124"/>
      <c r="KAC22" s="124"/>
      <c r="KAD22" s="124"/>
      <c r="KAE22" s="124"/>
      <c r="KAF22" s="124"/>
      <c r="KAG22" s="124"/>
      <c r="KAH22" s="124"/>
      <c r="KAI22" s="124"/>
      <c r="KAJ22" s="124"/>
      <c r="KAK22" s="124"/>
      <c r="KAL22" s="124"/>
      <c r="KAM22" s="124"/>
      <c r="KAN22" s="124"/>
      <c r="KAO22" s="124"/>
      <c r="KAP22" s="124"/>
      <c r="KAQ22" s="124"/>
      <c r="KAR22" s="124"/>
      <c r="KAS22" s="124"/>
      <c r="KAT22" s="124"/>
      <c r="KAU22" s="124"/>
      <c r="KAV22" s="124"/>
      <c r="KAW22" s="124"/>
      <c r="KAX22" s="124"/>
      <c r="KAY22" s="124"/>
      <c r="KAZ22" s="124"/>
      <c r="KBA22" s="124"/>
      <c r="KBB22" s="124"/>
      <c r="KBC22" s="124"/>
      <c r="KBD22" s="124"/>
      <c r="KBE22" s="124"/>
      <c r="KBF22" s="124"/>
      <c r="KBG22" s="124"/>
      <c r="KBH22" s="124"/>
      <c r="KBI22" s="124"/>
      <c r="KBJ22" s="124"/>
      <c r="KBK22" s="124"/>
      <c r="KBL22" s="124"/>
      <c r="KBM22" s="124"/>
      <c r="KBN22" s="124"/>
      <c r="KBO22" s="124"/>
      <c r="KBP22" s="124"/>
      <c r="KBQ22" s="124"/>
      <c r="KBR22" s="124"/>
      <c r="KBS22" s="124"/>
      <c r="KBT22" s="124"/>
      <c r="KBU22" s="124"/>
      <c r="KBV22" s="124"/>
      <c r="KBW22" s="124"/>
      <c r="KBX22" s="124"/>
      <c r="KBY22" s="124"/>
      <c r="KBZ22" s="124"/>
      <c r="KCA22" s="124"/>
      <c r="KCB22" s="124"/>
      <c r="KCC22" s="124"/>
      <c r="KCD22" s="124"/>
      <c r="KCE22" s="124"/>
      <c r="KCF22" s="124"/>
      <c r="KCG22" s="124"/>
      <c r="KCH22" s="124"/>
      <c r="KCI22" s="124"/>
      <c r="KCJ22" s="124"/>
      <c r="KCK22" s="124"/>
      <c r="KCL22" s="124"/>
      <c r="KCM22" s="124"/>
      <c r="KCN22" s="124"/>
      <c r="KCO22" s="124"/>
      <c r="KCP22" s="124"/>
      <c r="KCQ22" s="124"/>
      <c r="KCR22" s="124"/>
      <c r="KCS22" s="124"/>
      <c r="KCT22" s="124"/>
      <c r="KCU22" s="124"/>
      <c r="KCV22" s="124"/>
      <c r="KCW22" s="124"/>
      <c r="KCX22" s="124"/>
      <c r="KCY22" s="124"/>
      <c r="KCZ22" s="124"/>
      <c r="KDA22" s="124"/>
      <c r="KDB22" s="124"/>
      <c r="KDC22" s="124"/>
      <c r="KDD22" s="124"/>
      <c r="KDE22" s="124"/>
      <c r="KDF22" s="124"/>
      <c r="KDG22" s="124"/>
      <c r="KDH22" s="124"/>
      <c r="KDI22" s="124"/>
      <c r="KDJ22" s="124"/>
      <c r="KDK22" s="124"/>
      <c r="KDL22" s="124"/>
      <c r="KDM22" s="124"/>
      <c r="KDN22" s="124"/>
      <c r="KDO22" s="124"/>
      <c r="KDP22" s="124"/>
      <c r="KDQ22" s="124"/>
      <c r="KDR22" s="124"/>
      <c r="KDS22" s="124"/>
      <c r="KDT22" s="124"/>
      <c r="KDU22" s="124"/>
      <c r="KDV22" s="124"/>
      <c r="KDW22" s="124"/>
      <c r="KDX22" s="124"/>
      <c r="KDY22" s="124"/>
      <c r="KDZ22" s="124"/>
      <c r="KEA22" s="124"/>
      <c r="KEB22" s="124"/>
      <c r="KEC22" s="124"/>
      <c r="KED22" s="124"/>
      <c r="KEE22" s="124"/>
      <c r="KEF22" s="124"/>
      <c r="KEG22" s="124"/>
      <c r="KEH22" s="124"/>
      <c r="KEI22" s="124"/>
      <c r="KEJ22" s="124"/>
      <c r="KEK22" s="124"/>
      <c r="KEL22" s="124"/>
      <c r="KEM22" s="124"/>
      <c r="KEN22" s="124"/>
      <c r="KEO22" s="124"/>
      <c r="KEP22" s="124"/>
      <c r="KEQ22" s="124"/>
      <c r="KER22" s="124"/>
      <c r="KES22" s="124"/>
      <c r="KET22" s="124"/>
      <c r="KEU22" s="124"/>
      <c r="KEV22" s="124"/>
      <c r="KEW22" s="124"/>
      <c r="KEX22" s="124"/>
      <c r="KEY22" s="124"/>
      <c r="KEZ22" s="124"/>
      <c r="KFA22" s="124"/>
      <c r="KFB22" s="124"/>
      <c r="KFC22" s="124"/>
      <c r="KFD22" s="124"/>
      <c r="KFE22" s="124"/>
      <c r="KFF22" s="124"/>
      <c r="KFG22" s="124"/>
      <c r="KFH22" s="124"/>
      <c r="KFI22" s="124"/>
      <c r="KFJ22" s="124"/>
      <c r="KFK22" s="124"/>
      <c r="KFL22" s="124"/>
      <c r="KFM22" s="124"/>
      <c r="KFN22" s="124"/>
      <c r="KFO22" s="124"/>
      <c r="KFP22" s="124"/>
      <c r="KFQ22" s="124"/>
      <c r="KFR22" s="124"/>
      <c r="KFS22" s="124"/>
      <c r="KFT22" s="124"/>
      <c r="KFU22" s="124"/>
      <c r="KFV22" s="124"/>
      <c r="KFW22" s="124"/>
      <c r="KFX22" s="124"/>
      <c r="KFY22" s="124"/>
      <c r="KFZ22" s="124"/>
      <c r="KGA22" s="124"/>
      <c r="KGB22" s="124"/>
      <c r="KGC22" s="124"/>
      <c r="KGD22" s="124"/>
      <c r="KGE22" s="124"/>
      <c r="KGF22" s="124"/>
      <c r="KGG22" s="124"/>
      <c r="KGH22" s="124"/>
      <c r="KGI22" s="124"/>
      <c r="KGJ22" s="124"/>
      <c r="KGK22" s="124"/>
      <c r="KGL22" s="124"/>
      <c r="KGM22" s="124"/>
      <c r="KGN22" s="124"/>
      <c r="KGO22" s="124"/>
      <c r="KGP22" s="124"/>
      <c r="KGQ22" s="124"/>
      <c r="KGR22" s="124"/>
      <c r="KGS22" s="124"/>
      <c r="KGT22" s="124"/>
      <c r="KGU22" s="124"/>
      <c r="KGV22" s="124"/>
      <c r="KGW22" s="124"/>
      <c r="KGX22" s="124"/>
      <c r="KGY22" s="124"/>
      <c r="KGZ22" s="124"/>
      <c r="KHA22" s="124"/>
      <c r="KHB22" s="124"/>
      <c r="KHC22" s="124"/>
      <c r="KHD22" s="124"/>
      <c r="KHE22" s="124"/>
      <c r="KHF22" s="124"/>
      <c r="KHG22" s="124"/>
      <c r="KHH22" s="124"/>
      <c r="KHI22" s="124"/>
      <c r="KHJ22" s="124"/>
      <c r="KHK22" s="124"/>
      <c r="KHL22" s="124"/>
      <c r="KHM22" s="124"/>
      <c r="KHN22" s="124"/>
      <c r="KHO22" s="124"/>
      <c r="KHP22" s="124"/>
      <c r="KHQ22" s="124"/>
      <c r="KHR22" s="124"/>
      <c r="KHS22" s="124"/>
      <c r="KHT22" s="124"/>
      <c r="KHU22" s="124"/>
      <c r="KHV22" s="124"/>
      <c r="KHW22" s="124"/>
      <c r="KHX22" s="124"/>
      <c r="KHY22" s="124"/>
      <c r="KHZ22" s="124"/>
      <c r="KIA22" s="124"/>
      <c r="KIB22" s="124"/>
      <c r="KIC22" s="124"/>
      <c r="KID22" s="124"/>
      <c r="KIE22" s="124"/>
      <c r="KIF22" s="124"/>
      <c r="KIG22" s="124"/>
      <c r="KIH22" s="124"/>
      <c r="KII22" s="124"/>
      <c r="KIJ22" s="124"/>
      <c r="KIK22" s="124"/>
      <c r="KIL22" s="124"/>
      <c r="KIM22" s="124"/>
      <c r="KIN22" s="124"/>
      <c r="KIO22" s="124"/>
      <c r="KIP22" s="124"/>
      <c r="KIQ22" s="124"/>
      <c r="KIR22" s="124"/>
      <c r="KIS22" s="124"/>
      <c r="KIT22" s="124"/>
      <c r="KIU22" s="124"/>
      <c r="KIV22" s="124"/>
      <c r="KIW22" s="124"/>
      <c r="KIX22" s="124"/>
      <c r="KIY22" s="124"/>
      <c r="KIZ22" s="124"/>
      <c r="KJA22" s="124"/>
      <c r="KJB22" s="124"/>
      <c r="KJC22" s="124"/>
      <c r="KJD22" s="124"/>
      <c r="KJE22" s="124"/>
      <c r="KJF22" s="124"/>
      <c r="KJG22" s="124"/>
      <c r="KJH22" s="124"/>
      <c r="KJI22" s="124"/>
      <c r="KJJ22" s="124"/>
      <c r="KJK22" s="124"/>
      <c r="KJL22" s="124"/>
      <c r="KJM22" s="124"/>
      <c r="KJN22" s="124"/>
      <c r="KJO22" s="124"/>
      <c r="KJP22" s="124"/>
      <c r="KJQ22" s="124"/>
      <c r="KJR22" s="124"/>
      <c r="KJS22" s="124"/>
      <c r="KJT22" s="124"/>
      <c r="KJU22" s="124"/>
      <c r="KJV22" s="124"/>
      <c r="KJW22" s="124"/>
      <c r="KJX22" s="124"/>
      <c r="KJY22" s="124"/>
      <c r="KJZ22" s="124"/>
      <c r="KKA22" s="124"/>
      <c r="KKB22" s="124"/>
      <c r="KKC22" s="124"/>
      <c r="KKD22" s="124"/>
      <c r="KKE22" s="124"/>
      <c r="KKF22" s="124"/>
      <c r="KKG22" s="124"/>
      <c r="KKH22" s="124"/>
      <c r="KKI22" s="124"/>
      <c r="KKJ22" s="124"/>
      <c r="KKK22" s="124"/>
      <c r="KKL22" s="124"/>
      <c r="KKM22" s="124"/>
      <c r="KKN22" s="124"/>
      <c r="KKO22" s="124"/>
      <c r="KKP22" s="124"/>
      <c r="KKQ22" s="124"/>
      <c r="KKR22" s="124"/>
      <c r="KKS22" s="124"/>
      <c r="KKT22" s="124"/>
      <c r="KKU22" s="124"/>
      <c r="KKV22" s="124"/>
      <c r="KKW22" s="124"/>
      <c r="KKX22" s="124"/>
      <c r="KKY22" s="124"/>
      <c r="KKZ22" s="124"/>
      <c r="KLA22" s="124"/>
      <c r="KLB22" s="124"/>
      <c r="KLC22" s="124"/>
      <c r="KLD22" s="124"/>
      <c r="KLE22" s="124"/>
      <c r="KLF22" s="124"/>
      <c r="KLG22" s="124"/>
      <c r="KLH22" s="124"/>
      <c r="KLI22" s="124"/>
      <c r="KLJ22" s="124"/>
      <c r="KLK22" s="124"/>
      <c r="KLL22" s="124"/>
      <c r="KLM22" s="124"/>
      <c r="KLN22" s="124"/>
      <c r="KLO22" s="124"/>
      <c r="KLP22" s="124"/>
      <c r="KLQ22" s="124"/>
      <c r="KLR22" s="124"/>
      <c r="KLS22" s="124"/>
      <c r="KLT22" s="124"/>
      <c r="KLU22" s="124"/>
      <c r="KLV22" s="124"/>
      <c r="KLW22" s="124"/>
      <c r="KLX22" s="124"/>
      <c r="KLY22" s="124"/>
      <c r="KLZ22" s="124"/>
      <c r="KMA22" s="124"/>
      <c r="KMB22" s="124"/>
      <c r="KMC22" s="124"/>
      <c r="KMD22" s="124"/>
      <c r="KME22" s="124"/>
      <c r="KMF22" s="124"/>
      <c r="KMG22" s="124"/>
      <c r="KMH22" s="124"/>
      <c r="KMI22" s="124"/>
      <c r="KMJ22" s="124"/>
      <c r="KMK22" s="124"/>
      <c r="KML22" s="124"/>
      <c r="KMM22" s="124"/>
      <c r="KMN22" s="124"/>
      <c r="KMO22" s="124"/>
      <c r="KMP22" s="124"/>
      <c r="KMQ22" s="124"/>
      <c r="KMR22" s="124"/>
      <c r="KMS22" s="124"/>
      <c r="KMT22" s="124"/>
      <c r="KMU22" s="124"/>
      <c r="KMV22" s="124"/>
      <c r="KMW22" s="124"/>
      <c r="KMX22" s="124"/>
      <c r="KMY22" s="124"/>
      <c r="KMZ22" s="124"/>
      <c r="KNA22" s="124"/>
      <c r="KNB22" s="124"/>
      <c r="KNC22" s="124"/>
      <c r="KND22" s="124"/>
      <c r="KNE22" s="124"/>
      <c r="KNF22" s="124"/>
      <c r="KNG22" s="124"/>
      <c r="KNH22" s="124"/>
      <c r="KNI22" s="124"/>
      <c r="KNJ22" s="124"/>
      <c r="KNK22" s="124"/>
      <c r="KNL22" s="124"/>
      <c r="KNM22" s="124"/>
      <c r="KNN22" s="124"/>
      <c r="KNO22" s="124"/>
      <c r="KNP22" s="124"/>
      <c r="KNQ22" s="124"/>
      <c r="KNR22" s="124"/>
      <c r="KNS22" s="124"/>
      <c r="KNT22" s="124"/>
      <c r="KNU22" s="124"/>
      <c r="KNV22" s="124"/>
      <c r="KNW22" s="124"/>
      <c r="KNX22" s="124"/>
      <c r="KNY22" s="124"/>
      <c r="KNZ22" s="124"/>
      <c r="KOA22" s="124"/>
      <c r="KOB22" s="124"/>
      <c r="KOC22" s="124"/>
      <c r="KOD22" s="124"/>
      <c r="KOE22" s="124"/>
      <c r="KOF22" s="124"/>
      <c r="KOG22" s="124"/>
      <c r="KOH22" s="124"/>
      <c r="KOI22" s="124"/>
      <c r="KOJ22" s="124"/>
      <c r="KOK22" s="124"/>
      <c r="KOL22" s="124"/>
      <c r="KOM22" s="124"/>
      <c r="KON22" s="124"/>
      <c r="KOO22" s="124"/>
      <c r="KOP22" s="124"/>
      <c r="KOQ22" s="124"/>
      <c r="KOR22" s="124"/>
      <c r="KOS22" s="124"/>
      <c r="KOT22" s="124"/>
      <c r="KOU22" s="124"/>
      <c r="KOV22" s="124"/>
      <c r="KOW22" s="124"/>
      <c r="KOX22" s="124"/>
      <c r="KOY22" s="124"/>
      <c r="KOZ22" s="124"/>
      <c r="KPA22" s="124"/>
      <c r="KPB22" s="124"/>
      <c r="KPC22" s="124"/>
      <c r="KPD22" s="124"/>
      <c r="KPE22" s="124"/>
      <c r="KPF22" s="124"/>
      <c r="KPG22" s="124"/>
      <c r="KPH22" s="124"/>
      <c r="KPI22" s="124"/>
      <c r="KPJ22" s="124"/>
      <c r="KPK22" s="124"/>
      <c r="KPL22" s="124"/>
      <c r="KPM22" s="124"/>
      <c r="KPN22" s="124"/>
      <c r="KPO22" s="124"/>
      <c r="KPP22" s="124"/>
      <c r="KPQ22" s="124"/>
      <c r="KPR22" s="124"/>
      <c r="KPS22" s="124"/>
      <c r="KPT22" s="124"/>
      <c r="KPU22" s="124"/>
      <c r="KPV22" s="124"/>
      <c r="KPW22" s="124"/>
      <c r="KPX22" s="124"/>
      <c r="KPY22" s="124"/>
      <c r="KPZ22" s="124"/>
      <c r="KQA22" s="124"/>
      <c r="KQB22" s="124"/>
      <c r="KQC22" s="124"/>
      <c r="KQD22" s="124"/>
      <c r="KQE22" s="124"/>
      <c r="KQF22" s="124"/>
      <c r="KQG22" s="124"/>
      <c r="KQH22" s="124"/>
      <c r="KQI22" s="124"/>
      <c r="KQJ22" s="124"/>
      <c r="KQK22" s="124"/>
      <c r="KQL22" s="124"/>
      <c r="KQM22" s="124"/>
      <c r="KQN22" s="124"/>
      <c r="KQO22" s="124"/>
      <c r="KQP22" s="124"/>
      <c r="KQQ22" s="124"/>
      <c r="KQR22" s="124"/>
      <c r="KQS22" s="124"/>
      <c r="KQT22" s="124"/>
      <c r="KQU22" s="124"/>
      <c r="KQV22" s="124"/>
      <c r="KQW22" s="124"/>
      <c r="KQX22" s="124"/>
      <c r="KQY22" s="124"/>
      <c r="KQZ22" s="124"/>
      <c r="KRA22" s="124"/>
      <c r="KRB22" s="124"/>
      <c r="KRC22" s="124"/>
      <c r="KRD22" s="124"/>
      <c r="KRE22" s="124"/>
      <c r="KRF22" s="124"/>
      <c r="KRG22" s="124"/>
      <c r="KRH22" s="124"/>
      <c r="KRI22" s="124"/>
      <c r="KRJ22" s="124"/>
      <c r="KRK22" s="124"/>
      <c r="KRL22" s="124"/>
      <c r="KRM22" s="124"/>
      <c r="KRN22" s="124"/>
      <c r="KRO22" s="124"/>
      <c r="KRP22" s="124"/>
      <c r="KRQ22" s="124"/>
      <c r="KRR22" s="124"/>
      <c r="KRS22" s="124"/>
      <c r="KRT22" s="124"/>
      <c r="KRU22" s="124"/>
      <c r="KRV22" s="124"/>
      <c r="KRW22" s="124"/>
      <c r="KRX22" s="124"/>
      <c r="KRY22" s="124"/>
      <c r="KRZ22" s="124"/>
      <c r="KSA22" s="124"/>
      <c r="KSB22" s="124"/>
      <c r="KSC22" s="124"/>
      <c r="KSD22" s="124"/>
      <c r="KSE22" s="124"/>
      <c r="KSF22" s="124"/>
      <c r="KSG22" s="124"/>
      <c r="KSH22" s="124"/>
      <c r="KSI22" s="124"/>
      <c r="KSJ22" s="124"/>
      <c r="KSK22" s="124"/>
      <c r="KSL22" s="124"/>
      <c r="KSM22" s="124"/>
      <c r="KSN22" s="124"/>
      <c r="KSO22" s="124"/>
      <c r="KSP22" s="124"/>
      <c r="KSQ22" s="124"/>
      <c r="KSR22" s="124"/>
      <c r="KSS22" s="124"/>
      <c r="KST22" s="124"/>
      <c r="KSU22" s="124"/>
      <c r="KSV22" s="124"/>
      <c r="KSW22" s="124"/>
      <c r="KSX22" s="124"/>
      <c r="KSY22" s="124"/>
      <c r="KSZ22" s="124"/>
      <c r="KTA22" s="124"/>
      <c r="KTB22" s="124"/>
      <c r="KTC22" s="124"/>
      <c r="KTD22" s="124"/>
      <c r="KTE22" s="124"/>
      <c r="KTF22" s="124"/>
      <c r="KTG22" s="124"/>
      <c r="KTH22" s="124"/>
      <c r="KTI22" s="124"/>
      <c r="KTJ22" s="124"/>
      <c r="KTK22" s="124"/>
      <c r="KTL22" s="124"/>
      <c r="KTM22" s="124"/>
      <c r="KTN22" s="124"/>
      <c r="KTO22" s="124"/>
      <c r="KTP22" s="124"/>
      <c r="KTQ22" s="124"/>
      <c r="KTR22" s="124"/>
      <c r="KTS22" s="124"/>
      <c r="KTT22" s="124"/>
      <c r="KTU22" s="124"/>
      <c r="KTV22" s="124"/>
      <c r="KTW22" s="124"/>
      <c r="KTX22" s="124"/>
      <c r="KTY22" s="124"/>
      <c r="KTZ22" s="124"/>
      <c r="KUA22" s="124"/>
      <c r="KUB22" s="124"/>
      <c r="KUC22" s="124"/>
      <c r="KUD22" s="124"/>
      <c r="KUE22" s="124"/>
      <c r="KUF22" s="124"/>
      <c r="KUG22" s="124"/>
      <c r="KUH22" s="124"/>
      <c r="KUI22" s="124"/>
      <c r="KUJ22" s="124"/>
      <c r="KUK22" s="124"/>
      <c r="KUL22" s="124"/>
      <c r="KUM22" s="124"/>
      <c r="KUN22" s="124"/>
      <c r="KUO22" s="124"/>
      <c r="KUP22" s="124"/>
      <c r="KUQ22" s="124"/>
      <c r="KUR22" s="124"/>
      <c r="KUS22" s="124"/>
      <c r="KUT22" s="124"/>
      <c r="KUU22" s="124"/>
      <c r="KUV22" s="124"/>
      <c r="KUW22" s="124"/>
      <c r="KUX22" s="124"/>
      <c r="KUY22" s="124"/>
      <c r="KUZ22" s="124"/>
      <c r="KVA22" s="124"/>
      <c r="KVB22" s="124"/>
      <c r="KVC22" s="124"/>
      <c r="KVD22" s="124"/>
      <c r="KVE22" s="124"/>
      <c r="KVF22" s="124"/>
      <c r="KVG22" s="124"/>
      <c r="KVH22" s="124"/>
      <c r="KVI22" s="124"/>
      <c r="KVJ22" s="124"/>
      <c r="KVK22" s="124"/>
      <c r="KVL22" s="124"/>
      <c r="KVM22" s="124"/>
      <c r="KVN22" s="124"/>
      <c r="KVO22" s="124"/>
      <c r="KVP22" s="124"/>
      <c r="KVQ22" s="124"/>
      <c r="KVR22" s="124"/>
      <c r="KVS22" s="124"/>
      <c r="KVT22" s="124"/>
      <c r="KVU22" s="124"/>
      <c r="KVV22" s="124"/>
      <c r="KVW22" s="124"/>
      <c r="KVX22" s="124"/>
      <c r="KVY22" s="124"/>
      <c r="KVZ22" s="124"/>
      <c r="KWA22" s="124"/>
      <c r="KWB22" s="124"/>
      <c r="KWC22" s="124"/>
      <c r="KWD22" s="124"/>
      <c r="KWE22" s="124"/>
      <c r="KWF22" s="124"/>
      <c r="KWG22" s="124"/>
      <c r="KWH22" s="124"/>
      <c r="KWI22" s="124"/>
      <c r="KWJ22" s="124"/>
      <c r="KWK22" s="124"/>
      <c r="KWL22" s="124"/>
      <c r="KWM22" s="124"/>
      <c r="KWN22" s="124"/>
      <c r="KWO22" s="124"/>
      <c r="KWP22" s="124"/>
      <c r="KWQ22" s="124"/>
      <c r="KWR22" s="124"/>
      <c r="KWS22" s="124"/>
      <c r="KWT22" s="124"/>
      <c r="KWU22" s="124"/>
      <c r="KWV22" s="124"/>
      <c r="KWW22" s="124"/>
      <c r="KWX22" s="124"/>
      <c r="KWY22" s="124"/>
      <c r="KWZ22" s="124"/>
      <c r="KXA22" s="124"/>
      <c r="KXB22" s="124"/>
      <c r="KXC22" s="124"/>
      <c r="KXD22" s="124"/>
      <c r="KXE22" s="124"/>
      <c r="KXF22" s="124"/>
      <c r="KXG22" s="124"/>
      <c r="KXH22" s="124"/>
      <c r="KXI22" s="124"/>
      <c r="KXJ22" s="124"/>
      <c r="KXK22" s="124"/>
      <c r="KXL22" s="124"/>
      <c r="KXM22" s="124"/>
      <c r="KXN22" s="124"/>
      <c r="KXO22" s="124"/>
      <c r="KXP22" s="124"/>
      <c r="KXQ22" s="124"/>
      <c r="KXR22" s="124"/>
      <c r="KXS22" s="124"/>
      <c r="KXT22" s="124"/>
      <c r="KXU22" s="124"/>
      <c r="KXV22" s="124"/>
      <c r="KXW22" s="124"/>
      <c r="KXX22" s="124"/>
      <c r="KXY22" s="124"/>
      <c r="KXZ22" s="124"/>
      <c r="KYA22" s="124"/>
      <c r="KYB22" s="124"/>
      <c r="KYC22" s="124"/>
      <c r="KYD22" s="124"/>
      <c r="KYE22" s="124"/>
      <c r="KYF22" s="124"/>
      <c r="KYG22" s="124"/>
      <c r="KYH22" s="124"/>
      <c r="KYI22" s="124"/>
      <c r="KYJ22" s="124"/>
      <c r="KYK22" s="124"/>
      <c r="KYL22" s="124"/>
      <c r="KYM22" s="124"/>
      <c r="KYN22" s="124"/>
      <c r="KYO22" s="124"/>
      <c r="KYP22" s="124"/>
      <c r="KYQ22" s="124"/>
      <c r="KYR22" s="124"/>
      <c r="KYS22" s="124"/>
      <c r="KYT22" s="124"/>
      <c r="KYU22" s="124"/>
      <c r="KYV22" s="124"/>
      <c r="KYW22" s="124"/>
      <c r="KYX22" s="124"/>
      <c r="KYY22" s="124"/>
      <c r="KYZ22" s="124"/>
      <c r="KZA22" s="124"/>
      <c r="KZB22" s="124"/>
      <c r="KZC22" s="124"/>
      <c r="KZD22" s="124"/>
      <c r="KZE22" s="124"/>
      <c r="KZF22" s="124"/>
      <c r="KZG22" s="124"/>
      <c r="KZH22" s="124"/>
      <c r="KZI22" s="124"/>
      <c r="KZJ22" s="124"/>
      <c r="KZK22" s="124"/>
      <c r="KZL22" s="124"/>
      <c r="KZM22" s="124"/>
      <c r="KZN22" s="124"/>
      <c r="KZO22" s="124"/>
      <c r="KZP22" s="124"/>
      <c r="KZQ22" s="124"/>
      <c r="KZR22" s="124"/>
      <c r="KZS22" s="124"/>
      <c r="KZT22" s="124"/>
      <c r="KZU22" s="124"/>
      <c r="KZV22" s="124"/>
      <c r="KZW22" s="124"/>
      <c r="KZX22" s="124"/>
      <c r="KZY22" s="124"/>
      <c r="KZZ22" s="124"/>
      <c r="LAA22" s="124"/>
      <c r="LAB22" s="124"/>
      <c r="LAC22" s="124"/>
      <c r="LAD22" s="124"/>
      <c r="LAE22" s="124"/>
      <c r="LAF22" s="124"/>
      <c r="LAG22" s="124"/>
      <c r="LAH22" s="124"/>
      <c r="LAI22" s="124"/>
      <c r="LAJ22" s="124"/>
      <c r="LAK22" s="124"/>
      <c r="LAL22" s="124"/>
      <c r="LAM22" s="124"/>
      <c r="LAN22" s="124"/>
      <c r="LAO22" s="124"/>
      <c r="LAP22" s="124"/>
      <c r="LAQ22" s="124"/>
      <c r="LAR22" s="124"/>
      <c r="LAS22" s="124"/>
      <c r="LAT22" s="124"/>
      <c r="LAU22" s="124"/>
      <c r="LAV22" s="124"/>
      <c r="LAW22" s="124"/>
      <c r="LAX22" s="124"/>
      <c r="LAY22" s="124"/>
      <c r="LAZ22" s="124"/>
      <c r="LBA22" s="124"/>
      <c r="LBB22" s="124"/>
      <c r="LBC22" s="124"/>
      <c r="LBD22" s="124"/>
      <c r="LBE22" s="124"/>
      <c r="LBF22" s="124"/>
      <c r="LBG22" s="124"/>
      <c r="LBH22" s="124"/>
      <c r="LBI22" s="124"/>
      <c r="LBJ22" s="124"/>
      <c r="LBK22" s="124"/>
      <c r="LBL22" s="124"/>
      <c r="LBM22" s="124"/>
      <c r="LBN22" s="124"/>
      <c r="LBO22" s="124"/>
      <c r="LBP22" s="124"/>
      <c r="LBQ22" s="124"/>
      <c r="LBR22" s="124"/>
      <c r="LBS22" s="124"/>
      <c r="LBT22" s="124"/>
      <c r="LBU22" s="124"/>
      <c r="LBV22" s="124"/>
      <c r="LBW22" s="124"/>
      <c r="LBX22" s="124"/>
      <c r="LBY22" s="124"/>
      <c r="LBZ22" s="124"/>
      <c r="LCA22" s="124"/>
      <c r="LCB22" s="124"/>
      <c r="LCC22" s="124"/>
      <c r="LCD22" s="124"/>
      <c r="LCE22" s="124"/>
      <c r="LCF22" s="124"/>
      <c r="LCG22" s="124"/>
      <c r="LCH22" s="124"/>
      <c r="LCI22" s="124"/>
      <c r="LCJ22" s="124"/>
      <c r="LCK22" s="124"/>
      <c r="LCL22" s="124"/>
      <c r="LCM22" s="124"/>
      <c r="LCN22" s="124"/>
      <c r="LCO22" s="124"/>
      <c r="LCP22" s="124"/>
      <c r="LCQ22" s="124"/>
      <c r="LCR22" s="124"/>
      <c r="LCS22" s="124"/>
      <c r="LCT22" s="124"/>
      <c r="LCU22" s="124"/>
      <c r="LCV22" s="124"/>
      <c r="LCW22" s="124"/>
      <c r="LCX22" s="124"/>
      <c r="LCY22" s="124"/>
      <c r="LCZ22" s="124"/>
      <c r="LDA22" s="124"/>
      <c r="LDB22" s="124"/>
      <c r="LDC22" s="124"/>
      <c r="LDD22" s="124"/>
      <c r="LDE22" s="124"/>
      <c r="LDF22" s="124"/>
      <c r="LDG22" s="124"/>
      <c r="LDH22" s="124"/>
      <c r="LDI22" s="124"/>
      <c r="LDJ22" s="124"/>
      <c r="LDK22" s="124"/>
      <c r="LDL22" s="124"/>
      <c r="LDM22" s="124"/>
      <c r="LDN22" s="124"/>
      <c r="LDO22" s="124"/>
      <c r="LDP22" s="124"/>
      <c r="LDQ22" s="124"/>
      <c r="LDR22" s="124"/>
      <c r="LDS22" s="124"/>
      <c r="LDT22" s="124"/>
      <c r="LDU22" s="124"/>
      <c r="LDV22" s="124"/>
      <c r="LDW22" s="124"/>
      <c r="LDX22" s="124"/>
      <c r="LDY22" s="124"/>
      <c r="LDZ22" s="124"/>
      <c r="LEA22" s="124"/>
      <c r="LEB22" s="124"/>
      <c r="LEC22" s="124"/>
      <c r="LED22" s="124"/>
      <c r="LEE22" s="124"/>
      <c r="LEF22" s="124"/>
      <c r="LEG22" s="124"/>
      <c r="LEH22" s="124"/>
      <c r="LEI22" s="124"/>
      <c r="LEJ22" s="124"/>
      <c r="LEK22" s="124"/>
      <c r="LEL22" s="124"/>
      <c r="LEM22" s="124"/>
      <c r="LEN22" s="124"/>
      <c r="LEO22" s="124"/>
      <c r="LEP22" s="124"/>
      <c r="LEQ22" s="124"/>
      <c r="LER22" s="124"/>
      <c r="LES22" s="124"/>
      <c r="LET22" s="124"/>
      <c r="LEU22" s="124"/>
      <c r="LEV22" s="124"/>
      <c r="LEW22" s="124"/>
      <c r="LEX22" s="124"/>
      <c r="LEY22" s="124"/>
      <c r="LEZ22" s="124"/>
      <c r="LFA22" s="124"/>
      <c r="LFB22" s="124"/>
      <c r="LFC22" s="124"/>
      <c r="LFD22" s="124"/>
      <c r="LFE22" s="124"/>
      <c r="LFF22" s="124"/>
      <c r="LFG22" s="124"/>
      <c r="LFH22" s="124"/>
      <c r="LFI22" s="124"/>
      <c r="LFJ22" s="124"/>
      <c r="LFK22" s="124"/>
      <c r="LFL22" s="124"/>
      <c r="LFM22" s="124"/>
      <c r="LFN22" s="124"/>
      <c r="LFO22" s="124"/>
      <c r="LFP22" s="124"/>
      <c r="LFQ22" s="124"/>
      <c r="LFR22" s="124"/>
      <c r="LFS22" s="124"/>
      <c r="LFT22" s="124"/>
      <c r="LFU22" s="124"/>
      <c r="LFV22" s="124"/>
      <c r="LFW22" s="124"/>
      <c r="LFX22" s="124"/>
      <c r="LFY22" s="124"/>
      <c r="LFZ22" s="124"/>
      <c r="LGA22" s="124"/>
      <c r="LGB22" s="124"/>
      <c r="LGC22" s="124"/>
      <c r="LGD22" s="124"/>
      <c r="LGE22" s="124"/>
      <c r="LGF22" s="124"/>
      <c r="LGG22" s="124"/>
      <c r="LGH22" s="124"/>
      <c r="LGI22" s="124"/>
      <c r="LGJ22" s="124"/>
      <c r="LGK22" s="124"/>
      <c r="LGL22" s="124"/>
      <c r="LGM22" s="124"/>
      <c r="LGN22" s="124"/>
      <c r="LGO22" s="124"/>
      <c r="LGP22" s="124"/>
      <c r="LGQ22" s="124"/>
      <c r="LGR22" s="124"/>
      <c r="LGS22" s="124"/>
      <c r="LGT22" s="124"/>
      <c r="LGU22" s="124"/>
      <c r="LGV22" s="124"/>
      <c r="LGW22" s="124"/>
      <c r="LGX22" s="124"/>
      <c r="LGY22" s="124"/>
      <c r="LGZ22" s="124"/>
      <c r="LHA22" s="124"/>
      <c r="LHB22" s="124"/>
      <c r="LHC22" s="124"/>
      <c r="LHD22" s="124"/>
      <c r="LHE22" s="124"/>
      <c r="LHF22" s="124"/>
      <c r="LHG22" s="124"/>
      <c r="LHH22" s="124"/>
      <c r="LHI22" s="124"/>
      <c r="LHJ22" s="124"/>
      <c r="LHK22" s="124"/>
      <c r="LHL22" s="124"/>
      <c r="LHM22" s="124"/>
      <c r="LHN22" s="124"/>
      <c r="LHO22" s="124"/>
      <c r="LHP22" s="124"/>
      <c r="LHQ22" s="124"/>
      <c r="LHR22" s="124"/>
      <c r="LHS22" s="124"/>
      <c r="LHT22" s="124"/>
      <c r="LHU22" s="124"/>
      <c r="LHV22" s="124"/>
      <c r="LHW22" s="124"/>
      <c r="LHX22" s="124"/>
      <c r="LHY22" s="124"/>
      <c r="LHZ22" s="124"/>
      <c r="LIA22" s="124"/>
      <c r="LIB22" s="124"/>
      <c r="LIC22" s="124"/>
      <c r="LID22" s="124"/>
      <c r="LIE22" s="124"/>
      <c r="LIF22" s="124"/>
      <c r="LIG22" s="124"/>
      <c r="LIH22" s="124"/>
      <c r="LII22" s="124"/>
      <c r="LIJ22" s="124"/>
      <c r="LIK22" s="124"/>
      <c r="LIL22" s="124"/>
      <c r="LIM22" s="124"/>
      <c r="LIN22" s="124"/>
      <c r="LIO22" s="124"/>
      <c r="LIP22" s="124"/>
      <c r="LIQ22" s="124"/>
      <c r="LIR22" s="124"/>
      <c r="LIS22" s="124"/>
      <c r="LIT22" s="124"/>
      <c r="LIU22" s="124"/>
      <c r="LIV22" s="124"/>
      <c r="LIW22" s="124"/>
      <c r="LIX22" s="124"/>
      <c r="LIY22" s="124"/>
      <c r="LIZ22" s="124"/>
      <c r="LJA22" s="124"/>
      <c r="LJB22" s="124"/>
      <c r="LJC22" s="124"/>
      <c r="LJD22" s="124"/>
      <c r="LJE22" s="124"/>
      <c r="LJF22" s="124"/>
      <c r="LJG22" s="124"/>
      <c r="LJH22" s="124"/>
      <c r="LJI22" s="124"/>
      <c r="LJJ22" s="124"/>
      <c r="LJK22" s="124"/>
      <c r="LJL22" s="124"/>
      <c r="LJM22" s="124"/>
      <c r="LJN22" s="124"/>
      <c r="LJO22" s="124"/>
      <c r="LJP22" s="124"/>
      <c r="LJQ22" s="124"/>
      <c r="LJR22" s="124"/>
      <c r="LJS22" s="124"/>
      <c r="LJT22" s="124"/>
      <c r="LJU22" s="124"/>
      <c r="LJV22" s="124"/>
      <c r="LJW22" s="124"/>
      <c r="LJX22" s="124"/>
      <c r="LJY22" s="124"/>
      <c r="LJZ22" s="124"/>
      <c r="LKA22" s="124"/>
      <c r="LKB22" s="124"/>
      <c r="LKC22" s="124"/>
      <c r="LKD22" s="124"/>
      <c r="LKE22" s="124"/>
      <c r="LKF22" s="124"/>
      <c r="LKG22" s="124"/>
      <c r="LKH22" s="124"/>
      <c r="LKI22" s="124"/>
      <c r="LKJ22" s="124"/>
      <c r="LKK22" s="124"/>
      <c r="LKL22" s="124"/>
      <c r="LKM22" s="124"/>
      <c r="LKN22" s="124"/>
      <c r="LKO22" s="124"/>
      <c r="LKP22" s="124"/>
      <c r="LKQ22" s="124"/>
      <c r="LKR22" s="124"/>
      <c r="LKS22" s="124"/>
      <c r="LKT22" s="124"/>
      <c r="LKU22" s="124"/>
      <c r="LKV22" s="124"/>
      <c r="LKW22" s="124"/>
      <c r="LKX22" s="124"/>
      <c r="LKY22" s="124"/>
      <c r="LKZ22" s="124"/>
      <c r="LLA22" s="124"/>
      <c r="LLB22" s="124"/>
      <c r="LLC22" s="124"/>
      <c r="LLD22" s="124"/>
      <c r="LLE22" s="124"/>
      <c r="LLF22" s="124"/>
      <c r="LLG22" s="124"/>
      <c r="LLH22" s="124"/>
      <c r="LLI22" s="124"/>
      <c r="LLJ22" s="124"/>
      <c r="LLK22" s="124"/>
      <c r="LLL22" s="124"/>
      <c r="LLM22" s="124"/>
      <c r="LLN22" s="124"/>
      <c r="LLO22" s="124"/>
      <c r="LLP22" s="124"/>
      <c r="LLQ22" s="124"/>
      <c r="LLR22" s="124"/>
      <c r="LLS22" s="124"/>
      <c r="LLT22" s="124"/>
      <c r="LLU22" s="124"/>
      <c r="LLV22" s="124"/>
      <c r="LLW22" s="124"/>
      <c r="LLX22" s="124"/>
      <c r="LLY22" s="124"/>
      <c r="LLZ22" s="124"/>
      <c r="LMA22" s="124"/>
      <c r="LMB22" s="124"/>
      <c r="LMC22" s="124"/>
      <c r="LMD22" s="124"/>
      <c r="LME22" s="124"/>
      <c r="LMF22" s="124"/>
      <c r="LMG22" s="124"/>
      <c r="LMH22" s="124"/>
      <c r="LMI22" s="124"/>
      <c r="LMJ22" s="124"/>
      <c r="LMK22" s="124"/>
      <c r="LML22" s="124"/>
      <c r="LMM22" s="124"/>
      <c r="LMN22" s="124"/>
      <c r="LMO22" s="124"/>
      <c r="LMP22" s="124"/>
      <c r="LMQ22" s="124"/>
      <c r="LMR22" s="124"/>
      <c r="LMS22" s="124"/>
      <c r="LMT22" s="124"/>
      <c r="LMU22" s="124"/>
      <c r="LMV22" s="124"/>
      <c r="LMW22" s="124"/>
      <c r="LMX22" s="124"/>
      <c r="LMY22" s="124"/>
      <c r="LMZ22" s="124"/>
      <c r="LNA22" s="124"/>
      <c r="LNB22" s="124"/>
      <c r="LNC22" s="124"/>
      <c r="LND22" s="124"/>
      <c r="LNE22" s="124"/>
      <c r="LNF22" s="124"/>
      <c r="LNG22" s="124"/>
      <c r="LNH22" s="124"/>
      <c r="LNI22" s="124"/>
      <c r="LNJ22" s="124"/>
      <c r="LNK22" s="124"/>
      <c r="LNL22" s="124"/>
      <c r="LNM22" s="124"/>
      <c r="LNN22" s="124"/>
      <c r="LNO22" s="124"/>
      <c r="LNP22" s="124"/>
      <c r="LNQ22" s="124"/>
      <c r="LNR22" s="124"/>
      <c r="LNS22" s="124"/>
      <c r="LNT22" s="124"/>
      <c r="LNU22" s="124"/>
      <c r="LNV22" s="124"/>
      <c r="LNW22" s="124"/>
      <c r="LNX22" s="124"/>
      <c r="LNY22" s="124"/>
      <c r="LNZ22" s="124"/>
      <c r="LOA22" s="124"/>
      <c r="LOB22" s="124"/>
      <c r="LOC22" s="124"/>
      <c r="LOD22" s="124"/>
      <c r="LOE22" s="124"/>
      <c r="LOF22" s="124"/>
      <c r="LOG22" s="124"/>
      <c r="LOH22" s="124"/>
      <c r="LOI22" s="124"/>
      <c r="LOJ22" s="124"/>
      <c r="LOK22" s="124"/>
      <c r="LOL22" s="124"/>
      <c r="LOM22" s="124"/>
      <c r="LON22" s="124"/>
      <c r="LOO22" s="124"/>
      <c r="LOP22" s="124"/>
      <c r="LOQ22" s="124"/>
      <c r="LOR22" s="124"/>
      <c r="LOS22" s="124"/>
      <c r="LOT22" s="124"/>
      <c r="LOU22" s="124"/>
      <c r="LOV22" s="124"/>
      <c r="LOW22" s="124"/>
      <c r="LOX22" s="124"/>
      <c r="LOY22" s="124"/>
      <c r="LOZ22" s="124"/>
      <c r="LPA22" s="124"/>
      <c r="LPB22" s="124"/>
      <c r="LPC22" s="124"/>
      <c r="LPD22" s="124"/>
      <c r="LPE22" s="124"/>
      <c r="LPF22" s="124"/>
      <c r="LPG22" s="124"/>
      <c r="LPH22" s="124"/>
      <c r="LPI22" s="124"/>
      <c r="LPJ22" s="124"/>
      <c r="LPK22" s="124"/>
      <c r="LPL22" s="124"/>
      <c r="LPM22" s="124"/>
      <c r="LPN22" s="124"/>
      <c r="LPO22" s="124"/>
      <c r="LPP22" s="124"/>
      <c r="LPQ22" s="124"/>
      <c r="LPR22" s="124"/>
      <c r="LPS22" s="124"/>
      <c r="LPT22" s="124"/>
      <c r="LPU22" s="124"/>
      <c r="LPV22" s="124"/>
      <c r="LPW22" s="124"/>
      <c r="LPX22" s="124"/>
      <c r="LPY22" s="124"/>
      <c r="LPZ22" s="124"/>
      <c r="LQA22" s="124"/>
      <c r="LQB22" s="124"/>
      <c r="LQC22" s="124"/>
      <c r="LQD22" s="124"/>
      <c r="LQE22" s="124"/>
      <c r="LQF22" s="124"/>
      <c r="LQG22" s="124"/>
      <c r="LQH22" s="124"/>
      <c r="LQI22" s="124"/>
      <c r="LQJ22" s="124"/>
      <c r="LQK22" s="124"/>
      <c r="LQL22" s="124"/>
      <c r="LQM22" s="124"/>
      <c r="LQN22" s="124"/>
      <c r="LQO22" s="124"/>
      <c r="LQP22" s="124"/>
      <c r="LQQ22" s="124"/>
      <c r="LQR22" s="124"/>
      <c r="LQS22" s="124"/>
      <c r="LQT22" s="124"/>
      <c r="LQU22" s="124"/>
      <c r="LQV22" s="124"/>
      <c r="LQW22" s="124"/>
      <c r="LQX22" s="124"/>
      <c r="LQY22" s="124"/>
      <c r="LQZ22" s="124"/>
      <c r="LRA22" s="124"/>
      <c r="LRB22" s="124"/>
      <c r="LRC22" s="124"/>
      <c r="LRD22" s="124"/>
      <c r="LRE22" s="124"/>
      <c r="LRF22" s="124"/>
      <c r="LRG22" s="124"/>
      <c r="LRH22" s="124"/>
      <c r="LRI22" s="124"/>
      <c r="LRJ22" s="124"/>
      <c r="LRK22" s="124"/>
      <c r="LRL22" s="124"/>
      <c r="LRM22" s="124"/>
      <c r="LRN22" s="124"/>
      <c r="LRO22" s="124"/>
      <c r="LRP22" s="124"/>
      <c r="LRQ22" s="124"/>
      <c r="LRR22" s="124"/>
      <c r="LRS22" s="124"/>
      <c r="LRT22" s="124"/>
      <c r="LRU22" s="124"/>
      <c r="LRV22" s="124"/>
      <c r="LRW22" s="124"/>
      <c r="LRX22" s="124"/>
      <c r="LRY22" s="124"/>
      <c r="LRZ22" s="124"/>
      <c r="LSA22" s="124"/>
      <c r="LSB22" s="124"/>
      <c r="LSC22" s="124"/>
      <c r="LSD22" s="124"/>
      <c r="LSE22" s="124"/>
      <c r="LSF22" s="124"/>
      <c r="LSG22" s="124"/>
      <c r="LSH22" s="124"/>
      <c r="LSI22" s="124"/>
      <c r="LSJ22" s="124"/>
      <c r="LSK22" s="124"/>
      <c r="LSL22" s="124"/>
      <c r="LSM22" s="124"/>
      <c r="LSN22" s="124"/>
      <c r="LSO22" s="124"/>
      <c r="LSP22" s="124"/>
      <c r="LSQ22" s="124"/>
      <c r="LSR22" s="124"/>
      <c r="LSS22" s="124"/>
      <c r="LST22" s="124"/>
      <c r="LSU22" s="124"/>
      <c r="LSV22" s="124"/>
      <c r="LSW22" s="124"/>
      <c r="LSX22" s="124"/>
      <c r="LSY22" s="124"/>
      <c r="LSZ22" s="124"/>
      <c r="LTA22" s="124"/>
      <c r="LTB22" s="124"/>
      <c r="LTC22" s="124"/>
      <c r="LTD22" s="124"/>
      <c r="LTE22" s="124"/>
      <c r="LTF22" s="124"/>
      <c r="LTG22" s="124"/>
      <c r="LTH22" s="124"/>
      <c r="LTI22" s="124"/>
      <c r="LTJ22" s="124"/>
      <c r="LTK22" s="124"/>
      <c r="LTL22" s="124"/>
      <c r="LTM22" s="124"/>
      <c r="LTN22" s="124"/>
      <c r="LTO22" s="124"/>
      <c r="LTP22" s="124"/>
      <c r="LTQ22" s="124"/>
      <c r="LTR22" s="124"/>
      <c r="LTS22" s="124"/>
      <c r="LTT22" s="124"/>
      <c r="LTU22" s="124"/>
      <c r="LTV22" s="124"/>
      <c r="LTW22" s="124"/>
      <c r="LTX22" s="124"/>
      <c r="LTY22" s="124"/>
      <c r="LTZ22" s="124"/>
      <c r="LUA22" s="124"/>
      <c r="LUB22" s="124"/>
      <c r="LUC22" s="124"/>
      <c r="LUD22" s="124"/>
      <c r="LUE22" s="124"/>
      <c r="LUF22" s="124"/>
      <c r="LUG22" s="124"/>
      <c r="LUH22" s="124"/>
      <c r="LUI22" s="124"/>
      <c r="LUJ22" s="124"/>
      <c r="LUK22" s="124"/>
      <c r="LUL22" s="124"/>
      <c r="LUM22" s="124"/>
      <c r="LUN22" s="124"/>
      <c r="LUO22" s="124"/>
      <c r="LUP22" s="124"/>
      <c r="LUQ22" s="124"/>
      <c r="LUR22" s="124"/>
      <c r="LUS22" s="124"/>
      <c r="LUT22" s="124"/>
      <c r="LUU22" s="124"/>
      <c r="LUV22" s="124"/>
      <c r="LUW22" s="124"/>
      <c r="LUX22" s="124"/>
      <c r="LUY22" s="124"/>
      <c r="LUZ22" s="124"/>
      <c r="LVA22" s="124"/>
      <c r="LVB22" s="124"/>
      <c r="LVC22" s="124"/>
      <c r="LVD22" s="124"/>
      <c r="LVE22" s="124"/>
      <c r="LVF22" s="124"/>
      <c r="LVG22" s="124"/>
      <c r="LVH22" s="124"/>
      <c r="LVI22" s="124"/>
      <c r="LVJ22" s="124"/>
      <c r="LVK22" s="124"/>
      <c r="LVL22" s="124"/>
      <c r="LVM22" s="124"/>
      <c r="LVN22" s="124"/>
      <c r="LVO22" s="124"/>
      <c r="LVP22" s="124"/>
      <c r="LVQ22" s="124"/>
      <c r="LVR22" s="124"/>
      <c r="LVS22" s="124"/>
      <c r="LVT22" s="124"/>
      <c r="LVU22" s="124"/>
      <c r="LVV22" s="124"/>
      <c r="LVW22" s="124"/>
      <c r="LVX22" s="124"/>
      <c r="LVY22" s="124"/>
      <c r="LVZ22" s="124"/>
      <c r="LWA22" s="124"/>
      <c r="LWB22" s="124"/>
      <c r="LWC22" s="124"/>
      <c r="LWD22" s="124"/>
      <c r="LWE22" s="124"/>
      <c r="LWF22" s="124"/>
      <c r="LWG22" s="124"/>
      <c r="LWH22" s="124"/>
      <c r="LWI22" s="124"/>
      <c r="LWJ22" s="124"/>
      <c r="LWK22" s="124"/>
      <c r="LWL22" s="124"/>
      <c r="LWM22" s="124"/>
      <c r="LWN22" s="124"/>
      <c r="LWO22" s="124"/>
      <c r="LWP22" s="124"/>
      <c r="LWQ22" s="124"/>
      <c r="LWR22" s="124"/>
      <c r="LWS22" s="124"/>
      <c r="LWT22" s="124"/>
      <c r="LWU22" s="124"/>
      <c r="LWV22" s="124"/>
      <c r="LWW22" s="124"/>
      <c r="LWX22" s="124"/>
      <c r="LWY22" s="124"/>
      <c r="LWZ22" s="124"/>
      <c r="LXA22" s="124"/>
      <c r="LXB22" s="124"/>
      <c r="LXC22" s="124"/>
      <c r="LXD22" s="124"/>
      <c r="LXE22" s="124"/>
      <c r="LXF22" s="124"/>
      <c r="LXG22" s="124"/>
      <c r="LXH22" s="124"/>
      <c r="LXI22" s="124"/>
      <c r="LXJ22" s="124"/>
      <c r="LXK22" s="124"/>
      <c r="LXL22" s="124"/>
      <c r="LXM22" s="124"/>
      <c r="LXN22" s="124"/>
      <c r="LXO22" s="124"/>
      <c r="LXP22" s="124"/>
      <c r="LXQ22" s="124"/>
      <c r="LXR22" s="124"/>
      <c r="LXS22" s="124"/>
      <c r="LXT22" s="124"/>
      <c r="LXU22" s="124"/>
      <c r="LXV22" s="124"/>
      <c r="LXW22" s="124"/>
      <c r="LXX22" s="124"/>
      <c r="LXY22" s="124"/>
      <c r="LXZ22" s="124"/>
      <c r="LYA22" s="124"/>
      <c r="LYB22" s="124"/>
      <c r="LYC22" s="124"/>
      <c r="LYD22" s="124"/>
      <c r="LYE22" s="124"/>
      <c r="LYF22" s="124"/>
      <c r="LYG22" s="124"/>
      <c r="LYH22" s="124"/>
      <c r="LYI22" s="124"/>
      <c r="LYJ22" s="124"/>
      <c r="LYK22" s="124"/>
      <c r="LYL22" s="124"/>
      <c r="LYM22" s="124"/>
      <c r="LYN22" s="124"/>
      <c r="LYO22" s="124"/>
      <c r="LYP22" s="124"/>
      <c r="LYQ22" s="124"/>
      <c r="LYR22" s="124"/>
      <c r="LYS22" s="124"/>
      <c r="LYT22" s="124"/>
      <c r="LYU22" s="124"/>
      <c r="LYV22" s="124"/>
      <c r="LYW22" s="124"/>
      <c r="LYX22" s="124"/>
      <c r="LYY22" s="124"/>
      <c r="LYZ22" s="124"/>
      <c r="LZA22" s="124"/>
      <c r="LZB22" s="124"/>
      <c r="LZC22" s="124"/>
      <c r="LZD22" s="124"/>
      <c r="LZE22" s="124"/>
      <c r="LZF22" s="124"/>
      <c r="LZG22" s="124"/>
      <c r="LZH22" s="124"/>
      <c r="LZI22" s="124"/>
      <c r="LZJ22" s="124"/>
      <c r="LZK22" s="124"/>
      <c r="LZL22" s="124"/>
      <c r="LZM22" s="124"/>
      <c r="LZN22" s="124"/>
      <c r="LZO22" s="124"/>
      <c r="LZP22" s="124"/>
      <c r="LZQ22" s="124"/>
      <c r="LZR22" s="124"/>
      <c r="LZS22" s="124"/>
      <c r="LZT22" s="124"/>
      <c r="LZU22" s="124"/>
      <c r="LZV22" s="124"/>
      <c r="LZW22" s="124"/>
      <c r="LZX22" s="124"/>
      <c r="LZY22" s="124"/>
      <c r="LZZ22" s="124"/>
      <c r="MAA22" s="124"/>
      <c r="MAB22" s="124"/>
      <c r="MAC22" s="124"/>
      <c r="MAD22" s="124"/>
      <c r="MAE22" s="124"/>
      <c r="MAF22" s="124"/>
      <c r="MAG22" s="124"/>
      <c r="MAH22" s="124"/>
      <c r="MAI22" s="124"/>
      <c r="MAJ22" s="124"/>
      <c r="MAK22" s="124"/>
      <c r="MAL22" s="124"/>
      <c r="MAM22" s="124"/>
      <c r="MAN22" s="124"/>
      <c r="MAO22" s="124"/>
      <c r="MAP22" s="124"/>
      <c r="MAQ22" s="124"/>
      <c r="MAR22" s="124"/>
      <c r="MAS22" s="124"/>
      <c r="MAT22" s="124"/>
      <c r="MAU22" s="124"/>
      <c r="MAV22" s="124"/>
      <c r="MAW22" s="124"/>
      <c r="MAX22" s="124"/>
      <c r="MAY22" s="124"/>
      <c r="MAZ22" s="124"/>
      <c r="MBA22" s="124"/>
      <c r="MBB22" s="124"/>
      <c r="MBC22" s="124"/>
      <c r="MBD22" s="124"/>
      <c r="MBE22" s="124"/>
      <c r="MBF22" s="124"/>
      <c r="MBG22" s="124"/>
      <c r="MBH22" s="124"/>
      <c r="MBI22" s="124"/>
      <c r="MBJ22" s="124"/>
      <c r="MBK22" s="124"/>
      <c r="MBL22" s="124"/>
      <c r="MBM22" s="124"/>
      <c r="MBN22" s="124"/>
      <c r="MBO22" s="124"/>
      <c r="MBP22" s="124"/>
      <c r="MBQ22" s="124"/>
      <c r="MBR22" s="124"/>
      <c r="MBS22" s="124"/>
      <c r="MBT22" s="124"/>
      <c r="MBU22" s="124"/>
      <c r="MBV22" s="124"/>
      <c r="MBW22" s="124"/>
      <c r="MBX22" s="124"/>
      <c r="MBY22" s="124"/>
      <c r="MBZ22" s="124"/>
      <c r="MCA22" s="124"/>
      <c r="MCB22" s="124"/>
      <c r="MCC22" s="124"/>
      <c r="MCD22" s="124"/>
      <c r="MCE22" s="124"/>
      <c r="MCF22" s="124"/>
      <c r="MCG22" s="124"/>
      <c r="MCH22" s="124"/>
      <c r="MCI22" s="124"/>
      <c r="MCJ22" s="124"/>
      <c r="MCK22" s="124"/>
      <c r="MCL22" s="124"/>
      <c r="MCM22" s="124"/>
      <c r="MCN22" s="124"/>
      <c r="MCO22" s="124"/>
      <c r="MCP22" s="124"/>
      <c r="MCQ22" s="124"/>
      <c r="MCR22" s="124"/>
      <c r="MCS22" s="124"/>
      <c r="MCT22" s="124"/>
      <c r="MCU22" s="124"/>
      <c r="MCV22" s="124"/>
      <c r="MCW22" s="124"/>
      <c r="MCX22" s="124"/>
      <c r="MCY22" s="124"/>
      <c r="MCZ22" s="124"/>
      <c r="MDA22" s="124"/>
      <c r="MDB22" s="124"/>
      <c r="MDC22" s="124"/>
      <c r="MDD22" s="124"/>
      <c r="MDE22" s="124"/>
      <c r="MDF22" s="124"/>
      <c r="MDG22" s="124"/>
      <c r="MDH22" s="124"/>
      <c r="MDI22" s="124"/>
      <c r="MDJ22" s="124"/>
      <c r="MDK22" s="124"/>
      <c r="MDL22" s="124"/>
      <c r="MDM22" s="124"/>
      <c r="MDN22" s="124"/>
      <c r="MDO22" s="124"/>
      <c r="MDP22" s="124"/>
      <c r="MDQ22" s="124"/>
      <c r="MDR22" s="124"/>
      <c r="MDS22" s="124"/>
      <c r="MDT22" s="124"/>
      <c r="MDU22" s="124"/>
      <c r="MDV22" s="124"/>
      <c r="MDW22" s="124"/>
      <c r="MDX22" s="124"/>
      <c r="MDY22" s="124"/>
      <c r="MDZ22" s="124"/>
      <c r="MEA22" s="124"/>
      <c r="MEB22" s="124"/>
      <c r="MEC22" s="124"/>
      <c r="MED22" s="124"/>
      <c r="MEE22" s="124"/>
      <c r="MEF22" s="124"/>
      <c r="MEG22" s="124"/>
      <c r="MEH22" s="124"/>
      <c r="MEI22" s="124"/>
      <c r="MEJ22" s="124"/>
      <c r="MEK22" s="124"/>
      <c r="MEL22" s="124"/>
      <c r="MEM22" s="124"/>
      <c r="MEN22" s="124"/>
      <c r="MEO22" s="124"/>
      <c r="MEP22" s="124"/>
      <c r="MEQ22" s="124"/>
      <c r="MER22" s="124"/>
      <c r="MES22" s="124"/>
      <c r="MET22" s="124"/>
      <c r="MEU22" s="124"/>
      <c r="MEV22" s="124"/>
      <c r="MEW22" s="124"/>
      <c r="MEX22" s="124"/>
      <c r="MEY22" s="124"/>
      <c r="MEZ22" s="124"/>
      <c r="MFA22" s="124"/>
      <c r="MFB22" s="124"/>
      <c r="MFC22" s="124"/>
      <c r="MFD22" s="124"/>
      <c r="MFE22" s="124"/>
      <c r="MFF22" s="124"/>
      <c r="MFG22" s="124"/>
      <c r="MFH22" s="124"/>
      <c r="MFI22" s="124"/>
      <c r="MFJ22" s="124"/>
      <c r="MFK22" s="124"/>
      <c r="MFL22" s="124"/>
      <c r="MFM22" s="124"/>
      <c r="MFN22" s="124"/>
      <c r="MFO22" s="124"/>
      <c r="MFP22" s="124"/>
      <c r="MFQ22" s="124"/>
      <c r="MFR22" s="124"/>
      <c r="MFS22" s="124"/>
      <c r="MFT22" s="124"/>
      <c r="MFU22" s="124"/>
      <c r="MFV22" s="124"/>
      <c r="MFW22" s="124"/>
      <c r="MFX22" s="124"/>
      <c r="MFY22" s="124"/>
      <c r="MFZ22" s="124"/>
      <c r="MGA22" s="124"/>
      <c r="MGB22" s="124"/>
      <c r="MGC22" s="124"/>
      <c r="MGD22" s="124"/>
      <c r="MGE22" s="124"/>
      <c r="MGF22" s="124"/>
      <c r="MGG22" s="124"/>
      <c r="MGH22" s="124"/>
      <c r="MGI22" s="124"/>
      <c r="MGJ22" s="124"/>
      <c r="MGK22" s="124"/>
      <c r="MGL22" s="124"/>
      <c r="MGM22" s="124"/>
      <c r="MGN22" s="124"/>
      <c r="MGO22" s="124"/>
      <c r="MGP22" s="124"/>
      <c r="MGQ22" s="124"/>
      <c r="MGR22" s="124"/>
      <c r="MGS22" s="124"/>
      <c r="MGT22" s="124"/>
      <c r="MGU22" s="124"/>
      <c r="MGV22" s="124"/>
      <c r="MGW22" s="124"/>
      <c r="MGX22" s="124"/>
      <c r="MGY22" s="124"/>
      <c r="MGZ22" s="124"/>
      <c r="MHA22" s="124"/>
      <c r="MHB22" s="124"/>
      <c r="MHC22" s="124"/>
      <c r="MHD22" s="124"/>
      <c r="MHE22" s="124"/>
      <c r="MHF22" s="124"/>
      <c r="MHG22" s="124"/>
      <c r="MHH22" s="124"/>
      <c r="MHI22" s="124"/>
      <c r="MHJ22" s="124"/>
      <c r="MHK22" s="124"/>
      <c r="MHL22" s="124"/>
      <c r="MHM22" s="124"/>
      <c r="MHN22" s="124"/>
      <c r="MHO22" s="124"/>
      <c r="MHP22" s="124"/>
      <c r="MHQ22" s="124"/>
      <c r="MHR22" s="124"/>
      <c r="MHS22" s="124"/>
      <c r="MHT22" s="124"/>
      <c r="MHU22" s="124"/>
      <c r="MHV22" s="124"/>
      <c r="MHW22" s="124"/>
      <c r="MHX22" s="124"/>
      <c r="MHY22" s="124"/>
      <c r="MHZ22" s="124"/>
      <c r="MIA22" s="124"/>
      <c r="MIB22" s="124"/>
      <c r="MIC22" s="124"/>
      <c r="MID22" s="124"/>
      <c r="MIE22" s="124"/>
      <c r="MIF22" s="124"/>
      <c r="MIG22" s="124"/>
      <c r="MIH22" s="124"/>
      <c r="MII22" s="124"/>
      <c r="MIJ22" s="124"/>
      <c r="MIK22" s="124"/>
      <c r="MIL22" s="124"/>
      <c r="MIM22" s="124"/>
      <c r="MIN22" s="124"/>
      <c r="MIO22" s="124"/>
      <c r="MIP22" s="124"/>
      <c r="MIQ22" s="124"/>
      <c r="MIR22" s="124"/>
      <c r="MIS22" s="124"/>
      <c r="MIT22" s="124"/>
      <c r="MIU22" s="124"/>
      <c r="MIV22" s="124"/>
      <c r="MIW22" s="124"/>
      <c r="MIX22" s="124"/>
      <c r="MIY22" s="124"/>
      <c r="MIZ22" s="124"/>
      <c r="MJA22" s="124"/>
      <c r="MJB22" s="124"/>
      <c r="MJC22" s="124"/>
      <c r="MJD22" s="124"/>
      <c r="MJE22" s="124"/>
      <c r="MJF22" s="124"/>
      <c r="MJG22" s="124"/>
      <c r="MJH22" s="124"/>
      <c r="MJI22" s="124"/>
      <c r="MJJ22" s="124"/>
      <c r="MJK22" s="124"/>
      <c r="MJL22" s="124"/>
      <c r="MJM22" s="124"/>
      <c r="MJN22" s="124"/>
      <c r="MJO22" s="124"/>
      <c r="MJP22" s="124"/>
      <c r="MJQ22" s="124"/>
      <c r="MJR22" s="124"/>
      <c r="MJS22" s="124"/>
      <c r="MJT22" s="124"/>
      <c r="MJU22" s="124"/>
      <c r="MJV22" s="124"/>
      <c r="MJW22" s="124"/>
      <c r="MJX22" s="124"/>
      <c r="MJY22" s="124"/>
      <c r="MJZ22" s="124"/>
      <c r="MKA22" s="124"/>
      <c r="MKB22" s="124"/>
      <c r="MKC22" s="124"/>
      <c r="MKD22" s="124"/>
      <c r="MKE22" s="124"/>
      <c r="MKF22" s="124"/>
      <c r="MKG22" s="124"/>
      <c r="MKH22" s="124"/>
      <c r="MKI22" s="124"/>
      <c r="MKJ22" s="124"/>
      <c r="MKK22" s="124"/>
      <c r="MKL22" s="124"/>
      <c r="MKM22" s="124"/>
      <c r="MKN22" s="124"/>
      <c r="MKO22" s="124"/>
      <c r="MKP22" s="124"/>
      <c r="MKQ22" s="124"/>
      <c r="MKR22" s="124"/>
      <c r="MKS22" s="124"/>
      <c r="MKT22" s="124"/>
      <c r="MKU22" s="124"/>
      <c r="MKV22" s="124"/>
      <c r="MKW22" s="124"/>
      <c r="MKX22" s="124"/>
      <c r="MKY22" s="124"/>
      <c r="MKZ22" s="124"/>
      <c r="MLA22" s="124"/>
      <c r="MLB22" s="124"/>
      <c r="MLC22" s="124"/>
      <c r="MLD22" s="124"/>
      <c r="MLE22" s="124"/>
      <c r="MLF22" s="124"/>
      <c r="MLG22" s="124"/>
      <c r="MLH22" s="124"/>
      <c r="MLI22" s="124"/>
      <c r="MLJ22" s="124"/>
      <c r="MLK22" s="124"/>
      <c r="MLL22" s="124"/>
      <c r="MLM22" s="124"/>
      <c r="MLN22" s="124"/>
      <c r="MLO22" s="124"/>
      <c r="MLP22" s="124"/>
      <c r="MLQ22" s="124"/>
      <c r="MLR22" s="124"/>
      <c r="MLS22" s="124"/>
      <c r="MLT22" s="124"/>
      <c r="MLU22" s="124"/>
      <c r="MLV22" s="124"/>
      <c r="MLW22" s="124"/>
      <c r="MLX22" s="124"/>
      <c r="MLY22" s="124"/>
      <c r="MLZ22" s="124"/>
      <c r="MMA22" s="124"/>
      <c r="MMB22" s="124"/>
      <c r="MMC22" s="124"/>
      <c r="MMD22" s="124"/>
      <c r="MME22" s="124"/>
      <c r="MMF22" s="124"/>
      <c r="MMG22" s="124"/>
      <c r="MMH22" s="124"/>
      <c r="MMI22" s="124"/>
      <c r="MMJ22" s="124"/>
      <c r="MMK22" s="124"/>
      <c r="MML22" s="124"/>
      <c r="MMM22" s="124"/>
      <c r="MMN22" s="124"/>
      <c r="MMO22" s="124"/>
      <c r="MMP22" s="124"/>
      <c r="MMQ22" s="124"/>
      <c r="MMR22" s="124"/>
      <c r="MMS22" s="124"/>
      <c r="MMT22" s="124"/>
      <c r="MMU22" s="124"/>
      <c r="MMV22" s="124"/>
      <c r="MMW22" s="124"/>
      <c r="MMX22" s="124"/>
      <c r="MMY22" s="124"/>
      <c r="MMZ22" s="124"/>
      <c r="MNA22" s="124"/>
      <c r="MNB22" s="124"/>
      <c r="MNC22" s="124"/>
      <c r="MND22" s="124"/>
      <c r="MNE22" s="124"/>
      <c r="MNF22" s="124"/>
      <c r="MNG22" s="124"/>
      <c r="MNH22" s="124"/>
      <c r="MNI22" s="124"/>
      <c r="MNJ22" s="124"/>
      <c r="MNK22" s="124"/>
      <c r="MNL22" s="124"/>
      <c r="MNM22" s="124"/>
      <c r="MNN22" s="124"/>
      <c r="MNO22" s="124"/>
      <c r="MNP22" s="124"/>
      <c r="MNQ22" s="124"/>
      <c r="MNR22" s="124"/>
      <c r="MNS22" s="124"/>
      <c r="MNT22" s="124"/>
      <c r="MNU22" s="124"/>
      <c r="MNV22" s="124"/>
      <c r="MNW22" s="124"/>
      <c r="MNX22" s="124"/>
      <c r="MNY22" s="124"/>
      <c r="MNZ22" s="124"/>
      <c r="MOA22" s="124"/>
      <c r="MOB22" s="124"/>
      <c r="MOC22" s="124"/>
      <c r="MOD22" s="124"/>
      <c r="MOE22" s="124"/>
      <c r="MOF22" s="124"/>
      <c r="MOG22" s="124"/>
      <c r="MOH22" s="124"/>
      <c r="MOI22" s="124"/>
      <c r="MOJ22" s="124"/>
      <c r="MOK22" s="124"/>
      <c r="MOL22" s="124"/>
      <c r="MOM22" s="124"/>
      <c r="MON22" s="124"/>
      <c r="MOO22" s="124"/>
      <c r="MOP22" s="124"/>
      <c r="MOQ22" s="124"/>
      <c r="MOR22" s="124"/>
      <c r="MOS22" s="124"/>
      <c r="MOT22" s="124"/>
      <c r="MOU22" s="124"/>
      <c r="MOV22" s="124"/>
      <c r="MOW22" s="124"/>
      <c r="MOX22" s="124"/>
      <c r="MOY22" s="124"/>
      <c r="MOZ22" s="124"/>
      <c r="MPA22" s="124"/>
      <c r="MPB22" s="124"/>
      <c r="MPC22" s="124"/>
      <c r="MPD22" s="124"/>
      <c r="MPE22" s="124"/>
      <c r="MPF22" s="124"/>
      <c r="MPG22" s="124"/>
      <c r="MPH22" s="124"/>
      <c r="MPI22" s="124"/>
      <c r="MPJ22" s="124"/>
      <c r="MPK22" s="124"/>
      <c r="MPL22" s="124"/>
      <c r="MPM22" s="124"/>
      <c r="MPN22" s="124"/>
      <c r="MPO22" s="124"/>
      <c r="MPP22" s="124"/>
      <c r="MPQ22" s="124"/>
      <c r="MPR22" s="124"/>
      <c r="MPS22" s="124"/>
      <c r="MPT22" s="124"/>
      <c r="MPU22" s="124"/>
      <c r="MPV22" s="124"/>
      <c r="MPW22" s="124"/>
      <c r="MPX22" s="124"/>
      <c r="MPY22" s="124"/>
      <c r="MPZ22" s="124"/>
      <c r="MQA22" s="124"/>
      <c r="MQB22" s="124"/>
      <c r="MQC22" s="124"/>
      <c r="MQD22" s="124"/>
      <c r="MQE22" s="124"/>
      <c r="MQF22" s="124"/>
      <c r="MQG22" s="124"/>
      <c r="MQH22" s="124"/>
      <c r="MQI22" s="124"/>
      <c r="MQJ22" s="124"/>
      <c r="MQK22" s="124"/>
      <c r="MQL22" s="124"/>
      <c r="MQM22" s="124"/>
      <c r="MQN22" s="124"/>
      <c r="MQO22" s="124"/>
      <c r="MQP22" s="124"/>
      <c r="MQQ22" s="124"/>
      <c r="MQR22" s="124"/>
      <c r="MQS22" s="124"/>
      <c r="MQT22" s="124"/>
      <c r="MQU22" s="124"/>
      <c r="MQV22" s="124"/>
      <c r="MQW22" s="124"/>
      <c r="MQX22" s="124"/>
      <c r="MQY22" s="124"/>
      <c r="MQZ22" s="124"/>
      <c r="MRA22" s="124"/>
      <c r="MRB22" s="124"/>
      <c r="MRC22" s="124"/>
      <c r="MRD22" s="124"/>
      <c r="MRE22" s="124"/>
      <c r="MRF22" s="124"/>
      <c r="MRG22" s="124"/>
      <c r="MRH22" s="124"/>
      <c r="MRI22" s="124"/>
      <c r="MRJ22" s="124"/>
      <c r="MRK22" s="124"/>
      <c r="MRL22" s="124"/>
      <c r="MRM22" s="124"/>
      <c r="MRN22" s="124"/>
      <c r="MRO22" s="124"/>
      <c r="MRP22" s="124"/>
      <c r="MRQ22" s="124"/>
      <c r="MRR22" s="124"/>
      <c r="MRS22" s="124"/>
      <c r="MRT22" s="124"/>
      <c r="MRU22" s="124"/>
      <c r="MRV22" s="124"/>
      <c r="MRW22" s="124"/>
      <c r="MRX22" s="124"/>
      <c r="MRY22" s="124"/>
      <c r="MRZ22" s="124"/>
      <c r="MSA22" s="124"/>
      <c r="MSB22" s="124"/>
      <c r="MSC22" s="124"/>
      <c r="MSD22" s="124"/>
      <c r="MSE22" s="124"/>
      <c r="MSF22" s="124"/>
      <c r="MSG22" s="124"/>
      <c r="MSH22" s="124"/>
      <c r="MSI22" s="124"/>
      <c r="MSJ22" s="124"/>
      <c r="MSK22" s="124"/>
      <c r="MSL22" s="124"/>
      <c r="MSM22" s="124"/>
      <c r="MSN22" s="124"/>
      <c r="MSO22" s="124"/>
      <c r="MSP22" s="124"/>
      <c r="MSQ22" s="124"/>
      <c r="MSR22" s="124"/>
      <c r="MSS22" s="124"/>
      <c r="MST22" s="124"/>
      <c r="MSU22" s="124"/>
      <c r="MSV22" s="124"/>
      <c r="MSW22" s="124"/>
      <c r="MSX22" s="124"/>
      <c r="MSY22" s="124"/>
      <c r="MSZ22" s="124"/>
      <c r="MTA22" s="124"/>
      <c r="MTB22" s="124"/>
      <c r="MTC22" s="124"/>
      <c r="MTD22" s="124"/>
      <c r="MTE22" s="124"/>
      <c r="MTF22" s="124"/>
      <c r="MTG22" s="124"/>
      <c r="MTH22" s="124"/>
      <c r="MTI22" s="124"/>
      <c r="MTJ22" s="124"/>
      <c r="MTK22" s="124"/>
      <c r="MTL22" s="124"/>
      <c r="MTM22" s="124"/>
      <c r="MTN22" s="124"/>
      <c r="MTO22" s="124"/>
      <c r="MTP22" s="124"/>
      <c r="MTQ22" s="124"/>
      <c r="MTR22" s="124"/>
      <c r="MTS22" s="124"/>
      <c r="MTT22" s="124"/>
      <c r="MTU22" s="124"/>
      <c r="MTV22" s="124"/>
      <c r="MTW22" s="124"/>
      <c r="MTX22" s="124"/>
      <c r="MTY22" s="124"/>
      <c r="MTZ22" s="124"/>
      <c r="MUA22" s="124"/>
      <c r="MUB22" s="124"/>
      <c r="MUC22" s="124"/>
      <c r="MUD22" s="124"/>
      <c r="MUE22" s="124"/>
      <c r="MUF22" s="124"/>
      <c r="MUG22" s="124"/>
      <c r="MUH22" s="124"/>
      <c r="MUI22" s="124"/>
      <c r="MUJ22" s="124"/>
      <c r="MUK22" s="124"/>
      <c r="MUL22" s="124"/>
      <c r="MUM22" s="124"/>
      <c r="MUN22" s="124"/>
      <c r="MUO22" s="124"/>
      <c r="MUP22" s="124"/>
      <c r="MUQ22" s="124"/>
      <c r="MUR22" s="124"/>
      <c r="MUS22" s="124"/>
      <c r="MUT22" s="124"/>
      <c r="MUU22" s="124"/>
      <c r="MUV22" s="124"/>
      <c r="MUW22" s="124"/>
      <c r="MUX22" s="124"/>
      <c r="MUY22" s="124"/>
      <c r="MUZ22" s="124"/>
      <c r="MVA22" s="124"/>
      <c r="MVB22" s="124"/>
      <c r="MVC22" s="124"/>
      <c r="MVD22" s="124"/>
      <c r="MVE22" s="124"/>
      <c r="MVF22" s="124"/>
      <c r="MVG22" s="124"/>
      <c r="MVH22" s="124"/>
      <c r="MVI22" s="124"/>
      <c r="MVJ22" s="124"/>
      <c r="MVK22" s="124"/>
      <c r="MVL22" s="124"/>
      <c r="MVM22" s="124"/>
      <c r="MVN22" s="124"/>
      <c r="MVO22" s="124"/>
      <c r="MVP22" s="124"/>
      <c r="MVQ22" s="124"/>
      <c r="MVR22" s="124"/>
      <c r="MVS22" s="124"/>
      <c r="MVT22" s="124"/>
      <c r="MVU22" s="124"/>
      <c r="MVV22" s="124"/>
      <c r="MVW22" s="124"/>
      <c r="MVX22" s="124"/>
      <c r="MVY22" s="124"/>
      <c r="MVZ22" s="124"/>
      <c r="MWA22" s="124"/>
      <c r="MWB22" s="124"/>
      <c r="MWC22" s="124"/>
      <c r="MWD22" s="124"/>
      <c r="MWE22" s="124"/>
      <c r="MWF22" s="124"/>
      <c r="MWG22" s="124"/>
      <c r="MWH22" s="124"/>
      <c r="MWI22" s="124"/>
      <c r="MWJ22" s="124"/>
      <c r="MWK22" s="124"/>
      <c r="MWL22" s="124"/>
      <c r="MWM22" s="124"/>
      <c r="MWN22" s="124"/>
      <c r="MWO22" s="124"/>
      <c r="MWP22" s="124"/>
      <c r="MWQ22" s="124"/>
      <c r="MWR22" s="124"/>
      <c r="MWS22" s="124"/>
      <c r="MWT22" s="124"/>
      <c r="MWU22" s="124"/>
      <c r="MWV22" s="124"/>
      <c r="MWW22" s="124"/>
      <c r="MWX22" s="124"/>
      <c r="MWY22" s="124"/>
      <c r="MWZ22" s="124"/>
      <c r="MXA22" s="124"/>
      <c r="MXB22" s="124"/>
      <c r="MXC22" s="124"/>
      <c r="MXD22" s="124"/>
      <c r="MXE22" s="124"/>
      <c r="MXF22" s="124"/>
      <c r="MXG22" s="124"/>
      <c r="MXH22" s="124"/>
      <c r="MXI22" s="124"/>
      <c r="MXJ22" s="124"/>
      <c r="MXK22" s="124"/>
      <c r="MXL22" s="124"/>
      <c r="MXM22" s="124"/>
      <c r="MXN22" s="124"/>
      <c r="MXO22" s="124"/>
      <c r="MXP22" s="124"/>
      <c r="MXQ22" s="124"/>
      <c r="MXR22" s="124"/>
      <c r="MXS22" s="124"/>
      <c r="MXT22" s="124"/>
      <c r="MXU22" s="124"/>
      <c r="MXV22" s="124"/>
      <c r="MXW22" s="124"/>
      <c r="MXX22" s="124"/>
      <c r="MXY22" s="124"/>
      <c r="MXZ22" s="124"/>
      <c r="MYA22" s="124"/>
      <c r="MYB22" s="124"/>
      <c r="MYC22" s="124"/>
      <c r="MYD22" s="124"/>
      <c r="MYE22" s="124"/>
      <c r="MYF22" s="124"/>
      <c r="MYG22" s="124"/>
      <c r="MYH22" s="124"/>
      <c r="MYI22" s="124"/>
      <c r="MYJ22" s="124"/>
      <c r="MYK22" s="124"/>
      <c r="MYL22" s="124"/>
      <c r="MYM22" s="124"/>
      <c r="MYN22" s="124"/>
      <c r="MYO22" s="124"/>
      <c r="MYP22" s="124"/>
      <c r="MYQ22" s="124"/>
      <c r="MYR22" s="124"/>
      <c r="MYS22" s="124"/>
      <c r="MYT22" s="124"/>
      <c r="MYU22" s="124"/>
      <c r="MYV22" s="124"/>
      <c r="MYW22" s="124"/>
      <c r="MYX22" s="124"/>
      <c r="MYY22" s="124"/>
      <c r="MYZ22" s="124"/>
      <c r="MZA22" s="124"/>
      <c r="MZB22" s="124"/>
      <c r="MZC22" s="124"/>
      <c r="MZD22" s="124"/>
      <c r="MZE22" s="124"/>
      <c r="MZF22" s="124"/>
      <c r="MZG22" s="124"/>
      <c r="MZH22" s="124"/>
      <c r="MZI22" s="124"/>
      <c r="MZJ22" s="124"/>
      <c r="MZK22" s="124"/>
      <c r="MZL22" s="124"/>
      <c r="MZM22" s="124"/>
      <c r="MZN22" s="124"/>
      <c r="MZO22" s="124"/>
      <c r="MZP22" s="124"/>
      <c r="MZQ22" s="124"/>
      <c r="MZR22" s="124"/>
      <c r="MZS22" s="124"/>
      <c r="MZT22" s="124"/>
      <c r="MZU22" s="124"/>
      <c r="MZV22" s="124"/>
      <c r="MZW22" s="124"/>
      <c r="MZX22" s="124"/>
      <c r="MZY22" s="124"/>
      <c r="MZZ22" s="124"/>
      <c r="NAA22" s="124"/>
      <c r="NAB22" s="124"/>
      <c r="NAC22" s="124"/>
      <c r="NAD22" s="124"/>
      <c r="NAE22" s="124"/>
      <c r="NAF22" s="124"/>
      <c r="NAG22" s="124"/>
      <c r="NAH22" s="124"/>
      <c r="NAI22" s="124"/>
      <c r="NAJ22" s="124"/>
      <c r="NAK22" s="124"/>
      <c r="NAL22" s="124"/>
      <c r="NAM22" s="124"/>
      <c r="NAN22" s="124"/>
      <c r="NAO22" s="124"/>
      <c r="NAP22" s="124"/>
      <c r="NAQ22" s="124"/>
      <c r="NAR22" s="124"/>
      <c r="NAS22" s="124"/>
      <c r="NAT22" s="124"/>
      <c r="NAU22" s="124"/>
      <c r="NAV22" s="124"/>
      <c r="NAW22" s="124"/>
      <c r="NAX22" s="124"/>
      <c r="NAY22" s="124"/>
      <c r="NAZ22" s="124"/>
      <c r="NBA22" s="124"/>
      <c r="NBB22" s="124"/>
      <c r="NBC22" s="124"/>
      <c r="NBD22" s="124"/>
      <c r="NBE22" s="124"/>
      <c r="NBF22" s="124"/>
      <c r="NBG22" s="124"/>
      <c r="NBH22" s="124"/>
      <c r="NBI22" s="124"/>
      <c r="NBJ22" s="124"/>
      <c r="NBK22" s="124"/>
      <c r="NBL22" s="124"/>
      <c r="NBM22" s="124"/>
      <c r="NBN22" s="124"/>
      <c r="NBO22" s="124"/>
      <c r="NBP22" s="124"/>
      <c r="NBQ22" s="124"/>
      <c r="NBR22" s="124"/>
      <c r="NBS22" s="124"/>
      <c r="NBT22" s="124"/>
      <c r="NBU22" s="124"/>
      <c r="NBV22" s="124"/>
      <c r="NBW22" s="124"/>
      <c r="NBX22" s="124"/>
      <c r="NBY22" s="124"/>
      <c r="NBZ22" s="124"/>
      <c r="NCA22" s="124"/>
      <c r="NCB22" s="124"/>
      <c r="NCC22" s="124"/>
      <c r="NCD22" s="124"/>
      <c r="NCE22" s="124"/>
      <c r="NCF22" s="124"/>
      <c r="NCG22" s="124"/>
      <c r="NCH22" s="124"/>
      <c r="NCI22" s="124"/>
      <c r="NCJ22" s="124"/>
      <c r="NCK22" s="124"/>
      <c r="NCL22" s="124"/>
      <c r="NCM22" s="124"/>
      <c r="NCN22" s="124"/>
      <c r="NCO22" s="124"/>
      <c r="NCP22" s="124"/>
      <c r="NCQ22" s="124"/>
      <c r="NCR22" s="124"/>
      <c r="NCS22" s="124"/>
      <c r="NCT22" s="124"/>
      <c r="NCU22" s="124"/>
      <c r="NCV22" s="124"/>
      <c r="NCW22" s="124"/>
      <c r="NCX22" s="124"/>
      <c r="NCY22" s="124"/>
      <c r="NCZ22" s="124"/>
      <c r="NDA22" s="124"/>
      <c r="NDB22" s="124"/>
      <c r="NDC22" s="124"/>
      <c r="NDD22" s="124"/>
      <c r="NDE22" s="124"/>
      <c r="NDF22" s="124"/>
      <c r="NDG22" s="124"/>
      <c r="NDH22" s="124"/>
      <c r="NDI22" s="124"/>
      <c r="NDJ22" s="124"/>
      <c r="NDK22" s="124"/>
      <c r="NDL22" s="124"/>
      <c r="NDM22" s="124"/>
      <c r="NDN22" s="124"/>
      <c r="NDO22" s="124"/>
      <c r="NDP22" s="124"/>
      <c r="NDQ22" s="124"/>
      <c r="NDR22" s="124"/>
      <c r="NDS22" s="124"/>
      <c r="NDT22" s="124"/>
      <c r="NDU22" s="124"/>
      <c r="NDV22" s="124"/>
      <c r="NDW22" s="124"/>
      <c r="NDX22" s="124"/>
      <c r="NDY22" s="124"/>
      <c r="NDZ22" s="124"/>
      <c r="NEA22" s="124"/>
      <c r="NEB22" s="124"/>
      <c r="NEC22" s="124"/>
      <c r="NED22" s="124"/>
      <c r="NEE22" s="124"/>
      <c r="NEF22" s="124"/>
      <c r="NEG22" s="124"/>
      <c r="NEH22" s="124"/>
      <c r="NEI22" s="124"/>
      <c r="NEJ22" s="124"/>
      <c r="NEK22" s="124"/>
      <c r="NEL22" s="124"/>
      <c r="NEM22" s="124"/>
      <c r="NEN22" s="124"/>
      <c r="NEO22" s="124"/>
      <c r="NEP22" s="124"/>
      <c r="NEQ22" s="124"/>
      <c r="NER22" s="124"/>
      <c r="NES22" s="124"/>
      <c r="NET22" s="124"/>
      <c r="NEU22" s="124"/>
      <c r="NEV22" s="124"/>
      <c r="NEW22" s="124"/>
      <c r="NEX22" s="124"/>
      <c r="NEY22" s="124"/>
      <c r="NEZ22" s="124"/>
      <c r="NFA22" s="124"/>
      <c r="NFB22" s="124"/>
      <c r="NFC22" s="124"/>
      <c r="NFD22" s="124"/>
      <c r="NFE22" s="124"/>
      <c r="NFF22" s="124"/>
      <c r="NFG22" s="124"/>
      <c r="NFH22" s="124"/>
      <c r="NFI22" s="124"/>
      <c r="NFJ22" s="124"/>
      <c r="NFK22" s="124"/>
      <c r="NFL22" s="124"/>
      <c r="NFM22" s="124"/>
      <c r="NFN22" s="124"/>
      <c r="NFO22" s="124"/>
      <c r="NFP22" s="124"/>
      <c r="NFQ22" s="124"/>
      <c r="NFR22" s="124"/>
      <c r="NFS22" s="124"/>
      <c r="NFT22" s="124"/>
      <c r="NFU22" s="124"/>
      <c r="NFV22" s="124"/>
      <c r="NFW22" s="124"/>
      <c r="NFX22" s="124"/>
      <c r="NFY22" s="124"/>
      <c r="NFZ22" s="124"/>
      <c r="NGA22" s="124"/>
      <c r="NGB22" s="124"/>
      <c r="NGC22" s="124"/>
      <c r="NGD22" s="124"/>
      <c r="NGE22" s="124"/>
      <c r="NGF22" s="124"/>
      <c r="NGG22" s="124"/>
      <c r="NGH22" s="124"/>
      <c r="NGI22" s="124"/>
      <c r="NGJ22" s="124"/>
      <c r="NGK22" s="124"/>
      <c r="NGL22" s="124"/>
      <c r="NGM22" s="124"/>
      <c r="NGN22" s="124"/>
      <c r="NGO22" s="124"/>
      <c r="NGP22" s="124"/>
      <c r="NGQ22" s="124"/>
      <c r="NGR22" s="124"/>
      <c r="NGS22" s="124"/>
      <c r="NGT22" s="124"/>
      <c r="NGU22" s="124"/>
      <c r="NGV22" s="124"/>
      <c r="NGW22" s="124"/>
      <c r="NGX22" s="124"/>
      <c r="NGY22" s="124"/>
      <c r="NGZ22" s="124"/>
      <c r="NHA22" s="124"/>
      <c r="NHB22" s="124"/>
      <c r="NHC22" s="124"/>
      <c r="NHD22" s="124"/>
      <c r="NHE22" s="124"/>
      <c r="NHF22" s="124"/>
      <c r="NHG22" s="124"/>
      <c r="NHH22" s="124"/>
      <c r="NHI22" s="124"/>
      <c r="NHJ22" s="124"/>
      <c r="NHK22" s="124"/>
      <c r="NHL22" s="124"/>
      <c r="NHM22" s="124"/>
      <c r="NHN22" s="124"/>
      <c r="NHO22" s="124"/>
      <c r="NHP22" s="124"/>
      <c r="NHQ22" s="124"/>
      <c r="NHR22" s="124"/>
      <c r="NHS22" s="124"/>
      <c r="NHT22" s="124"/>
      <c r="NHU22" s="124"/>
      <c r="NHV22" s="124"/>
      <c r="NHW22" s="124"/>
      <c r="NHX22" s="124"/>
      <c r="NHY22" s="124"/>
      <c r="NHZ22" s="124"/>
      <c r="NIA22" s="124"/>
      <c r="NIB22" s="124"/>
      <c r="NIC22" s="124"/>
      <c r="NID22" s="124"/>
      <c r="NIE22" s="124"/>
      <c r="NIF22" s="124"/>
      <c r="NIG22" s="124"/>
      <c r="NIH22" s="124"/>
      <c r="NII22" s="124"/>
      <c r="NIJ22" s="124"/>
      <c r="NIK22" s="124"/>
      <c r="NIL22" s="124"/>
      <c r="NIM22" s="124"/>
      <c r="NIN22" s="124"/>
      <c r="NIO22" s="124"/>
      <c r="NIP22" s="124"/>
      <c r="NIQ22" s="124"/>
      <c r="NIR22" s="124"/>
      <c r="NIS22" s="124"/>
      <c r="NIT22" s="124"/>
      <c r="NIU22" s="124"/>
      <c r="NIV22" s="124"/>
      <c r="NIW22" s="124"/>
      <c r="NIX22" s="124"/>
      <c r="NIY22" s="124"/>
      <c r="NIZ22" s="124"/>
      <c r="NJA22" s="124"/>
      <c r="NJB22" s="124"/>
      <c r="NJC22" s="124"/>
      <c r="NJD22" s="124"/>
      <c r="NJE22" s="124"/>
      <c r="NJF22" s="124"/>
      <c r="NJG22" s="124"/>
      <c r="NJH22" s="124"/>
      <c r="NJI22" s="124"/>
      <c r="NJJ22" s="124"/>
      <c r="NJK22" s="124"/>
      <c r="NJL22" s="124"/>
      <c r="NJM22" s="124"/>
      <c r="NJN22" s="124"/>
      <c r="NJO22" s="124"/>
      <c r="NJP22" s="124"/>
      <c r="NJQ22" s="124"/>
      <c r="NJR22" s="124"/>
      <c r="NJS22" s="124"/>
      <c r="NJT22" s="124"/>
      <c r="NJU22" s="124"/>
      <c r="NJV22" s="124"/>
      <c r="NJW22" s="124"/>
      <c r="NJX22" s="124"/>
      <c r="NJY22" s="124"/>
      <c r="NJZ22" s="124"/>
      <c r="NKA22" s="124"/>
      <c r="NKB22" s="124"/>
      <c r="NKC22" s="124"/>
      <c r="NKD22" s="124"/>
      <c r="NKE22" s="124"/>
      <c r="NKF22" s="124"/>
      <c r="NKG22" s="124"/>
      <c r="NKH22" s="124"/>
      <c r="NKI22" s="124"/>
      <c r="NKJ22" s="124"/>
      <c r="NKK22" s="124"/>
      <c r="NKL22" s="124"/>
      <c r="NKM22" s="124"/>
      <c r="NKN22" s="124"/>
      <c r="NKO22" s="124"/>
      <c r="NKP22" s="124"/>
      <c r="NKQ22" s="124"/>
      <c r="NKR22" s="124"/>
      <c r="NKS22" s="124"/>
      <c r="NKT22" s="124"/>
      <c r="NKU22" s="124"/>
      <c r="NKV22" s="124"/>
      <c r="NKW22" s="124"/>
      <c r="NKX22" s="124"/>
      <c r="NKY22" s="124"/>
      <c r="NKZ22" s="124"/>
      <c r="NLA22" s="124"/>
      <c r="NLB22" s="124"/>
      <c r="NLC22" s="124"/>
      <c r="NLD22" s="124"/>
      <c r="NLE22" s="124"/>
      <c r="NLF22" s="124"/>
      <c r="NLG22" s="124"/>
      <c r="NLH22" s="124"/>
      <c r="NLI22" s="124"/>
      <c r="NLJ22" s="124"/>
      <c r="NLK22" s="124"/>
      <c r="NLL22" s="124"/>
      <c r="NLM22" s="124"/>
      <c r="NLN22" s="124"/>
      <c r="NLO22" s="124"/>
      <c r="NLP22" s="124"/>
      <c r="NLQ22" s="124"/>
      <c r="NLR22" s="124"/>
      <c r="NLS22" s="124"/>
      <c r="NLT22" s="124"/>
      <c r="NLU22" s="124"/>
      <c r="NLV22" s="124"/>
      <c r="NLW22" s="124"/>
      <c r="NLX22" s="124"/>
      <c r="NLY22" s="124"/>
      <c r="NLZ22" s="124"/>
      <c r="NMA22" s="124"/>
      <c r="NMB22" s="124"/>
      <c r="NMC22" s="124"/>
      <c r="NMD22" s="124"/>
      <c r="NME22" s="124"/>
      <c r="NMF22" s="124"/>
      <c r="NMG22" s="124"/>
      <c r="NMH22" s="124"/>
      <c r="NMI22" s="124"/>
      <c r="NMJ22" s="124"/>
      <c r="NMK22" s="124"/>
      <c r="NML22" s="124"/>
      <c r="NMM22" s="124"/>
      <c r="NMN22" s="124"/>
      <c r="NMO22" s="124"/>
      <c r="NMP22" s="124"/>
      <c r="NMQ22" s="124"/>
      <c r="NMR22" s="124"/>
      <c r="NMS22" s="124"/>
      <c r="NMT22" s="124"/>
      <c r="NMU22" s="124"/>
      <c r="NMV22" s="124"/>
      <c r="NMW22" s="124"/>
      <c r="NMX22" s="124"/>
      <c r="NMY22" s="124"/>
      <c r="NMZ22" s="124"/>
      <c r="NNA22" s="124"/>
      <c r="NNB22" s="124"/>
      <c r="NNC22" s="124"/>
      <c r="NND22" s="124"/>
      <c r="NNE22" s="124"/>
      <c r="NNF22" s="124"/>
      <c r="NNG22" s="124"/>
      <c r="NNH22" s="124"/>
      <c r="NNI22" s="124"/>
      <c r="NNJ22" s="124"/>
      <c r="NNK22" s="124"/>
      <c r="NNL22" s="124"/>
      <c r="NNM22" s="124"/>
      <c r="NNN22" s="124"/>
      <c r="NNO22" s="124"/>
      <c r="NNP22" s="124"/>
      <c r="NNQ22" s="124"/>
      <c r="NNR22" s="124"/>
      <c r="NNS22" s="124"/>
      <c r="NNT22" s="124"/>
      <c r="NNU22" s="124"/>
      <c r="NNV22" s="124"/>
      <c r="NNW22" s="124"/>
      <c r="NNX22" s="124"/>
      <c r="NNY22" s="124"/>
      <c r="NNZ22" s="124"/>
      <c r="NOA22" s="124"/>
      <c r="NOB22" s="124"/>
      <c r="NOC22" s="124"/>
      <c r="NOD22" s="124"/>
      <c r="NOE22" s="124"/>
      <c r="NOF22" s="124"/>
      <c r="NOG22" s="124"/>
      <c r="NOH22" s="124"/>
      <c r="NOI22" s="124"/>
      <c r="NOJ22" s="124"/>
      <c r="NOK22" s="124"/>
      <c r="NOL22" s="124"/>
      <c r="NOM22" s="124"/>
      <c r="NON22" s="124"/>
      <c r="NOO22" s="124"/>
      <c r="NOP22" s="124"/>
      <c r="NOQ22" s="124"/>
      <c r="NOR22" s="124"/>
      <c r="NOS22" s="124"/>
      <c r="NOT22" s="124"/>
      <c r="NOU22" s="124"/>
      <c r="NOV22" s="124"/>
      <c r="NOW22" s="124"/>
      <c r="NOX22" s="124"/>
      <c r="NOY22" s="124"/>
      <c r="NOZ22" s="124"/>
      <c r="NPA22" s="124"/>
      <c r="NPB22" s="124"/>
      <c r="NPC22" s="124"/>
      <c r="NPD22" s="124"/>
      <c r="NPE22" s="124"/>
      <c r="NPF22" s="124"/>
      <c r="NPG22" s="124"/>
      <c r="NPH22" s="124"/>
      <c r="NPI22" s="124"/>
      <c r="NPJ22" s="124"/>
      <c r="NPK22" s="124"/>
      <c r="NPL22" s="124"/>
      <c r="NPM22" s="124"/>
      <c r="NPN22" s="124"/>
      <c r="NPO22" s="124"/>
      <c r="NPP22" s="124"/>
      <c r="NPQ22" s="124"/>
      <c r="NPR22" s="124"/>
      <c r="NPS22" s="124"/>
      <c r="NPT22" s="124"/>
      <c r="NPU22" s="124"/>
      <c r="NPV22" s="124"/>
      <c r="NPW22" s="124"/>
      <c r="NPX22" s="124"/>
      <c r="NPY22" s="124"/>
      <c r="NPZ22" s="124"/>
      <c r="NQA22" s="124"/>
      <c r="NQB22" s="124"/>
      <c r="NQC22" s="124"/>
      <c r="NQD22" s="124"/>
      <c r="NQE22" s="124"/>
      <c r="NQF22" s="124"/>
      <c r="NQG22" s="124"/>
      <c r="NQH22" s="124"/>
      <c r="NQI22" s="124"/>
      <c r="NQJ22" s="124"/>
      <c r="NQK22" s="124"/>
      <c r="NQL22" s="124"/>
      <c r="NQM22" s="124"/>
      <c r="NQN22" s="124"/>
      <c r="NQO22" s="124"/>
      <c r="NQP22" s="124"/>
      <c r="NQQ22" s="124"/>
      <c r="NQR22" s="124"/>
      <c r="NQS22" s="124"/>
      <c r="NQT22" s="124"/>
      <c r="NQU22" s="124"/>
      <c r="NQV22" s="124"/>
      <c r="NQW22" s="124"/>
      <c r="NQX22" s="124"/>
      <c r="NQY22" s="124"/>
      <c r="NQZ22" s="124"/>
      <c r="NRA22" s="124"/>
      <c r="NRB22" s="124"/>
      <c r="NRC22" s="124"/>
      <c r="NRD22" s="124"/>
      <c r="NRE22" s="124"/>
      <c r="NRF22" s="124"/>
      <c r="NRG22" s="124"/>
      <c r="NRH22" s="124"/>
      <c r="NRI22" s="124"/>
      <c r="NRJ22" s="124"/>
      <c r="NRK22" s="124"/>
      <c r="NRL22" s="124"/>
      <c r="NRM22" s="124"/>
      <c r="NRN22" s="124"/>
      <c r="NRO22" s="124"/>
      <c r="NRP22" s="124"/>
      <c r="NRQ22" s="124"/>
      <c r="NRR22" s="124"/>
      <c r="NRS22" s="124"/>
      <c r="NRT22" s="124"/>
      <c r="NRU22" s="124"/>
      <c r="NRV22" s="124"/>
      <c r="NRW22" s="124"/>
      <c r="NRX22" s="124"/>
      <c r="NRY22" s="124"/>
      <c r="NRZ22" s="124"/>
      <c r="NSA22" s="124"/>
      <c r="NSB22" s="124"/>
      <c r="NSC22" s="124"/>
      <c r="NSD22" s="124"/>
      <c r="NSE22" s="124"/>
      <c r="NSF22" s="124"/>
      <c r="NSG22" s="124"/>
      <c r="NSH22" s="124"/>
      <c r="NSI22" s="124"/>
      <c r="NSJ22" s="124"/>
      <c r="NSK22" s="124"/>
      <c r="NSL22" s="124"/>
      <c r="NSM22" s="124"/>
      <c r="NSN22" s="124"/>
      <c r="NSO22" s="124"/>
      <c r="NSP22" s="124"/>
      <c r="NSQ22" s="124"/>
      <c r="NSR22" s="124"/>
      <c r="NSS22" s="124"/>
      <c r="NST22" s="124"/>
      <c r="NSU22" s="124"/>
      <c r="NSV22" s="124"/>
      <c r="NSW22" s="124"/>
      <c r="NSX22" s="124"/>
      <c r="NSY22" s="124"/>
      <c r="NSZ22" s="124"/>
      <c r="NTA22" s="124"/>
      <c r="NTB22" s="124"/>
      <c r="NTC22" s="124"/>
      <c r="NTD22" s="124"/>
      <c r="NTE22" s="124"/>
      <c r="NTF22" s="124"/>
      <c r="NTG22" s="124"/>
      <c r="NTH22" s="124"/>
      <c r="NTI22" s="124"/>
      <c r="NTJ22" s="124"/>
      <c r="NTK22" s="124"/>
      <c r="NTL22" s="124"/>
      <c r="NTM22" s="124"/>
      <c r="NTN22" s="124"/>
      <c r="NTO22" s="124"/>
      <c r="NTP22" s="124"/>
      <c r="NTQ22" s="124"/>
      <c r="NTR22" s="124"/>
      <c r="NTS22" s="124"/>
      <c r="NTT22" s="124"/>
      <c r="NTU22" s="124"/>
      <c r="NTV22" s="124"/>
      <c r="NTW22" s="124"/>
      <c r="NTX22" s="124"/>
      <c r="NTY22" s="124"/>
      <c r="NTZ22" s="124"/>
      <c r="NUA22" s="124"/>
      <c r="NUB22" s="124"/>
      <c r="NUC22" s="124"/>
      <c r="NUD22" s="124"/>
      <c r="NUE22" s="124"/>
      <c r="NUF22" s="124"/>
      <c r="NUG22" s="124"/>
      <c r="NUH22" s="124"/>
      <c r="NUI22" s="124"/>
      <c r="NUJ22" s="124"/>
      <c r="NUK22" s="124"/>
      <c r="NUL22" s="124"/>
      <c r="NUM22" s="124"/>
      <c r="NUN22" s="124"/>
      <c r="NUO22" s="124"/>
      <c r="NUP22" s="124"/>
      <c r="NUQ22" s="124"/>
      <c r="NUR22" s="124"/>
      <c r="NUS22" s="124"/>
      <c r="NUT22" s="124"/>
      <c r="NUU22" s="124"/>
      <c r="NUV22" s="124"/>
      <c r="NUW22" s="124"/>
      <c r="NUX22" s="124"/>
      <c r="NUY22" s="124"/>
      <c r="NUZ22" s="124"/>
      <c r="NVA22" s="124"/>
      <c r="NVB22" s="124"/>
      <c r="NVC22" s="124"/>
      <c r="NVD22" s="124"/>
      <c r="NVE22" s="124"/>
      <c r="NVF22" s="124"/>
      <c r="NVG22" s="124"/>
      <c r="NVH22" s="124"/>
      <c r="NVI22" s="124"/>
      <c r="NVJ22" s="124"/>
      <c r="NVK22" s="124"/>
      <c r="NVL22" s="124"/>
      <c r="NVM22" s="124"/>
      <c r="NVN22" s="124"/>
      <c r="NVO22" s="124"/>
      <c r="NVP22" s="124"/>
      <c r="NVQ22" s="124"/>
      <c r="NVR22" s="124"/>
      <c r="NVS22" s="124"/>
      <c r="NVT22" s="124"/>
      <c r="NVU22" s="124"/>
      <c r="NVV22" s="124"/>
      <c r="NVW22" s="124"/>
      <c r="NVX22" s="124"/>
      <c r="NVY22" s="124"/>
      <c r="NVZ22" s="124"/>
      <c r="NWA22" s="124"/>
      <c r="NWB22" s="124"/>
      <c r="NWC22" s="124"/>
      <c r="NWD22" s="124"/>
      <c r="NWE22" s="124"/>
      <c r="NWF22" s="124"/>
      <c r="NWG22" s="124"/>
      <c r="NWH22" s="124"/>
      <c r="NWI22" s="124"/>
      <c r="NWJ22" s="124"/>
      <c r="NWK22" s="124"/>
      <c r="NWL22" s="124"/>
      <c r="NWM22" s="124"/>
      <c r="NWN22" s="124"/>
      <c r="NWO22" s="124"/>
      <c r="NWP22" s="124"/>
      <c r="NWQ22" s="124"/>
      <c r="NWR22" s="124"/>
      <c r="NWS22" s="124"/>
      <c r="NWT22" s="124"/>
      <c r="NWU22" s="124"/>
      <c r="NWV22" s="124"/>
      <c r="NWW22" s="124"/>
      <c r="NWX22" s="124"/>
      <c r="NWY22" s="124"/>
      <c r="NWZ22" s="124"/>
      <c r="NXA22" s="124"/>
      <c r="NXB22" s="124"/>
      <c r="NXC22" s="124"/>
      <c r="NXD22" s="124"/>
      <c r="NXE22" s="124"/>
      <c r="NXF22" s="124"/>
      <c r="NXG22" s="124"/>
      <c r="NXH22" s="124"/>
      <c r="NXI22" s="124"/>
      <c r="NXJ22" s="124"/>
      <c r="NXK22" s="124"/>
      <c r="NXL22" s="124"/>
      <c r="NXM22" s="124"/>
      <c r="NXN22" s="124"/>
      <c r="NXO22" s="124"/>
      <c r="NXP22" s="124"/>
      <c r="NXQ22" s="124"/>
      <c r="NXR22" s="124"/>
      <c r="NXS22" s="124"/>
      <c r="NXT22" s="124"/>
      <c r="NXU22" s="124"/>
      <c r="NXV22" s="124"/>
      <c r="NXW22" s="124"/>
      <c r="NXX22" s="124"/>
      <c r="NXY22" s="124"/>
      <c r="NXZ22" s="124"/>
      <c r="NYA22" s="124"/>
      <c r="NYB22" s="124"/>
      <c r="NYC22" s="124"/>
      <c r="NYD22" s="124"/>
      <c r="NYE22" s="124"/>
      <c r="NYF22" s="124"/>
      <c r="NYG22" s="124"/>
      <c r="NYH22" s="124"/>
      <c r="NYI22" s="124"/>
      <c r="NYJ22" s="124"/>
      <c r="NYK22" s="124"/>
      <c r="NYL22" s="124"/>
      <c r="NYM22" s="124"/>
      <c r="NYN22" s="124"/>
      <c r="NYO22" s="124"/>
      <c r="NYP22" s="124"/>
      <c r="NYQ22" s="124"/>
      <c r="NYR22" s="124"/>
      <c r="NYS22" s="124"/>
      <c r="NYT22" s="124"/>
      <c r="NYU22" s="124"/>
      <c r="NYV22" s="124"/>
      <c r="NYW22" s="124"/>
      <c r="NYX22" s="124"/>
      <c r="NYY22" s="124"/>
      <c r="NYZ22" s="124"/>
      <c r="NZA22" s="124"/>
      <c r="NZB22" s="124"/>
      <c r="NZC22" s="124"/>
      <c r="NZD22" s="124"/>
      <c r="NZE22" s="124"/>
      <c r="NZF22" s="124"/>
      <c r="NZG22" s="124"/>
      <c r="NZH22" s="124"/>
      <c r="NZI22" s="124"/>
      <c r="NZJ22" s="124"/>
      <c r="NZK22" s="124"/>
      <c r="NZL22" s="124"/>
      <c r="NZM22" s="124"/>
      <c r="NZN22" s="124"/>
      <c r="NZO22" s="124"/>
      <c r="NZP22" s="124"/>
      <c r="NZQ22" s="124"/>
      <c r="NZR22" s="124"/>
      <c r="NZS22" s="124"/>
      <c r="NZT22" s="124"/>
      <c r="NZU22" s="124"/>
      <c r="NZV22" s="124"/>
      <c r="NZW22" s="124"/>
      <c r="NZX22" s="124"/>
      <c r="NZY22" s="124"/>
      <c r="NZZ22" s="124"/>
      <c r="OAA22" s="124"/>
      <c r="OAB22" s="124"/>
      <c r="OAC22" s="124"/>
      <c r="OAD22" s="124"/>
      <c r="OAE22" s="124"/>
      <c r="OAF22" s="124"/>
      <c r="OAG22" s="124"/>
      <c r="OAH22" s="124"/>
      <c r="OAI22" s="124"/>
      <c r="OAJ22" s="124"/>
      <c r="OAK22" s="124"/>
      <c r="OAL22" s="124"/>
      <c r="OAM22" s="124"/>
      <c r="OAN22" s="124"/>
      <c r="OAO22" s="124"/>
      <c r="OAP22" s="124"/>
      <c r="OAQ22" s="124"/>
      <c r="OAR22" s="124"/>
      <c r="OAS22" s="124"/>
      <c r="OAT22" s="124"/>
      <c r="OAU22" s="124"/>
      <c r="OAV22" s="124"/>
      <c r="OAW22" s="124"/>
      <c r="OAX22" s="124"/>
      <c r="OAY22" s="124"/>
      <c r="OAZ22" s="124"/>
      <c r="OBA22" s="124"/>
      <c r="OBB22" s="124"/>
      <c r="OBC22" s="124"/>
      <c r="OBD22" s="124"/>
      <c r="OBE22" s="124"/>
      <c r="OBF22" s="124"/>
      <c r="OBG22" s="124"/>
      <c r="OBH22" s="124"/>
      <c r="OBI22" s="124"/>
      <c r="OBJ22" s="124"/>
      <c r="OBK22" s="124"/>
      <c r="OBL22" s="124"/>
      <c r="OBM22" s="124"/>
      <c r="OBN22" s="124"/>
      <c r="OBO22" s="124"/>
      <c r="OBP22" s="124"/>
      <c r="OBQ22" s="124"/>
      <c r="OBR22" s="124"/>
      <c r="OBS22" s="124"/>
      <c r="OBT22" s="124"/>
      <c r="OBU22" s="124"/>
      <c r="OBV22" s="124"/>
      <c r="OBW22" s="124"/>
      <c r="OBX22" s="124"/>
      <c r="OBY22" s="124"/>
      <c r="OBZ22" s="124"/>
      <c r="OCA22" s="124"/>
      <c r="OCB22" s="124"/>
      <c r="OCC22" s="124"/>
      <c r="OCD22" s="124"/>
      <c r="OCE22" s="124"/>
      <c r="OCF22" s="124"/>
      <c r="OCG22" s="124"/>
      <c r="OCH22" s="124"/>
      <c r="OCI22" s="124"/>
      <c r="OCJ22" s="124"/>
      <c r="OCK22" s="124"/>
      <c r="OCL22" s="124"/>
      <c r="OCM22" s="124"/>
      <c r="OCN22" s="124"/>
      <c r="OCO22" s="124"/>
      <c r="OCP22" s="124"/>
      <c r="OCQ22" s="124"/>
      <c r="OCR22" s="124"/>
      <c r="OCS22" s="124"/>
      <c r="OCT22" s="124"/>
      <c r="OCU22" s="124"/>
      <c r="OCV22" s="124"/>
      <c r="OCW22" s="124"/>
      <c r="OCX22" s="124"/>
      <c r="OCY22" s="124"/>
      <c r="OCZ22" s="124"/>
      <c r="ODA22" s="124"/>
      <c r="ODB22" s="124"/>
      <c r="ODC22" s="124"/>
      <c r="ODD22" s="124"/>
      <c r="ODE22" s="124"/>
      <c r="ODF22" s="124"/>
      <c r="ODG22" s="124"/>
      <c r="ODH22" s="124"/>
      <c r="ODI22" s="124"/>
      <c r="ODJ22" s="124"/>
      <c r="ODK22" s="124"/>
      <c r="ODL22" s="124"/>
      <c r="ODM22" s="124"/>
      <c r="ODN22" s="124"/>
      <c r="ODO22" s="124"/>
      <c r="ODP22" s="124"/>
      <c r="ODQ22" s="124"/>
      <c r="ODR22" s="124"/>
      <c r="ODS22" s="124"/>
      <c r="ODT22" s="124"/>
      <c r="ODU22" s="124"/>
      <c r="ODV22" s="124"/>
      <c r="ODW22" s="124"/>
      <c r="ODX22" s="124"/>
      <c r="ODY22" s="124"/>
      <c r="ODZ22" s="124"/>
      <c r="OEA22" s="124"/>
      <c r="OEB22" s="124"/>
      <c r="OEC22" s="124"/>
      <c r="OED22" s="124"/>
      <c r="OEE22" s="124"/>
      <c r="OEF22" s="124"/>
      <c r="OEG22" s="124"/>
      <c r="OEH22" s="124"/>
      <c r="OEI22" s="124"/>
      <c r="OEJ22" s="124"/>
      <c r="OEK22" s="124"/>
      <c r="OEL22" s="124"/>
      <c r="OEM22" s="124"/>
      <c r="OEN22" s="124"/>
      <c r="OEO22" s="124"/>
      <c r="OEP22" s="124"/>
      <c r="OEQ22" s="124"/>
      <c r="OER22" s="124"/>
      <c r="OES22" s="124"/>
      <c r="OET22" s="124"/>
      <c r="OEU22" s="124"/>
      <c r="OEV22" s="124"/>
      <c r="OEW22" s="124"/>
      <c r="OEX22" s="124"/>
      <c r="OEY22" s="124"/>
      <c r="OEZ22" s="124"/>
      <c r="OFA22" s="124"/>
      <c r="OFB22" s="124"/>
      <c r="OFC22" s="124"/>
      <c r="OFD22" s="124"/>
      <c r="OFE22" s="124"/>
      <c r="OFF22" s="124"/>
      <c r="OFG22" s="124"/>
      <c r="OFH22" s="124"/>
      <c r="OFI22" s="124"/>
      <c r="OFJ22" s="124"/>
      <c r="OFK22" s="124"/>
      <c r="OFL22" s="124"/>
      <c r="OFM22" s="124"/>
      <c r="OFN22" s="124"/>
      <c r="OFO22" s="124"/>
      <c r="OFP22" s="124"/>
      <c r="OFQ22" s="124"/>
      <c r="OFR22" s="124"/>
      <c r="OFS22" s="124"/>
      <c r="OFT22" s="124"/>
      <c r="OFU22" s="124"/>
      <c r="OFV22" s="124"/>
      <c r="OFW22" s="124"/>
      <c r="OFX22" s="124"/>
      <c r="OFY22" s="124"/>
      <c r="OFZ22" s="124"/>
      <c r="OGA22" s="124"/>
      <c r="OGB22" s="124"/>
      <c r="OGC22" s="124"/>
      <c r="OGD22" s="124"/>
      <c r="OGE22" s="124"/>
      <c r="OGF22" s="124"/>
      <c r="OGG22" s="124"/>
      <c r="OGH22" s="124"/>
      <c r="OGI22" s="124"/>
      <c r="OGJ22" s="124"/>
      <c r="OGK22" s="124"/>
      <c r="OGL22" s="124"/>
      <c r="OGM22" s="124"/>
      <c r="OGN22" s="124"/>
      <c r="OGO22" s="124"/>
      <c r="OGP22" s="124"/>
      <c r="OGQ22" s="124"/>
      <c r="OGR22" s="124"/>
      <c r="OGS22" s="124"/>
      <c r="OGT22" s="124"/>
      <c r="OGU22" s="124"/>
      <c r="OGV22" s="124"/>
      <c r="OGW22" s="124"/>
      <c r="OGX22" s="124"/>
      <c r="OGY22" s="124"/>
      <c r="OGZ22" s="124"/>
      <c r="OHA22" s="124"/>
      <c r="OHB22" s="124"/>
      <c r="OHC22" s="124"/>
      <c r="OHD22" s="124"/>
      <c r="OHE22" s="124"/>
      <c r="OHF22" s="124"/>
      <c r="OHG22" s="124"/>
      <c r="OHH22" s="124"/>
      <c r="OHI22" s="124"/>
      <c r="OHJ22" s="124"/>
      <c r="OHK22" s="124"/>
      <c r="OHL22" s="124"/>
      <c r="OHM22" s="124"/>
      <c r="OHN22" s="124"/>
      <c r="OHO22" s="124"/>
      <c r="OHP22" s="124"/>
      <c r="OHQ22" s="124"/>
      <c r="OHR22" s="124"/>
      <c r="OHS22" s="124"/>
      <c r="OHT22" s="124"/>
      <c r="OHU22" s="124"/>
      <c r="OHV22" s="124"/>
      <c r="OHW22" s="124"/>
      <c r="OHX22" s="124"/>
      <c r="OHY22" s="124"/>
      <c r="OHZ22" s="124"/>
      <c r="OIA22" s="124"/>
      <c r="OIB22" s="124"/>
      <c r="OIC22" s="124"/>
      <c r="OID22" s="124"/>
      <c r="OIE22" s="124"/>
      <c r="OIF22" s="124"/>
      <c r="OIG22" s="124"/>
      <c r="OIH22" s="124"/>
      <c r="OII22" s="124"/>
      <c r="OIJ22" s="124"/>
      <c r="OIK22" s="124"/>
      <c r="OIL22" s="124"/>
      <c r="OIM22" s="124"/>
      <c r="OIN22" s="124"/>
      <c r="OIO22" s="124"/>
      <c r="OIP22" s="124"/>
      <c r="OIQ22" s="124"/>
      <c r="OIR22" s="124"/>
      <c r="OIS22" s="124"/>
      <c r="OIT22" s="124"/>
      <c r="OIU22" s="124"/>
      <c r="OIV22" s="124"/>
      <c r="OIW22" s="124"/>
      <c r="OIX22" s="124"/>
      <c r="OIY22" s="124"/>
      <c r="OIZ22" s="124"/>
      <c r="OJA22" s="124"/>
      <c r="OJB22" s="124"/>
      <c r="OJC22" s="124"/>
      <c r="OJD22" s="124"/>
      <c r="OJE22" s="124"/>
      <c r="OJF22" s="124"/>
      <c r="OJG22" s="124"/>
      <c r="OJH22" s="124"/>
      <c r="OJI22" s="124"/>
      <c r="OJJ22" s="124"/>
      <c r="OJK22" s="124"/>
      <c r="OJL22" s="124"/>
      <c r="OJM22" s="124"/>
      <c r="OJN22" s="124"/>
      <c r="OJO22" s="124"/>
      <c r="OJP22" s="124"/>
      <c r="OJQ22" s="124"/>
      <c r="OJR22" s="124"/>
      <c r="OJS22" s="124"/>
      <c r="OJT22" s="124"/>
      <c r="OJU22" s="124"/>
      <c r="OJV22" s="124"/>
      <c r="OJW22" s="124"/>
      <c r="OJX22" s="124"/>
      <c r="OJY22" s="124"/>
      <c r="OJZ22" s="124"/>
      <c r="OKA22" s="124"/>
      <c r="OKB22" s="124"/>
      <c r="OKC22" s="124"/>
      <c r="OKD22" s="124"/>
      <c r="OKE22" s="124"/>
      <c r="OKF22" s="124"/>
      <c r="OKG22" s="124"/>
      <c r="OKH22" s="124"/>
      <c r="OKI22" s="124"/>
      <c r="OKJ22" s="124"/>
      <c r="OKK22" s="124"/>
      <c r="OKL22" s="124"/>
      <c r="OKM22" s="124"/>
      <c r="OKN22" s="124"/>
      <c r="OKO22" s="124"/>
      <c r="OKP22" s="124"/>
      <c r="OKQ22" s="124"/>
      <c r="OKR22" s="124"/>
      <c r="OKS22" s="124"/>
      <c r="OKT22" s="124"/>
      <c r="OKU22" s="124"/>
      <c r="OKV22" s="124"/>
      <c r="OKW22" s="124"/>
      <c r="OKX22" s="124"/>
      <c r="OKY22" s="124"/>
      <c r="OKZ22" s="124"/>
      <c r="OLA22" s="124"/>
      <c r="OLB22" s="124"/>
      <c r="OLC22" s="124"/>
      <c r="OLD22" s="124"/>
      <c r="OLE22" s="124"/>
      <c r="OLF22" s="124"/>
      <c r="OLG22" s="124"/>
      <c r="OLH22" s="124"/>
      <c r="OLI22" s="124"/>
      <c r="OLJ22" s="124"/>
      <c r="OLK22" s="124"/>
      <c r="OLL22" s="124"/>
      <c r="OLM22" s="124"/>
      <c r="OLN22" s="124"/>
      <c r="OLO22" s="124"/>
      <c r="OLP22" s="124"/>
      <c r="OLQ22" s="124"/>
      <c r="OLR22" s="124"/>
      <c r="OLS22" s="124"/>
      <c r="OLT22" s="124"/>
      <c r="OLU22" s="124"/>
      <c r="OLV22" s="124"/>
      <c r="OLW22" s="124"/>
      <c r="OLX22" s="124"/>
      <c r="OLY22" s="124"/>
      <c r="OLZ22" s="124"/>
      <c r="OMA22" s="124"/>
      <c r="OMB22" s="124"/>
      <c r="OMC22" s="124"/>
      <c r="OMD22" s="124"/>
      <c r="OME22" s="124"/>
      <c r="OMF22" s="124"/>
      <c r="OMG22" s="124"/>
      <c r="OMH22" s="124"/>
      <c r="OMI22" s="124"/>
      <c r="OMJ22" s="124"/>
      <c r="OMK22" s="124"/>
      <c r="OML22" s="124"/>
      <c r="OMM22" s="124"/>
      <c r="OMN22" s="124"/>
      <c r="OMO22" s="124"/>
      <c r="OMP22" s="124"/>
      <c r="OMQ22" s="124"/>
      <c r="OMR22" s="124"/>
      <c r="OMS22" s="124"/>
      <c r="OMT22" s="124"/>
      <c r="OMU22" s="124"/>
      <c r="OMV22" s="124"/>
      <c r="OMW22" s="124"/>
      <c r="OMX22" s="124"/>
      <c r="OMY22" s="124"/>
      <c r="OMZ22" s="124"/>
      <c r="ONA22" s="124"/>
      <c r="ONB22" s="124"/>
      <c r="ONC22" s="124"/>
      <c r="OND22" s="124"/>
      <c r="ONE22" s="124"/>
      <c r="ONF22" s="124"/>
      <c r="ONG22" s="124"/>
      <c r="ONH22" s="124"/>
      <c r="ONI22" s="124"/>
      <c r="ONJ22" s="124"/>
      <c r="ONK22" s="124"/>
      <c r="ONL22" s="124"/>
      <c r="ONM22" s="124"/>
      <c r="ONN22" s="124"/>
      <c r="ONO22" s="124"/>
      <c r="ONP22" s="124"/>
      <c r="ONQ22" s="124"/>
      <c r="ONR22" s="124"/>
      <c r="ONS22" s="124"/>
      <c r="ONT22" s="124"/>
      <c r="ONU22" s="124"/>
      <c r="ONV22" s="124"/>
      <c r="ONW22" s="124"/>
      <c r="ONX22" s="124"/>
      <c r="ONY22" s="124"/>
      <c r="ONZ22" s="124"/>
      <c r="OOA22" s="124"/>
      <c r="OOB22" s="124"/>
      <c r="OOC22" s="124"/>
      <c r="OOD22" s="124"/>
      <c r="OOE22" s="124"/>
      <c r="OOF22" s="124"/>
      <c r="OOG22" s="124"/>
      <c r="OOH22" s="124"/>
      <c r="OOI22" s="124"/>
      <c r="OOJ22" s="124"/>
      <c r="OOK22" s="124"/>
      <c r="OOL22" s="124"/>
      <c r="OOM22" s="124"/>
      <c r="OON22" s="124"/>
      <c r="OOO22" s="124"/>
      <c r="OOP22" s="124"/>
      <c r="OOQ22" s="124"/>
      <c r="OOR22" s="124"/>
      <c r="OOS22" s="124"/>
      <c r="OOT22" s="124"/>
      <c r="OOU22" s="124"/>
      <c r="OOV22" s="124"/>
      <c r="OOW22" s="124"/>
      <c r="OOX22" s="124"/>
      <c r="OOY22" s="124"/>
      <c r="OOZ22" s="124"/>
      <c r="OPA22" s="124"/>
      <c r="OPB22" s="124"/>
      <c r="OPC22" s="124"/>
      <c r="OPD22" s="124"/>
      <c r="OPE22" s="124"/>
      <c r="OPF22" s="124"/>
      <c r="OPG22" s="124"/>
      <c r="OPH22" s="124"/>
      <c r="OPI22" s="124"/>
      <c r="OPJ22" s="124"/>
      <c r="OPK22" s="124"/>
      <c r="OPL22" s="124"/>
      <c r="OPM22" s="124"/>
      <c r="OPN22" s="124"/>
      <c r="OPO22" s="124"/>
      <c r="OPP22" s="124"/>
      <c r="OPQ22" s="124"/>
      <c r="OPR22" s="124"/>
      <c r="OPS22" s="124"/>
      <c r="OPT22" s="124"/>
      <c r="OPU22" s="124"/>
      <c r="OPV22" s="124"/>
      <c r="OPW22" s="124"/>
      <c r="OPX22" s="124"/>
      <c r="OPY22" s="124"/>
      <c r="OPZ22" s="124"/>
      <c r="OQA22" s="124"/>
      <c r="OQB22" s="124"/>
      <c r="OQC22" s="124"/>
      <c r="OQD22" s="124"/>
      <c r="OQE22" s="124"/>
      <c r="OQF22" s="124"/>
      <c r="OQG22" s="124"/>
      <c r="OQH22" s="124"/>
      <c r="OQI22" s="124"/>
      <c r="OQJ22" s="124"/>
      <c r="OQK22" s="124"/>
      <c r="OQL22" s="124"/>
      <c r="OQM22" s="124"/>
      <c r="OQN22" s="124"/>
      <c r="OQO22" s="124"/>
      <c r="OQP22" s="124"/>
      <c r="OQQ22" s="124"/>
      <c r="OQR22" s="124"/>
      <c r="OQS22" s="124"/>
      <c r="OQT22" s="124"/>
      <c r="OQU22" s="124"/>
      <c r="OQV22" s="124"/>
      <c r="OQW22" s="124"/>
      <c r="OQX22" s="124"/>
      <c r="OQY22" s="124"/>
      <c r="OQZ22" s="124"/>
      <c r="ORA22" s="124"/>
      <c r="ORB22" s="124"/>
      <c r="ORC22" s="124"/>
      <c r="ORD22" s="124"/>
      <c r="ORE22" s="124"/>
      <c r="ORF22" s="124"/>
      <c r="ORG22" s="124"/>
      <c r="ORH22" s="124"/>
      <c r="ORI22" s="124"/>
      <c r="ORJ22" s="124"/>
      <c r="ORK22" s="124"/>
      <c r="ORL22" s="124"/>
      <c r="ORM22" s="124"/>
      <c r="ORN22" s="124"/>
      <c r="ORO22" s="124"/>
      <c r="ORP22" s="124"/>
      <c r="ORQ22" s="124"/>
      <c r="ORR22" s="124"/>
      <c r="ORS22" s="124"/>
      <c r="ORT22" s="124"/>
      <c r="ORU22" s="124"/>
      <c r="ORV22" s="124"/>
      <c r="ORW22" s="124"/>
      <c r="ORX22" s="124"/>
      <c r="ORY22" s="124"/>
      <c r="ORZ22" s="124"/>
      <c r="OSA22" s="124"/>
      <c r="OSB22" s="124"/>
      <c r="OSC22" s="124"/>
      <c r="OSD22" s="124"/>
      <c r="OSE22" s="124"/>
      <c r="OSF22" s="124"/>
      <c r="OSG22" s="124"/>
      <c r="OSH22" s="124"/>
      <c r="OSI22" s="124"/>
      <c r="OSJ22" s="124"/>
      <c r="OSK22" s="124"/>
      <c r="OSL22" s="124"/>
      <c r="OSM22" s="124"/>
      <c r="OSN22" s="124"/>
      <c r="OSO22" s="124"/>
      <c r="OSP22" s="124"/>
      <c r="OSQ22" s="124"/>
      <c r="OSR22" s="124"/>
      <c r="OSS22" s="124"/>
      <c r="OST22" s="124"/>
      <c r="OSU22" s="124"/>
      <c r="OSV22" s="124"/>
      <c r="OSW22" s="124"/>
      <c r="OSX22" s="124"/>
      <c r="OSY22" s="124"/>
      <c r="OSZ22" s="124"/>
      <c r="OTA22" s="124"/>
      <c r="OTB22" s="124"/>
      <c r="OTC22" s="124"/>
      <c r="OTD22" s="124"/>
      <c r="OTE22" s="124"/>
      <c r="OTF22" s="124"/>
      <c r="OTG22" s="124"/>
      <c r="OTH22" s="124"/>
      <c r="OTI22" s="124"/>
      <c r="OTJ22" s="124"/>
      <c r="OTK22" s="124"/>
      <c r="OTL22" s="124"/>
      <c r="OTM22" s="124"/>
      <c r="OTN22" s="124"/>
      <c r="OTO22" s="124"/>
      <c r="OTP22" s="124"/>
      <c r="OTQ22" s="124"/>
      <c r="OTR22" s="124"/>
      <c r="OTS22" s="124"/>
      <c r="OTT22" s="124"/>
      <c r="OTU22" s="124"/>
      <c r="OTV22" s="124"/>
      <c r="OTW22" s="124"/>
      <c r="OTX22" s="124"/>
      <c r="OTY22" s="124"/>
      <c r="OTZ22" s="124"/>
      <c r="OUA22" s="124"/>
      <c r="OUB22" s="124"/>
      <c r="OUC22" s="124"/>
      <c r="OUD22" s="124"/>
      <c r="OUE22" s="124"/>
      <c r="OUF22" s="124"/>
      <c r="OUG22" s="124"/>
      <c r="OUH22" s="124"/>
      <c r="OUI22" s="124"/>
      <c r="OUJ22" s="124"/>
      <c r="OUK22" s="124"/>
      <c r="OUL22" s="124"/>
      <c r="OUM22" s="124"/>
      <c r="OUN22" s="124"/>
      <c r="OUO22" s="124"/>
      <c r="OUP22" s="124"/>
      <c r="OUQ22" s="124"/>
      <c r="OUR22" s="124"/>
      <c r="OUS22" s="124"/>
      <c r="OUT22" s="124"/>
      <c r="OUU22" s="124"/>
      <c r="OUV22" s="124"/>
      <c r="OUW22" s="124"/>
      <c r="OUX22" s="124"/>
      <c r="OUY22" s="124"/>
      <c r="OUZ22" s="124"/>
      <c r="OVA22" s="124"/>
      <c r="OVB22" s="124"/>
      <c r="OVC22" s="124"/>
      <c r="OVD22" s="124"/>
      <c r="OVE22" s="124"/>
      <c r="OVF22" s="124"/>
      <c r="OVG22" s="124"/>
      <c r="OVH22" s="124"/>
      <c r="OVI22" s="124"/>
      <c r="OVJ22" s="124"/>
      <c r="OVK22" s="124"/>
      <c r="OVL22" s="124"/>
      <c r="OVM22" s="124"/>
      <c r="OVN22" s="124"/>
      <c r="OVO22" s="124"/>
      <c r="OVP22" s="124"/>
      <c r="OVQ22" s="124"/>
      <c r="OVR22" s="124"/>
      <c r="OVS22" s="124"/>
      <c r="OVT22" s="124"/>
      <c r="OVU22" s="124"/>
      <c r="OVV22" s="124"/>
      <c r="OVW22" s="124"/>
      <c r="OVX22" s="124"/>
      <c r="OVY22" s="124"/>
      <c r="OVZ22" s="124"/>
      <c r="OWA22" s="124"/>
      <c r="OWB22" s="124"/>
      <c r="OWC22" s="124"/>
      <c r="OWD22" s="124"/>
      <c r="OWE22" s="124"/>
      <c r="OWF22" s="124"/>
      <c r="OWG22" s="124"/>
      <c r="OWH22" s="124"/>
      <c r="OWI22" s="124"/>
      <c r="OWJ22" s="124"/>
      <c r="OWK22" s="124"/>
      <c r="OWL22" s="124"/>
      <c r="OWM22" s="124"/>
      <c r="OWN22" s="124"/>
      <c r="OWO22" s="124"/>
      <c r="OWP22" s="124"/>
      <c r="OWQ22" s="124"/>
      <c r="OWR22" s="124"/>
      <c r="OWS22" s="124"/>
      <c r="OWT22" s="124"/>
      <c r="OWU22" s="124"/>
      <c r="OWV22" s="124"/>
      <c r="OWW22" s="124"/>
      <c r="OWX22" s="124"/>
      <c r="OWY22" s="124"/>
      <c r="OWZ22" s="124"/>
      <c r="OXA22" s="124"/>
      <c r="OXB22" s="124"/>
      <c r="OXC22" s="124"/>
      <c r="OXD22" s="124"/>
      <c r="OXE22" s="124"/>
      <c r="OXF22" s="124"/>
      <c r="OXG22" s="124"/>
      <c r="OXH22" s="124"/>
      <c r="OXI22" s="124"/>
      <c r="OXJ22" s="124"/>
      <c r="OXK22" s="124"/>
      <c r="OXL22" s="124"/>
      <c r="OXM22" s="124"/>
      <c r="OXN22" s="124"/>
      <c r="OXO22" s="124"/>
      <c r="OXP22" s="124"/>
      <c r="OXQ22" s="124"/>
      <c r="OXR22" s="124"/>
      <c r="OXS22" s="124"/>
      <c r="OXT22" s="124"/>
      <c r="OXU22" s="124"/>
      <c r="OXV22" s="124"/>
      <c r="OXW22" s="124"/>
      <c r="OXX22" s="124"/>
      <c r="OXY22" s="124"/>
      <c r="OXZ22" s="124"/>
      <c r="OYA22" s="124"/>
      <c r="OYB22" s="124"/>
      <c r="OYC22" s="124"/>
      <c r="OYD22" s="124"/>
      <c r="OYE22" s="124"/>
      <c r="OYF22" s="124"/>
      <c r="OYG22" s="124"/>
      <c r="OYH22" s="124"/>
      <c r="OYI22" s="124"/>
      <c r="OYJ22" s="124"/>
      <c r="OYK22" s="124"/>
      <c r="OYL22" s="124"/>
      <c r="OYM22" s="124"/>
      <c r="OYN22" s="124"/>
      <c r="OYO22" s="124"/>
      <c r="OYP22" s="124"/>
      <c r="OYQ22" s="124"/>
      <c r="OYR22" s="124"/>
      <c r="OYS22" s="124"/>
      <c r="OYT22" s="124"/>
      <c r="OYU22" s="124"/>
      <c r="OYV22" s="124"/>
      <c r="OYW22" s="124"/>
      <c r="OYX22" s="124"/>
      <c r="OYY22" s="124"/>
      <c r="OYZ22" s="124"/>
      <c r="OZA22" s="124"/>
      <c r="OZB22" s="124"/>
      <c r="OZC22" s="124"/>
      <c r="OZD22" s="124"/>
      <c r="OZE22" s="124"/>
      <c r="OZF22" s="124"/>
      <c r="OZG22" s="124"/>
      <c r="OZH22" s="124"/>
      <c r="OZI22" s="124"/>
      <c r="OZJ22" s="124"/>
      <c r="OZK22" s="124"/>
      <c r="OZL22" s="124"/>
      <c r="OZM22" s="124"/>
      <c r="OZN22" s="124"/>
      <c r="OZO22" s="124"/>
      <c r="OZP22" s="124"/>
      <c r="OZQ22" s="124"/>
      <c r="OZR22" s="124"/>
      <c r="OZS22" s="124"/>
      <c r="OZT22" s="124"/>
      <c r="OZU22" s="124"/>
      <c r="OZV22" s="124"/>
      <c r="OZW22" s="124"/>
      <c r="OZX22" s="124"/>
      <c r="OZY22" s="124"/>
      <c r="OZZ22" s="124"/>
      <c r="PAA22" s="124"/>
      <c r="PAB22" s="124"/>
      <c r="PAC22" s="124"/>
      <c r="PAD22" s="124"/>
      <c r="PAE22" s="124"/>
      <c r="PAF22" s="124"/>
      <c r="PAG22" s="124"/>
      <c r="PAH22" s="124"/>
      <c r="PAI22" s="124"/>
      <c r="PAJ22" s="124"/>
      <c r="PAK22" s="124"/>
      <c r="PAL22" s="124"/>
      <c r="PAM22" s="124"/>
      <c r="PAN22" s="124"/>
      <c r="PAO22" s="124"/>
      <c r="PAP22" s="124"/>
      <c r="PAQ22" s="124"/>
      <c r="PAR22" s="124"/>
      <c r="PAS22" s="124"/>
      <c r="PAT22" s="124"/>
      <c r="PAU22" s="124"/>
      <c r="PAV22" s="124"/>
      <c r="PAW22" s="124"/>
      <c r="PAX22" s="124"/>
      <c r="PAY22" s="124"/>
      <c r="PAZ22" s="124"/>
      <c r="PBA22" s="124"/>
      <c r="PBB22" s="124"/>
      <c r="PBC22" s="124"/>
      <c r="PBD22" s="124"/>
      <c r="PBE22" s="124"/>
      <c r="PBF22" s="124"/>
      <c r="PBG22" s="124"/>
      <c r="PBH22" s="124"/>
      <c r="PBI22" s="124"/>
      <c r="PBJ22" s="124"/>
      <c r="PBK22" s="124"/>
      <c r="PBL22" s="124"/>
      <c r="PBM22" s="124"/>
      <c r="PBN22" s="124"/>
      <c r="PBO22" s="124"/>
      <c r="PBP22" s="124"/>
      <c r="PBQ22" s="124"/>
      <c r="PBR22" s="124"/>
      <c r="PBS22" s="124"/>
      <c r="PBT22" s="124"/>
      <c r="PBU22" s="124"/>
      <c r="PBV22" s="124"/>
      <c r="PBW22" s="124"/>
      <c r="PBX22" s="124"/>
      <c r="PBY22" s="124"/>
      <c r="PBZ22" s="124"/>
      <c r="PCA22" s="124"/>
      <c r="PCB22" s="124"/>
      <c r="PCC22" s="124"/>
      <c r="PCD22" s="124"/>
      <c r="PCE22" s="124"/>
      <c r="PCF22" s="124"/>
      <c r="PCG22" s="124"/>
      <c r="PCH22" s="124"/>
      <c r="PCI22" s="124"/>
      <c r="PCJ22" s="124"/>
      <c r="PCK22" s="124"/>
      <c r="PCL22" s="124"/>
      <c r="PCM22" s="124"/>
      <c r="PCN22" s="124"/>
      <c r="PCO22" s="124"/>
      <c r="PCP22" s="124"/>
      <c r="PCQ22" s="124"/>
      <c r="PCR22" s="124"/>
      <c r="PCS22" s="124"/>
      <c r="PCT22" s="124"/>
      <c r="PCU22" s="124"/>
      <c r="PCV22" s="124"/>
      <c r="PCW22" s="124"/>
      <c r="PCX22" s="124"/>
      <c r="PCY22" s="124"/>
      <c r="PCZ22" s="124"/>
      <c r="PDA22" s="124"/>
      <c r="PDB22" s="124"/>
      <c r="PDC22" s="124"/>
      <c r="PDD22" s="124"/>
      <c r="PDE22" s="124"/>
      <c r="PDF22" s="124"/>
      <c r="PDG22" s="124"/>
      <c r="PDH22" s="124"/>
      <c r="PDI22" s="124"/>
      <c r="PDJ22" s="124"/>
      <c r="PDK22" s="124"/>
      <c r="PDL22" s="124"/>
      <c r="PDM22" s="124"/>
      <c r="PDN22" s="124"/>
      <c r="PDO22" s="124"/>
      <c r="PDP22" s="124"/>
      <c r="PDQ22" s="124"/>
      <c r="PDR22" s="124"/>
      <c r="PDS22" s="124"/>
      <c r="PDT22" s="124"/>
      <c r="PDU22" s="124"/>
      <c r="PDV22" s="124"/>
      <c r="PDW22" s="124"/>
      <c r="PDX22" s="124"/>
      <c r="PDY22" s="124"/>
      <c r="PDZ22" s="124"/>
      <c r="PEA22" s="124"/>
      <c r="PEB22" s="124"/>
      <c r="PEC22" s="124"/>
      <c r="PED22" s="124"/>
      <c r="PEE22" s="124"/>
      <c r="PEF22" s="124"/>
      <c r="PEG22" s="124"/>
      <c r="PEH22" s="124"/>
      <c r="PEI22" s="124"/>
      <c r="PEJ22" s="124"/>
      <c r="PEK22" s="124"/>
      <c r="PEL22" s="124"/>
      <c r="PEM22" s="124"/>
      <c r="PEN22" s="124"/>
      <c r="PEO22" s="124"/>
      <c r="PEP22" s="124"/>
      <c r="PEQ22" s="124"/>
      <c r="PER22" s="124"/>
      <c r="PES22" s="124"/>
      <c r="PET22" s="124"/>
      <c r="PEU22" s="124"/>
      <c r="PEV22" s="124"/>
      <c r="PEW22" s="124"/>
      <c r="PEX22" s="124"/>
      <c r="PEY22" s="124"/>
      <c r="PEZ22" s="124"/>
      <c r="PFA22" s="124"/>
      <c r="PFB22" s="124"/>
      <c r="PFC22" s="124"/>
      <c r="PFD22" s="124"/>
      <c r="PFE22" s="124"/>
      <c r="PFF22" s="124"/>
      <c r="PFG22" s="124"/>
      <c r="PFH22" s="124"/>
      <c r="PFI22" s="124"/>
      <c r="PFJ22" s="124"/>
      <c r="PFK22" s="124"/>
      <c r="PFL22" s="124"/>
      <c r="PFM22" s="124"/>
      <c r="PFN22" s="124"/>
      <c r="PFO22" s="124"/>
      <c r="PFP22" s="124"/>
      <c r="PFQ22" s="124"/>
      <c r="PFR22" s="124"/>
      <c r="PFS22" s="124"/>
      <c r="PFT22" s="124"/>
      <c r="PFU22" s="124"/>
      <c r="PFV22" s="124"/>
      <c r="PFW22" s="124"/>
      <c r="PFX22" s="124"/>
      <c r="PFY22" s="124"/>
      <c r="PFZ22" s="124"/>
      <c r="PGA22" s="124"/>
      <c r="PGB22" s="124"/>
      <c r="PGC22" s="124"/>
      <c r="PGD22" s="124"/>
      <c r="PGE22" s="124"/>
      <c r="PGF22" s="124"/>
      <c r="PGG22" s="124"/>
      <c r="PGH22" s="124"/>
      <c r="PGI22" s="124"/>
      <c r="PGJ22" s="124"/>
      <c r="PGK22" s="124"/>
      <c r="PGL22" s="124"/>
      <c r="PGM22" s="124"/>
      <c r="PGN22" s="124"/>
      <c r="PGO22" s="124"/>
      <c r="PGP22" s="124"/>
      <c r="PGQ22" s="124"/>
      <c r="PGR22" s="124"/>
      <c r="PGS22" s="124"/>
      <c r="PGT22" s="124"/>
      <c r="PGU22" s="124"/>
      <c r="PGV22" s="124"/>
      <c r="PGW22" s="124"/>
      <c r="PGX22" s="124"/>
      <c r="PGY22" s="124"/>
      <c r="PGZ22" s="124"/>
      <c r="PHA22" s="124"/>
      <c r="PHB22" s="124"/>
      <c r="PHC22" s="124"/>
      <c r="PHD22" s="124"/>
      <c r="PHE22" s="124"/>
      <c r="PHF22" s="124"/>
      <c r="PHG22" s="124"/>
      <c r="PHH22" s="124"/>
      <c r="PHI22" s="124"/>
      <c r="PHJ22" s="124"/>
      <c r="PHK22" s="124"/>
      <c r="PHL22" s="124"/>
      <c r="PHM22" s="124"/>
      <c r="PHN22" s="124"/>
      <c r="PHO22" s="124"/>
      <c r="PHP22" s="124"/>
      <c r="PHQ22" s="124"/>
      <c r="PHR22" s="124"/>
      <c r="PHS22" s="124"/>
      <c r="PHT22" s="124"/>
      <c r="PHU22" s="124"/>
      <c r="PHV22" s="124"/>
      <c r="PHW22" s="124"/>
      <c r="PHX22" s="124"/>
      <c r="PHY22" s="124"/>
      <c r="PHZ22" s="124"/>
      <c r="PIA22" s="124"/>
      <c r="PIB22" s="124"/>
      <c r="PIC22" s="124"/>
      <c r="PID22" s="124"/>
      <c r="PIE22" s="124"/>
      <c r="PIF22" s="124"/>
      <c r="PIG22" s="124"/>
      <c r="PIH22" s="124"/>
      <c r="PII22" s="124"/>
      <c r="PIJ22" s="124"/>
      <c r="PIK22" s="124"/>
      <c r="PIL22" s="124"/>
      <c r="PIM22" s="124"/>
      <c r="PIN22" s="124"/>
      <c r="PIO22" s="124"/>
      <c r="PIP22" s="124"/>
      <c r="PIQ22" s="124"/>
      <c r="PIR22" s="124"/>
      <c r="PIS22" s="124"/>
      <c r="PIT22" s="124"/>
      <c r="PIU22" s="124"/>
      <c r="PIV22" s="124"/>
      <c r="PIW22" s="124"/>
      <c r="PIX22" s="124"/>
      <c r="PIY22" s="124"/>
      <c r="PIZ22" s="124"/>
      <c r="PJA22" s="124"/>
      <c r="PJB22" s="124"/>
      <c r="PJC22" s="124"/>
      <c r="PJD22" s="124"/>
      <c r="PJE22" s="124"/>
      <c r="PJF22" s="124"/>
      <c r="PJG22" s="124"/>
      <c r="PJH22" s="124"/>
      <c r="PJI22" s="124"/>
      <c r="PJJ22" s="124"/>
      <c r="PJK22" s="124"/>
      <c r="PJL22" s="124"/>
      <c r="PJM22" s="124"/>
      <c r="PJN22" s="124"/>
      <c r="PJO22" s="124"/>
      <c r="PJP22" s="124"/>
      <c r="PJQ22" s="124"/>
      <c r="PJR22" s="124"/>
      <c r="PJS22" s="124"/>
      <c r="PJT22" s="124"/>
      <c r="PJU22" s="124"/>
      <c r="PJV22" s="124"/>
      <c r="PJW22" s="124"/>
      <c r="PJX22" s="124"/>
      <c r="PJY22" s="124"/>
      <c r="PJZ22" s="124"/>
      <c r="PKA22" s="124"/>
      <c r="PKB22" s="124"/>
      <c r="PKC22" s="124"/>
      <c r="PKD22" s="124"/>
      <c r="PKE22" s="124"/>
      <c r="PKF22" s="124"/>
      <c r="PKG22" s="124"/>
      <c r="PKH22" s="124"/>
      <c r="PKI22" s="124"/>
      <c r="PKJ22" s="124"/>
      <c r="PKK22" s="124"/>
      <c r="PKL22" s="124"/>
      <c r="PKM22" s="124"/>
      <c r="PKN22" s="124"/>
      <c r="PKO22" s="124"/>
      <c r="PKP22" s="124"/>
      <c r="PKQ22" s="124"/>
      <c r="PKR22" s="124"/>
      <c r="PKS22" s="124"/>
      <c r="PKT22" s="124"/>
      <c r="PKU22" s="124"/>
      <c r="PKV22" s="124"/>
      <c r="PKW22" s="124"/>
      <c r="PKX22" s="124"/>
      <c r="PKY22" s="124"/>
      <c r="PKZ22" s="124"/>
      <c r="PLA22" s="124"/>
      <c r="PLB22" s="124"/>
      <c r="PLC22" s="124"/>
      <c r="PLD22" s="124"/>
      <c r="PLE22" s="124"/>
      <c r="PLF22" s="124"/>
      <c r="PLG22" s="124"/>
      <c r="PLH22" s="124"/>
      <c r="PLI22" s="124"/>
      <c r="PLJ22" s="124"/>
      <c r="PLK22" s="124"/>
      <c r="PLL22" s="124"/>
      <c r="PLM22" s="124"/>
      <c r="PLN22" s="124"/>
      <c r="PLO22" s="124"/>
      <c r="PLP22" s="124"/>
      <c r="PLQ22" s="124"/>
      <c r="PLR22" s="124"/>
      <c r="PLS22" s="124"/>
      <c r="PLT22" s="124"/>
      <c r="PLU22" s="124"/>
      <c r="PLV22" s="124"/>
      <c r="PLW22" s="124"/>
      <c r="PLX22" s="124"/>
      <c r="PLY22" s="124"/>
      <c r="PLZ22" s="124"/>
      <c r="PMA22" s="124"/>
      <c r="PMB22" s="124"/>
      <c r="PMC22" s="124"/>
      <c r="PMD22" s="124"/>
      <c r="PME22" s="124"/>
      <c r="PMF22" s="124"/>
      <c r="PMG22" s="124"/>
      <c r="PMH22" s="124"/>
      <c r="PMI22" s="124"/>
      <c r="PMJ22" s="124"/>
      <c r="PMK22" s="124"/>
      <c r="PML22" s="124"/>
      <c r="PMM22" s="124"/>
      <c r="PMN22" s="124"/>
      <c r="PMO22" s="124"/>
      <c r="PMP22" s="124"/>
      <c r="PMQ22" s="124"/>
      <c r="PMR22" s="124"/>
      <c r="PMS22" s="124"/>
      <c r="PMT22" s="124"/>
      <c r="PMU22" s="124"/>
      <c r="PMV22" s="124"/>
      <c r="PMW22" s="124"/>
      <c r="PMX22" s="124"/>
      <c r="PMY22" s="124"/>
      <c r="PMZ22" s="124"/>
      <c r="PNA22" s="124"/>
      <c r="PNB22" s="124"/>
      <c r="PNC22" s="124"/>
      <c r="PND22" s="124"/>
      <c r="PNE22" s="124"/>
      <c r="PNF22" s="124"/>
      <c r="PNG22" s="124"/>
      <c r="PNH22" s="124"/>
      <c r="PNI22" s="124"/>
      <c r="PNJ22" s="124"/>
      <c r="PNK22" s="124"/>
      <c r="PNL22" s="124"/>
      <c r="PNM22" s="124"/>
      <c r="PNN22" s="124"/>
      <c r="PNO22" s="124"/>
      <c r="PNP22" s="124"/>
      <c r="PNQ22" s="124"/>
      <c r="PNR22" s="124"/>
      <c r="PNS22" s="124"/>
      <c r="PNT22" s="124"/>
      <c r="PNU22" s="124"/>
      <c r="PNV22" s="124"/>
      <c r="PNW22" s="124"/>
      <c r="PNX22" s="124"/>
      <c r="PNY22" s="124"/>
      <c r="PNZ22" s="124"/>
      <c r="POA22" s="124"/>
      <c r="POB22" s="124"/>
      <c r="POC22" s="124"/>
      <c r="POD22" s="124"/>
      <c r="POE22" s="124"/>
      <c r="POF22" s="124"/>
      <c r="POG22" s="124"/>
      <c r="POH22" s="124"/>
      <c r="POI22" s="124"/>
      <c r="POJ22" s="124"/>
      <c r="POK22" s="124"/>
      <c r="POL22" s="124"/>
      <c r="POM22" s="124"/>
      <c r="PON22" s="124"/>
      <c r="POO22" s="124"/>
      <c r="POP22" s="124"/>
      <c r="POQ22" s="124"/>
      <c r="POR22" s="124"/>
      <c r="POS22" s="124"/>
      <c r="POT22" s="124"/>
      <c r="POU22" s="124"/>
      <c r="POV22" s="124"/>
      <c r="POW22" s="124"/>
      <c r="POX22" s="124"/>
      <c r="POY22" s="124"/>
      <c r="POZ22" s="124"/>
      <c r="PPA22" s="124"/>
      <c r="PPB22" s="124"/>
      <c r="PPC22" s="124"/>
      <c r="PPD22" s="124"/>
      <c r="PPE22" s="124"/>
      <c r="PPF22" s="124"/>
      <c r="PPG22" s="124"/>
      <c r="PPH22" s="124"/>
      <c r="PPI22" s="124"/>
      <c r="PPJ22" s="124"/>
      <c r="PPK22" s="124"/>
      <c r="PPL22" s="124"/>
      <c r="PPM22" s="124"/>
      <c r="PPN22" s="124"/>
      <c r="PPO22" s="124"/>
      <c r="PPP22" s="124"/>
      <c r="PPQ22" s="124"/>
      <c r="PPR22" s="124"/>
      <c r="PPS22" s="124"/>
      <c r="PPT22" s="124"/>
      <c r="PPU22" s="124"/>
      <c r="PPV22" s="124"/>
      <c r="PPW22" s="124"/>
      <c r="PPX22" s="124"/>
      <c r="PPY22" s="124"/>
      <c r="PPZ22" s="124"/>
      <c r="PQA22" s="124"/>
      <c r="PQB22" s="124"/>
      <c r="PQC22" s="124"/>
      <c r="PQD22" s="124"/>
      <c r="PQE22" s="124"/>
      <c r="PQF22" s="124"/>
      <c r="PQG22" s="124"/>
      <c r="PQH22" s="124"/>
      <c r="PQI22" s="124"/>
      <c r="PQJ22" s="124"/>
      <c r="PQK22" s="124"/>
      <c r="PQL22" s="124"/>
      <c r="PQM22" s="124"/>
      <c r="PQN22" s="124"/>
      <c r="PQO22" s="124"/>
      <c r="PQP22" s="124"/>
      <c r="PQQ22" s="124"/>
      <c r="PQR22" s="124"/>
      <c r="PQS22" s="124"/>
      <c r="PQT22" s="124"/>
      <c r="PQU22" s="124"/>
      <c r="PQV22" s="124"/>
      <c r="PQW22" s="124"/>
      <c r="PQX22" s="124"/>
      <c r="PQY22" s="124"/>
      <c r="PQZ22" s="124"/>
      <c r="PRA22" s="124"/>
      <c r="PRB22" s="124"/>
      <c r="PRC22" s="124"/>
      <c r="PRD22" s="124"/>
      <c r="PRE22" s="124"/>
      <c r="PRF22" s="124"/>
      <c r="PRG22" s="124"/>
      <c r="PRH22" s="124"/>
      <c r="PRI22" s="124"/>
      <c r="PRJ22" s="124"/>
      <c r="PRK22" s="124"/>
      <c r="PRL22" s="124"/>
      <c r="PRM22" s="124"/>
      <c r="PRN22" s="124"/>
      <c r="PRO22" s="124"/>
      <c r="PRP22" s="124"/>
      <c r="PRQ22" s="124"/>
      <c r="PRR22" s="124"/>
      <c r="PRS22" s="124"/>
      <c r="PRT22" s="124"/>
      <c r="PRU22" s="124"/>
      <c r="PRV22" s="124"/>
      <c r="PRW22" s="124"/>
      <c r="PRX22" s="124"/>
      <c r="PRY22" s="124"/>
      <c r="PRZ22" s="124"/>
      <c r="PSA22" s="124"/>
      <c r="PSB22" s="124"/>
      <c r="PSC22" s="124"/>
      <c r="PSD22" s="124"/>
      <c r="PSE22" s="124"/>
      <c r="PSF22" s="124"/>
      <c r="PSG22" s="124"/>
      <c r="PSH22" s="124"/>
      <c r="PSI22" s="124"/>
      <c r="PSJ22" s="124"/>
      <c r="PSK22" s="124"/>
      <c r="PSL22" s="124"/>
      <c r="PSM22" s="124"/>
      <c r="PSN22" s="124"/>
      <c r="PSO22" s="124"/>
      <c r="PSP22" s="124"/>
      <c r="PSQ22" s="124"/>
      <c r="PSR22" s="124"/>
      <c r="PSS22" s="124"/>
      <c r="PST22" s="124"/>
      <c r="PSU22" s="124"/>
      <c r="PSV22" s="124"/>
      <c r="PSW22" s="124"/>
      <c r="PSX22" s="124"/>
      <c r="PSY22" s="124"/>
      <c r="PSZ22" s="124"/>
      <c r="PTA22" s="124"/>
      <c r="PTB22" s="124"/>
      <c r="PTC22" s="124"/>
      <c r="PTD22" s="124"/>
      <c r="PTE22" s="124"/>
      <c r="PTF22" s="124"/>
      <c r="PTG22" s="124"/>
      <c r="PTH22" s="124"/>
      <c r="PTI22" s="124"/>
      <c r="PTJ22" s="124"/>
      <c r="PTK22" s="124"/>
      <c r="PTL22" s="124"/>
      <c r="PTM22" s="124"/>
      <c r="PTN22" s="124"/>
      <c r="PTO22" s="124"/>
      <c r="PTP22" s="124"/>
      <c r="PTQ22" s="124"/>
      <c r="PTR22" s="124"/>
      <c r="PTS22" s="124"/>
      <c r="PTT22" s="124"/>
      <c r="PTU22" s="124"/>
      <c r="PTV22" s="124"/>
      <c r="PTW22" s="124"/>
      <c r="PTX22" s="124"/>
      <c r="PTY22" s="124"/>
      <c r="PTZ22" s="124"/>
      <c r="PUA22" s="124"/>
      <c r="PUB22" s="124"/>
      <c r="PUC22" s="124"/>
      <c r="PUD22" s="124"/>
      <c r="PUE22" s="124"/>
      <c r="PUF22" s="124"/>
      <c r="PUG22" s="124"/>
      <c r="PUH22" s="124"/>
      <c r="PUI22" s="124"/>
      <c r="PUJ22" s="124"/>
      <c r="PUK22" s="124"/>
      <c r="PUL22" s="124"/>
      <c r="PUM22" s="124"/>
      <c r="PUN22" s="124"/>
      <c r="PUO22" s="124"/>
      <c r="PUP22" s="124"/>
      <c r="PUQ22" s="124"/>
      <c r="PUR22" s="124"/>
      <c r="PUS22" s="124"/>
      <c r="PUT22" s="124"/>
      <c r="PUU22" s="124"/>
      <c r="PUV22" s="124"/>
      <c r="PUW22" s="124"/>
      <c r="PUX22" s="124"/>
      <c r="PUY22" s="124"/>
      <c r="PUZ22" s="124"/>
      <c r="PVA22" s="124"/>
      <c r="PVB22" s="124"/>
      <c r="PVC22" s="124"/>
      <c r="PVD22" s="124"/>
      <c r="PVE22" s="124"/>
      <c r="PVF22" s="124"/>
      <c r="PVG22" s="124"/>
      <c r="PVH22" s="124"/>
      <c r="PVI22" s="124"/>
      <c r="PVJ22" s="124"/>
      <c r="PVK22" s="124"/>
      <c r="PVL22" s="124"/>
      <c r="PVM22" s="124"/>
      <c r="PVN22" s="124"/>
      <c r="PVO22" s="124"/>
      <c r="PVP22" s="124"/>
      <c r="PVQ22" s="124"/>
      <c r="PVR22" s="124"/>
      <c r="PVS22" s="124"/>
      <c r="PVT22" s="124"/>
      <c r="PVU22" s="124"/>
      <c r="PVV22" s="124"/>
      <c r="PVW22" s="124"/>
      <c r="PVX22" s="124"/>
      <c r="PVY22" s="124"/>
      <c r="PVZ22" s="124"/>
      <c r="PWA22" s="124"/>
      <c r="PWB22" s="124"/>
      <c r="PWC22" s="124"/>
      <c r="PWD22" s="124"/>
      <c r="PWE22" s="124"/>
      <c r="PWF22" s="124"/>
      <c r="PWG22" s="124"/>
      <c r="PWH22" s="124"/>
      <c r="PWI22" s="124"/>
      <c r="PWJ22" s="124"/>
      <c r="PWK22" s="124"/>
      <c r="PWL22" s="124"/>
      <c r="PWM22" s="124"/>
      <c r="PWN22" s="124"/>
      <c r="PWO22" s="124"/>
      <c r="PWP22" s="124"/>
      <c r="PWQ22" s="124"/>
      <c r="PWR22" s="124"/>
      <c r="PWS22" s="124"/>
      <c r="PWT22" s="124"/>
      <c r="PWU22" s="124"/>
      <c r="PWV22" s="124"/>
      <c r="PWW22" s="124"/>
      <c r="PWX22" s="124"/>
      <c r="PWY22" s="124"/>
      <c r="PWZ22" s="124"/>
      <c r="PXA22" s="124"/>
      <c r="PXB22" s="124"/>
      <c r="PXC22" s="124"/>
      <c r="PXD22" s="124"/>
      <c r="PXE22" s="124"/>
      <c r="PXF22" s="124"/>
      <c r="PXG22" s="124"/>
      <c r="PXH22" s="124"/>
      <c r="PXI22" s="124"/>
      <c r="PXJ22" s="124"/>
      <c r="PXK22" s="124"/>
      <c r="PXL22" s="124"/>
      <c r="PXM22" s="124"/>
      <c r="PXN22" s="124"/>
      <c r="PXO22" s="124"/>
      <c r="PXP22" s="124"/>
      <c r="PXQ22" s="124"/>
      <c r="PXR22" s="124"/>
      <c r="PXS22" s="124"/>
      <c r="PXT22" s="124"/>
      <c r="PXU22" s="124"/>
      <c r="PXV22" s="124"/>
      <c r="PXW22" s="124"/>
      <c r="PXX22" s="124"/>
      <c r="PXY22" s="124"/>
      <c r="PXZ22" s="124"/>
      <c r="PYA22" s="124"/>
      <c r="PYB22" s="124"/>
      <c r="PYC22" s="124"/>
      <c r="PYD22" s="124"/>
      <c r="PYE22" s="124"/>
      <c r="PYF22" s="124"/>
      <c r="PYG22" s="124"/>
      <c r="PYH22" s="124"/>
      <c r="PYI22" s="124"/>
      <c r="PYJ22" s="124"/>
      <c r="PYK22" s="124"/>
      <c r="PYL22" s="124"/>
      <c r="PYM22" s="124"/>
      <c r="PYN22" s="124"/>
      <c r="PYO22" s="124"/>
      <c r="PYP22" s="124"/>
      <c r="PYQ22" s="124"/>
      <c r="PYR22" s="124"/>
      <c r="PYS22" s="124"/>
      <c r="PYT22" s="124"/>
      <c r="PYU22" s="124"/>
      <c r="PYV22" s="124"/>
      <c r="PYW22" s="124"/>
      <c r="PYX22" s="124"/>
      <c r="PYY22" s="124"/>
      <c r="PYZ22" s="124"/>
      <c r="PZA22" s="124"/>
      <c r="PZB22" s="124"/>
      <c r="PZC22" s="124"/>
      <c r="PZD22" s="124"/>
      <c r="PZE22" s="124"/>
      <c r="PZF22" s="124"/>
      <c r="PZG22" s="124"/>
      <c r="PZH22" s="124"/>
      <c r="PZI22" s="124"/>
      <c r="PZJ22" s="124"/>
      <c r="PZK22" s="124"/>
      <c r="PZL22" s="124"/>
      <c r="PZM22" s="124"/>
      <c r="PZN22" s="124"/>
      <c r="PZO22" s="124"/>
      <c r="PZP22" s="124"/>
      <c r="PZQ22" s="124"/>
      <c r="PZR22" s="124"/>
      <c r="PZS22" s="124"/>
      <c r="PZT22" s="124"/>
      <c r="PZU22" s="124"/>
      <c r="PZV22" s="124"/>
      <c r="PZW22" s="124"/>
      <c r="PZX22" s="124"/>
      <c r="PZY22" s="124"/>
      <c r="PZZ22" s="124"/>
      <c r="QAA22" s="124"/>
      <c r="QAB22" s="124"/>
      <c r="QAC22" s="124"/>
      <c r="QAD22" s="124"/>
      <c r="QAE22" s="124"/>
      <c r="QAF22" s="124"/>
      <c r="QAG22" s="124"/>
      <c r="QAH22" s="124"/>
      <c r="QAI22" s="124"/>
      <c r="QAJ22" s="124"/>
      <c r="QAK22" s="124"/>
      <c r="QAL22" s="124"/>
      <c r="QAM22" s="124"/>
      <c r="QAN22" s="124"/>
      <c r="QAO22" s="124"/>
      <c r="QAP22" s="124"/>
      <c r="QAQ22" s="124"/>
      <c r="QAR22" s="124"/>
      <c r="QAS22" s="124"/>
      <c r="QAT22" s="124"/>
      <c r="QAU22" s="124"/>
      <c r="QAV22" s="124"/>
      <c r="QAW22" s="124"/>
      <c r="QAX22" s="124"/>
      <c r="QAY22" s="124"/>
      <c r="QAZ22" s="124"/>
      <c r="QBA22" s="124"/>
      <c r="QBB22" s="124"/>
      <c r="QBC22" s="124"/>
      <c r="QBD22" s="124"/>
      <c r="QBE22" s="124"/>
      <c r="QBF22" s="124"/>
      <c r="QBG22" s="124"/>
      <c r="QBH22" s="124"/>
      <c r="QBI22" s="124"/>
      <c r="QBJ22" s="124"/>
      <c r="QBK22" s="124"/>
      <c r="QBL22" s="124"/>
      <c r="QBM22" s="124"/>
      <c r="QBN22" s="124"/>
      <c r="QBO22" s="124"/>
      <c r="QBP22" s="124"/>
      <c r="QBQ22" s="124"/>
      <c r="QBR22" s="124"/>
      <c r="QBS22" s="124"/>
      <c r="QBT22" s="124"/>
      <c r="QBU22" s="124"/>
      <c r="QBV22" s="124"/>
      <c r="QBW22" s="124"/>
      <c r="QBX22" s="124"/>
      <c r="QBY22" s="124"/>
      <c r="QBZ22" s="124"/>
      <c r="QCA22" s="124"/>
      <c r="QCB22" s="124"/>
      <c r="QCC22" s="124"/>
      <c r="QCD22" s="124"/>
      <c r="QCE22" s="124"/>
      <c r="QCF22" s="124"/>
      <c r="QCG22" s="124"/>
      <c r="QCH22" s="124"/>
      <c r="QCI22" s="124"/>
      <c r="QCJ22" s="124"/>
      <c r="QCK22" s="124"/>
      <c r="QCL22" s="124"/>
      <c r="QCM22" s="124"/>
      <c r="QCN22" s="124"/>
      <c r="QCO22" s="124"/>
      <c r="QCP22" s="124"/>
      <c r="QCQ22" s="124"/>
      <c r="QCR22" s="124"/>
      <c r="QCS22" s="124"/>
      <c r="QCT22" s="124"/>
      <c r="QCU22" s="124"/>
      <c r="QCV22" s="124"/>
      <c r="QCW22" s="124"/>
      <c r="QCX22" s="124"/>
      <c r="QCY22" s="124"/>
      <c r="QCZ22" s="124"/>
      <c r="QDA22" s="124"/>
      <c r="QDB22" s="124"/>
      <c r="QDC22" s="124"/>
      <c r="QDD22" s="124"/>
      <c r="QDE22" s="124"/>
      <c r="QDF22" s="124"/>
      <c r="QDG22" s="124"/>
      <c r="QDH22" s="124"/>
      <c r="QDI22" s="124"/>
      <c r="QDJ22" s="124"/>
      <c r="QDK22" s="124"/>
      <c r="QDL22" s="124"/>
      <c r="QDM22" s="124"/>
      <c r="QDN22" s="124"/>
      <c r="QDO22" s="124"/>
      <c r="QDP22" s="124"/>
      <c r="QDQ22" s="124"/>
      <c r="QDR22" s="124"/>
      <c r="QDS22" s="124"/>
      <c r="QDT22" s="124"/>
      <c r="QDU22" s="124"/>
      <c r="QDV22" s="124"/>
      <c r="QDW22" s="124"/>
      <c r="QDX22" s="124"/>
      <c r="QDY22" s="124"/>
      <c r="QDZ22" s="124"/>
      <c r="QEA22" s="124"/>
      <c r="QEB22" s="124"/>
      <c r="QEC22" s="124"/>
      <c r="QED22" s="124"/>
      <c r="QEE22" s="124"/>
      <c r="QEF22" s="124"/>
      <c r="QEG22" s="124"/>
      <c r="QEH22" s="124"/>
      <c r="QEI22" s="124"/>
      <c r="QEJ22" s="124"/>
      <c r="QEK22" s="124"/>
      <c r="QEL22" s="124"/>
      <c r="QEM22" s="124"/>
      <c r="QEN22" s="124"/>
      <c r="QEO22" s="124"/>
      <c r="QEP22" s="124"/>
      <c r="QEQ22" s="124"/>
      <c r="QER22" s="124"/>
      <c r="QES22" s="124"/>
      <c r="QET22" s="124"/>
      <c r="QEU22" s="124"/>
      <c r="QEV22" s="124"/>
      <c r="QEW22" s="124"/>
      <c r="QEX22" s="124"/>
      <c r="QEY22" s="124"/>
      <c r="QEZ22" s="124"/>
      <c r="QFA22" s="124"/>
      <c r="QFB22" s="124"/>
      <c r="QFC22" s="124"/>
      <c r="QFD22" s="124"/>
      <c r="QFE22" s="124"/>
      <c r="QFF22" s="124"/>
      <c r="QFG22" s="124"/>
      <c r="QFH22" s="124"/>
      <c r="QFI22" s="124"/>
      <c r="QFJ22" s="124"/>
      <c r="QFK22" s="124"/>
      <c r="QFL22" s="124"/>
      <c r="QFM22" s="124"/>
      <c r="QFN22" s="124"/>
      <c r="QFO22" s="124"/>
      <c r="QFP22" s="124"/>
      <c r="QFQ22" s="124"/>
      <c r="QFR22" s="124"/>
      <c r="QFS22" s="124"/>
      <c r="QFT22" s="124"/>
      <c r="QFU22" s="124"/>
      <c r="QFV22" s="124"/>
      <c r="QFW22" s="124"/>
      <c r="QFX22" s="124"/>
      <c r="QFY22" s="124"/>
      <c r="QFZ22" s="124"/>
      <c r="QGA22" s="124"/>
      <c r="QGB22" s="124"/>
      <c r="QGC22" s="124"/>
      <c r="QGD22" s="124"/>
      <c r="QGE22" s="124"/>
      <c r="QGF22" s="124"/>
      <c r="QGG22" s="124"/>
      <c r="QGH22" s="124"/>
      <c r="QGI22" s="124"/>
      <c r="QGJ22" s="124"/>
      <c r="QGK22" s="124"/>
      <c r="QGL22" s="124"/>
      <c r="QGM22" s="124"/>
      <c r="QGN22" s="124"/>
      <c r="QGO22" s="124"/>
      <c r="QGP22" s="124"/>
      <c r="QGQ22" s="124"/>
      <c r="QGR22" s="124"/>
      <c r="QGS22" s="124"/>
      <c r="QGT22" s="124"/>
      <c r="QGU22" s="124"/>
      <c r="QGV22" s="124"/>
      <c r="QGW22" s="124"/>
      <c r="QGX22" s="124"/>
      <c r="QGY22" s="124"/>
      <c r="QGZ22" s="124"/>
      <c r="QHA22" s="124"/>
      <c r="QHB22" s="124"/>
      <c r="QHC22" s="124"/>
      <c r="QHD22" s="124"/>
      <c r="QHE22" s="124"/>
      <c r="QHF22" s="124"/>
      <c r="QHG22" s="124"/>
      <c r="QHH22" s="124"/>
      <c r="QHI22" s="124"/>
      <c r="QHJ22" s="124"/>
      <c r="QHK22" s="124"/>
      <c r="QHL22" s="124"/>
      <c r="QHM22" s="124"/>
      <c r="QHN22" s="124"/>
      <c r="QHO22" s="124"/>
      <c r="QHP22" s="124"/>
      <c r="QHQ22" s="124"/>
      <c r="QHR22" s="124"/>
      <c r="QHS22" s="124"/>
      <c r="QHT22" s="124"/>
      <c r="QHU22" s="124"/>
      <c r="QHV22" s="124"/>
      <c r="QHW22" s="124"/>
      <c r="QHX22" s="124"/>
      <c r="QHY22" s="124"/>
      <c r="QHZ22" s="124"/>
      <c r="QIA22" s="124"/>
      <c r="QIB22" s="124"/>
      <c r="QIC22" s="124"/>
      <c r="QID22" s="124"/>
      <c r="QIE22" s="124"/>
      <c r="QIF22" s="124"/>
      <c r="QIG22" s="124"/>
      <c r="QIH22" s="124"/>
      <c r="QII22" s="124"/>
      <c r="QIJ22" s="124"/>
      <c r="QIK22" s="124"/>
      <c r="QIL22" s="124"/>
      <c r="QIM22" s="124"/>
      <c r="QIN22" s="124"/>
      <c r="QIO22" s="124"/>
      <c r="QIP22" s="124"/>
      <c r="QIQ22" s="124"/>
      <c r="QIR22" s="124"/>
      <c r="QIS22" s="124"/>
      <c r="QIT22" s="124"/>
      <c r="QIU22" s="124"/>
      <c r="QIV22" s="124"/>
      <c r="QIW22" s="124"/>
      <c r="QIX22" s="124"/>
      <c r="QIY22" s="124"/>
      <c r="QIZ22" s="124"/>
      <c r="QJA22" s="124"/>
      <c r="QJB22" s="124"/>
      <c r="QJC22" s="124"/>
      <c r="QJD22" s="124"/>
      <c r="QJE22" s="124"/>
      <c r="QJF22" s="124"/>
      <c r="QJG22" s="124"/>
      <c r="QJH22" s="124"/>
      <c r="QJI22" s="124"/>
      <c r="QJJ22" s="124"/>
      <c r="QJK22" s="124"/>
      <c r="QJL22" s="124"/>
      <c r="QJM22" s="124"/>
      <c r="QJN22" s="124"/>
      <c r="QJO22" s="124"/>
      <c r="QJP22" s="124"/>
      <c r="QJQ22" s="124"/>
      <c r="QJR22" s="124"/>
      <c r="QJS22" s="124"/>
      <c r="QJT22" s="124"/>
      <c r="QJU22" s="124"/>
      <c r="QJV22" s="124"/>
      <c r="QJW22" s="124"/>
      <c r="QJX22" s="124"/>
      <c r="QJY22" s="124"/>
      <c r="QJZ22" s="124"/>
      <c r="QKA22" s="124"/>
      <c r="QKB22" s="124"/>
      <c r="QKC22" s="124"/>
      <c r="QKD22" s="124"/>
      <c r="QKE22" s="124"/>
      <c r="QKF22" s="124"/>
      <c r="QKG22" s="124"/>
      <c r="QKH22" s="124"/>
      <c r="QKI22" s="124"/>
      <c r="QKJ22" s="124"/>
      <c r="QKK22" s="124"/>
      <c r="QKL22" s="124"/>
      <c r="QKM22" s="124"/>
      <c r="QKN22" s="124"/>
      <c r="QKO22" s="124"/>
      <c r="QKP22" s="124"/>
      <c r="QKQ22" s="124"/>
      <c r="QKR22" s="124"/>
      <c r="QKS22" s="124"/>
      <c r="QKT22" s="124"/>
      <c r="QKU22" s="124"/>
      <c r="QKV22" s="124"/>
      <c r="QKW22" s="124"/>
      <c r="QKX22" s="124"/>
      <c r="QKY22" s="124"/>
      <c r="QKZ22" s="124"/>
      <c r="QLA22" s="124"/>
      <c r="QLB22" s="124"/>
      <c r="QLC22" s="124"/>
      <c r="QLD22" s="124"/>
      <c r="QLE22" s="124"/>
      <c r="QLF22" s="124"/>
      <c r="QLG22" s="124"/>
      <c r="QLH22" s="124"/>
      <c r="QLI22" s="124"/>
      <c r="QLJ22" s="124"/>
      <c r="QLK22" s="124"/>
      <c r="QLL22" s="124"/>
      <c r="QLM22" s="124"/>
      <c r="QLN22" s="124"/>
      <c r="QLO22" s="124"/>
      <c r="QLP22" s="124"/>
      <c r="QLQ22" s="124"/>
      <c r="QLR22" s="124"/>
      <c r="QLS22" s="124"/>
      <c r="QLT22" s="124"/>
      <c r="QLU22" s="124"/>
      <c r="QLV22" s="124"/>
      <c r="QLW22" s="124"/>
      <c r="QLX22" s="124"/>
      <c r="QLY22" s="124"/>
      <c r="QLZ22" s="124"/>
      <c r="QMA22" s="124"/>
      <c r="QMB22" s="124"/>
      <c r="QMC22" s="124"/>
      <c r="QMD22" s="124"/>
      <c r="QME22" s="124"/>
      <c r="QMF22" s="124"/>
      <c r="QMG22" s="124"/>
      <c r="QMH22" s="124"/>
      <c r="QMI22" s="124"/>
      <c r="QMJ22" s="124"/>
      <c r="QMK22" s="124"/>
      <c r="QML22" s="124"/>
      <c r="QMM22" s="124"/>
      <c r="QMN22" s="124"/>
      <c r="QMO22" s="124"/>
      <c r="QMP22" s="124"/>
      <c r="QMQ22" s="124"/>
      <c r="QMR22" s="124"/>
      <c r="QMS22" s="124"/>
      <c r="QMT22" s="124"/>
      <c r="QMU22" s="124"/>
      <c r="QMV22" s="124"/>
      <c r="QMW22" s="124"/>
      <c r="QMX22" s="124"/>
      <c r="QMY22" s="124"/>
      <c r="QMZ22" s="124"/>
      <c r="QNA22" s="124"/>
      <c r="QNB22" s="124"/>
      <c r="QNC22" s="124"/>
      <c r="QND22" s="124"/>
      <c r="QNE22" s="124"/>
      <c r="QNF22" s="124"/>
      <c r="QNG22" s="124"/>
      <c r="QNH22" s="124"/>
      <c r="QNI22" s="124"/>
      <c r="QNJ22" s="124"/>
      <c r="QNK22" s="124"/>
      <c r="QNL22" s="124"/>
      <c r="QNM22" s="124"/>
      <c r="QNN22" s="124"/>
      <c r="QNO22" s="124"/>
      <c r="QNP22" s="124"/>
      <c r="QNQ22" s="124"/>
      <c r="QNR22" s="124"/>
      <c r="QNS22" s="124"/>
      <c r="QNT22" s="124"/>
      <c r="QNU22" s="124"/>
      <c r="QNV22" s="124"/>
      <c r="QNW22" s="124"/>
      <c r="QNX22" s="124"/>
      <c r="QNY22" s="124"/>
      <c r="QNZ22" s="124"/>
      <c r="QOA22" s="124"/>
      <c r="QOB22" s="124"/>
      <c r="QOC22" s="124"/>
      <c r="QOD22" s="124"/>
      <c r="QOE22" s="124"/>
      <c r="QOF22" s="124"/>
      <c r="QOG22" s="124"/>
      <c r="QOH22" s="124"/>
      <c r="QOI22" s="124"/>
      <c r="QOJ22" s="124"/>
      <c r="QOK22" s="124"/>
      <c r="QOL22" s="124"/>
      <c r="QOM22" s="124"/>
      <c r="QON22" s="124"/>
      <c r="QOO22" s="124"/>
      <c r="QOP22" s="124"/>
      <c r="QOQ22" s="124"/>
      <c r="QOR22" s="124"/>
      <c r="QOS22" s="124"/>
      <c r="QOT22" s="124"/>
      <c r="QOU22" s="124"/>
      <c r="QOV22" s="124"/>
      <c r="QOW22" s="124"/>
      <c r="QOX22" s="124"/>
      <c r="QOY22" s="124"/>
      <c r="QOZ22" s="124"/>
      <c r="QPA22" s="124"/>
      <c r="QPB22" s="124"/>
      <c r="QPC22" s="124"/>
      <c r="QPD22" s="124"/>
      <c r="QPE22" s="124"/>
      <c r="QPF22" s="124"/>
      <c r="QPG22" s="124"/>
      <c r="QPH22" s="124"/>
      <c r="QPI22" s="124"/>
      <c r="QPJ22" s="124"/>
      <c r="QPK22" s="124"/>
      <c r="QPL22" s="124"/>
      <c r="QPM22" s="124"/>
      <c r="QPN22" s="124"/>
      <c r="QPO22" s="124"/>
      <c r="QPP22" s="124"/>
      <c r="QPQ22" s="124"/>
      <c r="QPR22" s="124"/>
      <c r="QPS22" s="124"/>
      <c r="QPT22" s="124"/>
      <c r="QPU22" s="124"/>
      <c r="QPV22" s="124"/>
      <c r="QPW22" s="124"/>
      <c r="QPX22" s="124"/>
      <c r="QPY22" s="124"/>
      <c r="QPZ22" s="124"/>
      <c r="QQA22" s="124"/>
      <c r="QQB22" s="124"/>
      <c r="QQC22" s="124"/>
      <c r="QQD22" s="124"/>
      <c r="QQE22" s="124"/>
      <c r="QQF22" s="124"/>
      <c r="QQG22" s="124"/>
      <c r="QQH22" s="124"/>
      <c r="QQI22" s="124"/>
      <c r="QQJ22" s="124"/>
      <c r="QQK22" s="124"/>
      <c r="QQL22" s="124"/>
      <c r="QQM22" s="124"/>
      <c r="QQN22" s="124"/>
      <c r="QQO22" s="124"/>
      <c r="QQP22" s="124"/>
      <c r="QQQ22" s="124"/>
      <c r="QQR22" s="124"/>
      <c r="QQS22" s="124"/>
      <c r="QQT22" s="124"/>
      <c r="QQU22" s="124"/>
      <c r="QQV22" s="124"/>
      <c r="QQW22" s="124"/>
      <c r="QQX22" s="124"/>
      <c r="QQY22" s="124"/>
      <c r="QQZ22" s="124"/>
      <c r="QRA22" s="124"/>
      <c r="QRB22" s="124"/>
      <c r="QRC22" s="124"/>
      <c r="QRD22" s="124"/>
      <c r="QRE22" s="124"/>
      <c r="QRF22" s="124"/>
      <c r="QRG22" s="124"/>
      <c r="QRH22" s="124"/>
      <c r="QRI22" s="124"/>
      <c r="QRJ22" s="124"/>
      <c r="QRK22" s="124"/>
      <c r="QRL22" s="124"/>
      <c r="QRM22" s="124"/>
      <c r="QRN22" s="124"/>
      <c r="QRO22" s="124"/>
      <c r="QRP22" s="124"/>
      <c r="QRQ22" s="124"/>
      <c r="QRR22" s="124"/>
      <c r="QRS22" s="124"/>
      <c r="QRT22" s="124"/>
      <c r="QRU22" s="124"/>
      <c r="QRV22" s="124"/>
      <c r="QRW22" s="124"/>
      <c r="QRX22" s="124"/>
      <c r="QRY22" s="124"/>
      <c r="QRZ22" s="124"/>
      <c r="QSA22" s="124"/>
      <c r="QSB22" s="124"/>
      <c r="QSC22" s="124"/>
      <c r="QSD22" s="124"/>
      <c r="QSE22" s="124"/>
      <c r="QSF22" s="124"/>
      <c r="QSG22" s="124"/>
      <c r="QSH22" s="124"/>
      <c r="QSI22" s="124"/>
      <c r="QSJ22" s="124"/>
      <c r="QSK22" s="124"/>
      <c r="QSL22" s="124"/>
      <c r="QSM22" s="124"/>
      <c r="QSN22" s="124"/>
      <c r="QSO22" s="124"/>
      <c r="QSP22" s="124"/>
      <c r="QSQ22" s="124"/>
      <c r="QSR22" s="124"/>
      <c r="QSS22" s="124"/>
      <c r="QST22" s="124"/>
      <c r="QSU22" s="124"/>
      <c r="QSV22" s="124"/>
      <c r="QSW22" s="124"/>
      <c r="QSX22" s="124"/>
      <c r="QSY22" s="124"/>
      <c r="QSZ22" s="124"/>
      <c r="QTA22" s="124"/>
      <c r="QTB22" s="124"/>
      <c r="QTC22" s="124"/>
      <c r="QTD22" s="124"/>
      <c r="QTE22" s="124"/>
      <c r="QTF22" s="124"/>
      <c r="QTG22" s="124"/>
      <c r="QTH22" s="124"/>
      <c r="QTI22" s="124"/>
      <c r="QTJ22" s="124"/>
      <c r="QTK22" s="124"/>
      <c r="QTL22" s="124"/>
      <c r="QTM22" s="124"/>
      <c r="QTN22" s="124"/>
      <c r="QTO22" s="124"/>
      <c r="QTP22" s="124"/>
      <c r="QTQ22" s="124"/>
      <c r="QTR22" s="124"/>
      <c r="QTS22" s="124"/>
      <c r="QTT22" s="124"/>
      <c r="QTU22" s="124"/>
      <c r="QTV22" s="124"/>
      <c r="QTW22" s="124"/>
      <c r="QTX22" s="124"/>
      <c r="QTY22" s="124"/>
      <c r="QTZ22" s="124"/>
      <c r="QUA22" s="124"/>
      <c r="QUB22" s="124"/>
      <c r="QUC22" s="124"/>
      <c r="QUD22" s="124"/>
      <c r="QUE22" s="124"/>
      <c r="QUF22" s="124"/>
      <c r="QUG22" s="124"/>
      <c r="QUH22" s="124"/>
      <c r="QUI22" s="124"/>
      <c r="QUJ22" s="124"/>
      <c r="QUK22" s="124"/>
      <c r="QUL22" s="124"/>
      <c r="QUM22" s="124"/>
      <c r="QUN22" s="124"/>
      <c r="QUO22" s="124"/>
      <c r="QUP22" s="124"/>
      <c r="QUQ22" s="124"/>
      <c r="QUR22" s="124"/>
      <c r="QUS22" s="124"/>
      <c r="QUT22" s="124"/>
      <c r="QUU22" s="124"/>
      <c r="QUV22" s="124"/>
      <c r="QUW22" s="124"/>
      <c r="QUX22" s="124"/>
      <c r="QUY22" s="124"/>
      <c r="QUZ22" s="124"/>
      <c r="QVA22" s="124"/>
      <c r="QVB22" s="124"/>
      <c r="QVC22" s="124"/>
      <c r="QVD22" s="124"/>
      <c r="QVE22" s="124"/>
      <c r="QVF22" s="124"/>
      <c r="QVG22" s="124"/>
      <c r="QVH22" s="124"/>
      <c r="QVI22" s="124"/>
      <c r="QVJ22" s="124"/>
      <c r="QVK22" s="124"/>
      <c r="QVL22" s="124"/>
      <c r="QVM22" s="124"/>
      <c r="QVN22" s="124"/>
      <c r="QVO22" s="124"/>
      <c r="QVP22" s="124"/>
      <c r="QVQ22" s="124"/>
      <c r="QVR22" s="124"/>
      <c r="QVS22" s="124"/>
      <c r="QVT22" s="124"/>
      <c r="QVU22" s="124"/>
      <c r="QVV22" s="124"/>
      <c r="QVW22" s="124"/>
      <c r="QVX22" s="124"/>
      <c r="QVY22" s="124"/>
      <c r="QVZ22" s="124"/>
      <c r="QWA22" s="124"/>
      <c r="QWB22" s="124"/>
      <c r="QWC22" s="124"/>
      <c r="QWD22" s="124"/>
      <c r="QWE22" s="124"/>
      <c r="QWF22" s="124"/>
      <c r="QWG22" s="124"/>
      <c r="QWH22" s="124"/>
      <c r="QWI22" s="124"/>
      <c r="QWJ22" s="124"/>
      <c r="QWK22" s="124"/>
      <c r="QWL22" s="124"/>
      <c r="QWM22" s="124"/>
      <c r="QWN22" s="124"/>
      <c r="QWO22" s="124"/>
      <c r="QWP22" s="124"/>
      <c r="QWQ22" s="124"/>
      <c r="QWR22" s="124"/>
      <c r="QWS22" s="124"/>
      <c r="QWT22" s="124"/>
      <c r="QWU22" s="124"/>
      <c r="QWV22" s="124"/>
      <c r="QWW22" s="124"/>
      <c r="QWX22" s="124"/>
      <c r="QWY22" s="124"/>
      <c r="QWZ22" s="124"/>
      <c r="QXA22" s="124"/>
      <c r="QXB22" s="124"/>
      <c r="QXC22" s="124"/>
      <c r="QXD22" s="124"/>
      <c r="QXE22" s="124"/>
      <c r="QXF22" s="124"/>
      <c r="QXG22" s="124"/>
      <c r="QXH22" s="124"/>
      <c r="QXI22" s="124"/>
      <c r="QXJ22" s="124"/>
      <c r="QXK22" s="124"/>
      <c r="QXL22" s="124"/>
      <c r="QXM22" s="124"/>
      <c r="QXN22" s="124"/>
      <c r="QXO22" s="124"/>
      <c r="QXP22" s="124"/>
      <c r="QXQ22" s="124"/>
      <c r="QXR22" s="124"/>
      <c r="QXS22" s="124"/>
      <c r="QXT22" s="124"/>
      <c r="QXU22" s="124"/>
      <c r="QXV22" s="124"/>
      <c r="QXW22" s="124"/>
      <c r="QXX22" s="124"/>
      <c r="QXY22" s="124"/>
      <c r="QXZ22" s="124"/>
      <c r="QYA22" s="124"/>
      <c r="QYB22" s="124"/>
      <c r="QYC22" s="124"/>
      <c r="QYD22" s="124"/>
      <c r="QYE22" s="124"/>
      <c r="QYF22" s="124"/>
      <c r="QYG22" s="124"/>
      <c r="QYH22" s="124"/>
      <c r="QYI22" s="124"/>
      <c r="QYJ22" s="124"/>
      <c r="QYK22" s="124"/>
      <c r="QYL22" s="124"/>
      <c r="QYM22" s="124"/>
      <c r="QYN22" s="124"/>
      <c r="QYO22" s="124"/>
      <c r="QYP22" s="124"/>
      <c r="QYQ22" s="124"/>
      <c r="QYR22" s="124"/>
      <c r="QYS22" s="124"/>
      <c r="QYT22" s="124"/>
      <c r="QYU22" s="124"/>
      <c r="QYV22" s="124"/>
      <c r="QYW22" s="124"/>
      <c r="QYX22" s="124"/>
      <c r="QYY22" s="124"/>
      <c r="QYZ22" s="124"/>
      <c r="QZA22" s="124"/>
      <c r="QZB22" s="124"/>
      <c r="QZC22" s="124"/>
      <c r="QZD22" s="124"/>
      <c r="QZE22" s="124"/>
      <c r="QZF22" s="124"/>
      <c r="QZG22" s="124"/>
      <c r="QZH22" s="124"/>
      <c r="QZI22" s="124"/>
      <c r="QZJ22" s="124"/>
      <c r="QZK22" s="124"/>
      <c r="QZL22" s="124"/>
      <c r="QZM22" s="124"/>
      <c r="QZN22" s="124"/>
      <c r="QZO22" s="124"/>
      <c r="QZP22" s="124"/>
      <c r="QZQ22" s="124"/>
      <c r="QZR22" s="124"/>
      <c r="QZS22" s="124"/>
      <c r="QZT22" s="124"/>
      <c r="QZU22" s="124"/>
      <c r="QZV22" s="124"/>
      <c r="QZW22" s="124"/>
      <c r="QZX22" s="124"/>
      <c r="QZY22" s="124"/>
      <c r="QZZ22" s="124"/>
      <c r="RAA22" s="124"/>
      <c r="RAB22" s="124"/>
      <c r="RAC22" s="124"/>
      <c r="RAD22" s="124"/>
      <c r="RAE22" s="124"/>
      <c r="RAF22" s="124"/>
      <c r="RAG22" s="124"/>
      <c r="RAH22" s="124"/>
      <c r="RAI22" s="124"/>
      <c r="RAJ22" s="124"/>
      <c r="RAK22" s="124"/>
      <c r="RAL22" s="124"/>
      <c r="RAM22" s="124"/>
      <c r="RAN22" s="124"/>
      <c r="RAO22" s="124"/>
      <c r="RAP22" s="124"/>
      <c r="RAQ22" s="124"/>
      <c r="RAR22" s="124"/>
      <c r="RAS22" s="124"/>
      <c r="RAT22" s="124"/>
      <c r="RAU22" s="124"/>
      <c r="RAV22" s="124"/>
      <c r="RAW22" s="124"/>
      <c r="RAX22" s="124"/>
      <c r="RAY22" s="124"/>
      <c r="RAZ22" s="124"/>
      <c r="RBA22" s="124"/>
      <c r="RBB22" s="124"/>
      <c r="RBC22" s="124"/>
      <c r="RBD22" s="124"/>
      <c r="RBE22" s="124"/>
      <c r="RBF22" s="124"/>
      <c r="RBG22" s="124"/>
      <c r="RBH22" s="124"/>
      <c r="RBI22" s="124"/>
      <c r="RBJ22" s="124"/>
      <c r="RBK22" s="124"/>
      <c r="RBL22" s="124"/>
      <c r="RBM22" s="124"/>
      <c r="RBN22" s="124"/>
      <c r="RBO22" s="124"/>
      <c r="RBP22" s="124"/>
      <c r="RBQ22" s="124"/>
      <c r="RBR22" s="124"/>
      <c r="RBS22" s="124"/>
      <c r="RBT22" s="124"/>
      <c r="RBU22" s="124"/>
      <c r="RBV22" s="124"/>
      <c r="RBW22" s="124"/>
      <c r="RBX22" s="124"/>
      <c r="RBY22" s="124"/>
      <c r="RBZ22" s="124"/>
      <c r="RCA22" s="124"/>
      <c r="RCB22" s="124"/>
      <c r="RCC22" s="124"/>
      <c r="RCD22" s="124"/>
      <c r="RCE22" s="124"/>
      <c r="RCF22" s="124"/>
      <c r="RCG22" s="124"/>
      <c r="RCH22" s="124"/>
      <c r="RCI22" s="124"/>
      <c r="RCJ22" s="124"/>
      <c r="RCK22" s="124"/>
      <c r="RCL22" s="124"/>
      <c r="RCM22" s="124"/>
      <c r="RCN22" s="124"/>
      <c r="RCO22" s="124"/>
      <c r="RCP22" s="124"/>
      <c r="RCQ22" s="124"/>
      <c r="RCR22" s="124"/>
      <c r="RCS22" s="124"/>
      <c r="RCT22" s="124"/>
      <c r="RCU22" s="124"/>
      <c r="RCV22" s="124"/>
      <c r="RCW22" s="124"/>
      <c r="RCX22" s="124"/>
      <c r="RCY22" s="124"/>
      <c r="RCZ22" s="124"/>
      <c r="RDA22" s="124"/>
      <c r="RDB22" s="124"/>
      <c r="RDC22" s="124"/>
      <c r="RDD22" s="124"/>
      <c r="RDE22" s="124"/>
      <c r="RDF22" s="124"/>
      <c r="RDG22" s="124"/>
      <c r="RDH22" s="124"/>
      <c r="RDI22" s="124"/>
      <c r="RDJ22" s="124"/>
      <c r="RDK22" s="124"/>
      <c r="RDL22" s="124"/>
      <c r="RDM22" s="124"/>
      <c r="RDN22" s="124"/>
      <c r="RDO22" s="124"/>
      <c r="RDP22" s="124"/>
      <c r="RDQ22" s="124"/>
      <c r="RDR22" s="124"/>
      <c r="RDS22" s="124"/>
      <c r="RDT22" s="124"/>
      <c r="RDU22" s="124"/>
      <c r="RDV22" s="124"/>
      <c r="RDW22" s="124"/>
      <c r="RDX22" s="124"/>
      <c r="RDY22" s="124"/>
      <c r="RDZ22" s="124"/>
      <c r="REA22" s="124"/>
      <c r="REB22" s="124"/>
      <c r="REC22" s="124"/>
      <c r="RED22" s="124"/>
      <c r="REE22" s="124"/>
      <c r="REF22" s="124"/>
      <c r="REG22" s="124"/>
      <c r="REH22" s="124"/>
      <c r="REI22" s="124"/>
      <c r="REJ22" s="124"/>
      <c r="REK22" s="124"/>
      <c r="REL22" s="124"/>
      <c r="REM22" s="124"/>
      <c r="REN22" s="124"/>
      <c r="REO22" s="124"/>
      <c r="REP22" s="124"/>
      <c r="REQ22" s="124"/>
      <c r="RER22" s="124"/>
      <c r="RES22" s="124"/>
      <c r="RET22" s="124"/>
      <c r="REU22" s="124"/>
      <c r="REV22" s="124"/>
      <c r="REW22" s="124"/>
      <c r="REX22" s="124"/>
      <c r="REY22" s="124"/>
      <c r="REZ22" s="124"/>
      <c r="RFA22" s="124"/>
      <c r="RFB22" s="124"/>
      <c r="RFC22" s="124"/>
      <c r="RFD22" s="124"/>
      <c r="RFE22" s="124"/>
      <c r="RFF22" s="124"/>
      <c r="RFG22" s="124"/>
      <c r="RFH22" s="124"/>
      <c r="RFI22" s="124"/>
      <c r="RFJ22" s="124"/>
      <c r="RFK22" s="124"/>
      <c r="RFL22" s="124"/>
      <c r="RFM22" s="124"/>
      <c r="RFN22" s="124"/>
      <c r="RFO22" s="124"/>
      <c r="RFP22" s="124"/>
      <c r="RFQ22" s="124"/>
      <c r="RFR22" s="124"/>
      <c r="RFS22" s="124"/>
      <c r="RFT22" s="124"/>
      <c r="RFU22" s="124"/>
      <c r="RFV22" s="124"/>
      <c r="RFW22" s="124"/>
      <c r="RFX22" s="124"/>
      <c r="RFY22" s="124"/>
      <c r="RFZ22" s="124"/>
      <c r="RGA22" s="124"/>
      <c r="RGB22" s="124"/>
      <c r="RGC22" s="124"/>
      <c r="RGD22" s="124"/>
      <c r="RGE22" s="124"/>
      <c r="RGF22" s="124"/>
      <c r="RGG22" s="124"/>
      <c r="RGH22" s="124"/>
      <c r="RGI22" s="124"/>
      <c r="RGJ22" s="124"/>
      <c r="RGK22" s="124"/>
      <c r="RGL22" s="124"/>
      <c r="RGM22" s="124"/>
      <c r="RGN22" s="124"/>
      <c r="RGO22" s="124"/>
      <c r="RGP22" s="124"/>
      <c r="RGQ22" s="124"/>
      <c r="RGR22" s="124"/>
      <c r="RGS22" s="124"/>
      <c r="RGT22" s="124"/>
      <c r="RGU22" s="124"/>
      <c r="RGV22" s="124"/>
      <c r="RGW22" s="124"/>
      <c r="RGX22" s="124"/>
      <c r="RGY22" s="124"/>
      <c r="RGZ22" s="124"/>
      <c r="RHA22" s="124"/>
      <c r="RHB22" s="124"/>
      <c r="RHC22" s="124"/>
      <c r="RHD22" s="124"/>
      <c r="RHE22" s="124"/>
      <c r="RHF22" s="124"/>
      <c r="RHG22" s="124"/>
      <c r="RHH22" s="124"/>
      <c r="RHI22" s="124"/>
      <c r="RHJ22" s="124"/>
      <c r="RHK22" s="124"/>
      <c r="RHL22" s="124"/>
      <c r="RHM22" s="124"/>
      <c r="RHN22" s="124"/>
      <c r="RHO22" s="124"/>
      <c r="RHP22" s="124"/>
      <c r="RHQ22" s="124"/>
      <c r="RHR22" s="124"/>
      <c r="RHS22" s="124"/>
      <c r="RHT22" s="124"/>
      <c r="RHU22" s="124"/>
      <c r="RHV22" s="124"/>
      <c r="RHW22" s="124"/>
      <c r="RHX22" s="124"/>
      <c r="RHY22" s="124"/>
      <c r="RHZ22" s="124"/>
      <c r="RIA22" s="124"/>
      <c r="RIB22" s="124"/>
      <c r="RIC22" s="124"/>
      <c r="RID22" s="124"/>
      <c r="RIE22" s="124"/>
      <c r="RIF22" s="124"/>
      <c r="RIG22" s="124"/>
      <c r="RIH22" s="124"/>
      <c r="RII22" s="124"/>
      <c r="RIJ22" s="124"/>
      <c r="RIK22" s="124"/>
      <c r="RIL22" s="124"/>
      <c r="RIM22" s="124"/>
      <c r="RIN22" s="124"/>
      <c r="RIO22" s="124"/>
      <c r="RIP22" s="124"/>
      <c r="RIQ22" s="124"/>
      <c r="RIR22" s="124"/>
      <c r="RIS22" s="124"/>
      <c r="RIT22" s="124"/>
      <c r="RIU22" s="124"/>
      <c r="RIV22" s="124"/>
      <c r="RIW22" s="124"/>
      <c r="RIX22" s="124"/>
      <c r="RIY22" s="124"/>
      <c r="RIZ22" s="124"/>
      <c r="RJA22" s="124"/>
      <c r="RJB22" s="124"/>
      <c r="RJC22" s="124"/>
      <c r="RJD22" s="124"/>
      <c r="RJE22" s="124"/>
      <c r="RJF22" s="124"/>
      <c r="RJG22" s="124"/>
      <c r="RJH22" s="124"/>
      <c r="RJI22" s="124"/>
      <c r="RJJ22" s="124"/>
      <c r="RJK22" s="124"/>
      <c r="RJL22" s="124"/>
      <c r="RJM22" s="124"/>
      <c r="RJN22" s="124"/>
      <c r="RJO22" s="124"/>
      <c r="RJP22" s="124"/>
      <c r="RJQ22" s="124"/>
      <c r="RJR22" s="124"/>
      <c r="RJS22" s="124"/>
      <c r="RJT22" s="124"/>
      <c r="RJU22" s="124"/>
      <c r="RJV22" s="124"/>
      <c r="RJW22" s="124"/>
      <c r="RJX22" s="124"/>
      <c r="RJY22" s="124"/>
      <c r="RJZ22" s="124"/>
      <c r="RKA22" s="124"/>
      <c r="RKB22" s="124"/>
      <c r="RKC22" s="124"/>
      <c r="RKD22" s="124"/>
      <c r="RKE22" s="124"/>
      <c r="RKF22" s="124"/>
      <c r="RKG22" s="124"/>
      <c r="RKH22" s="124"/>
      <c r="RKI22" s="124"/>
      <c r="RKJ22" s="124"/>
      <c r="RKK22" s="124"/>
      <c r="RKL22" s="124"/>
      <c r="RKM22" s="124"/>
      <c r="RKN22" s="124"/>
      <c r="RKO22" s="124"/>
      <c r="RKP22" s="124"/>
      <c r="RKQ22" s="124"/>
      <c r="RKR22" s="124"/>
      <c r="RKS22" s="124"/>
      <c r="RKT22" s="124"/>
      <c r="RKU22" s="124"/>
      <c r="RKV22" s="124"/>
      <c r="RKW22" s="124"/>
      <c r="RKX22" s="124"/>
      <c r="RKY22" s="124"/>
      <c r="RKZ22" s="124"/>
      <c r="RLA22" s="124"/>
      <c r="RLB22" s="124"/>
      <c r="RLC22" s="124"/>
      <c r="RLD22" s="124"/>
      <c r="RLE22" s="124"/>
      <c r="RLF22" s="124"/>
      <c r="RLG22" s="124"/>
      <c r="RLH22" s="124"/>
      <c r="RLI22" s="124"/>
      <c r="RLJ22" s="124"/>
      <c r="RLK22" s="124"/>
      <c r="RLL22" s="124"/>
      <c r="RLM22" s="124"/>
      <c r="RLN22" s="124"/>
      <c r="RLO22" s="124"/>
      <c r="RLP22" s="124"/>
      <c r="RLQ22" s="124"/>
      <c r="RLR22" s="124"/>
      <c r="RLS22" s="124"/>
      <c r="RLT22" s="124"/>
      <c r="RLU22" s="124"/>
      <c r="RLV22" s="124"/>
      <c r="RLW22" s="124"/>
      <c r="RLX22" s="124"/>
      <c r="RLY22" s="124"/>
      <c r="RLZ22" s="124"/>
      <c r="RMA22" s="124"/>
      <c r="RMB22" s="124"/>
      <c r="RMC22" s="124"/>
      <c r="RMD22" s="124"/>
      <c r="RME22" s="124"/>
      <c r="RMF22" s="124"/>
      <c r="RMG22" s="124"/>
      <c r="RMH22" s="124"/>
      <c r="RMI22" s="124"/>
      <c r="RMJ22" s="124"/>
      <c r="RMK22" s="124"/>
      <c r="RML22" s="124"/>
      <c r="RMM22" s="124"/>
      <c r="RMN22" s="124"/>
      <c r="RMO22" s="124"/>
      <c r="RMP22" s="124"/>
      <c r="RMQ22" s="124"/>
      <c r="RMR22" s="124"/>
      <c r="RMS22" s="124"/>
      <c r="RMT22" s="124"/>
      <c r="RMU22" s="124"/>
      <c r="RMV22" s="124"/>
      <c r="RMW22" s="124"/>
      <c r="RMX22" s="124"/>
      <c r="RMY22" s="124"/>
      <c r="RMZ22" s="124"/>
      <c r="RNA22" s="124"/>
      <c r="RNB22" s="124"/>
      <c r="RNC22" s="124"/>
      <c r="RND22" s="124"/>
      <c r="RNE22" s="124"/>
      <c r="RNF22" s="124"/>
      <c r="RNG22" s="124"/>
      <c r="RNH22" s="124"/>
      <c r="RNI22" s="124"/>
      <c r="RNJ22" s="124"/>
      <c r="RNK22" s="124"/>
      <c r="RNL22" s="124"/>
      <c r="RNM22" s="124"/>
      <c r="RNN22" s="124"/>
      <c r="RNO22" s="124"/>
      <c r="RNP22" s="124"/>
      <c r="RNQ22" s="124"/>
      <c r="RNR22" s="124"/>
      <c r="RNS22" s="124"/>
      <c r="RNT22" s="124"/>
      <c r="RNU22" s="124"/>
      <c r="RNV22" s="124"/>
      <c r="RNW22" s="124"/>
      <c r="RNX22" s="124"/>
      <c r="RNY22" s="124"/>
      <c r="RNZ22" s="124"/>
      <c r="ROA22" s="124"/>
      <c r="ROB22" s="124"/>
      <c r="ROC22" s="124"/>
      <c r="ROD22" s="124"/>
      <c r="ROE22" s="124"/>
      <c r="ROF22" s="124"/>
      <c r="ROG22" s="124"/>
      <c r="ROH22" s="124"/>
      <c r="ROI22" s="124"/>
      <c r="ROJ22" s="124"/>
      <c r="ROK22" s="124"/>
      <c r="ROL22" s="124"/>
      <c r="ROM22" s="124"/>
      <c r="RON22" s="124"/>
      <c r="ROO22" s="124"/>
      <c r="ROP22" s="124"/>
      <c r="ROQ22" s="124"/>
      <c r="ROR22" s="124"/>
      <c r="ROS22" s="124"/>
      <c r="ROT22" s="124"/>
      <c r="ROU22" s="124"/>
      <c r="ROV22" s="124"/>
      <c r="ROW22" s="124"/>
      <c r="ROX22" s="124"/>
      <c r="ROY22" s="124"/>
      <c r="ROZ22" s="124"/>
      <c r="RPA22" s="124"/>
      <c r="RPB22" s="124"/>
      <c r="RPC22" s="124"/>
      <c r="RPD22" s="124"/>
      <c r="RPE22" s="124"/>
      <c r="RPF22" s="124"/>
      <c r="RPG22" s="124"/>
      <c r="RPH22" s="124"/>
      <c r="RPI22" s="124"/>
      <c r="RPJ22" s="124"/>
      <c r="RPK22" s="124"/>
      <c r="RPL22" s="124"/>
      <c r="RPM22" s="124"/>
      <c r="RPN22" s="124"/>
      <c r="RPO22" s="124"/>
      <c r="RPP22" s="124"/>
      <c r="RPQ22" s="124"/>
      <c r="RPR22" s="124"/>
      <c r="RPS22" s="124"/>
      <c r="RPT22" s="124"/>
      <c r="RPU22" s="124"/>
      <c r="RPV22" s="124"/>
      <c r="RPW22" s="124"/>
      <c r="RPX22" s="124"/>
      <c r="RPY22" s="124"/>
      <c r="RPZ22" s="124"/>
      <c r="RQA22" s="124"/>
      <c r="RQB22" s="124"/>
      <c r="RQC22" s="124"/>
      <c r="RQD22" s="124"/>
      <c r="RQE22" s="124"/>
      <c r="RQF22" s="124"/>
      <c r="RQG22" s="124"/>
      <c r="RQH22" s="124"/>
      <c r="RQI22" s="124"/>
      <c r="RQJ22" s="124"/>
      <c r="RQK22" s="124"/>
      <c r="RQL22" s="124"/>
      <c r="RQM22" s="124"/>
      <c r="RQN22" s="124"/>
      <c r="RQO22" s="124"/>
      <c r="RQP22" s="124"/>
      <c r="RQQ22" s="124"/>
      <c r="RQR22" s="124"/>
      <c r="RQS22" s="124"/>
      <c r="RQT22" s="124"/>
      <c r="RQU22" s="124"/>
      <c r="RQV22" s="124"/>
      <c r="RQW22" s="124"/>
      <c r="RQX22" s="124"/>
      <c r="RQY22" s="124"/>
      <c r="RQZ22" s="124"/>
      <c r="RRA22" s="124"/>
      <c r="RRB22" s="124"/>
      <c r="RRC22" s="124"/>
      <c r="RRD22" s="124"/>
      <c r="RRE22" s="124"/>
      <c r="RRF22" s="124"/>
      <c r="RRG22" s="124"/>
      <c r="RRH22" s="124"/>
      <c r="RRI22" s="124"/>
      <c r="RRJ22" s="124"/>
      <c r="RRK22" s="124"/>
      <c r="RRL22" s="124"/>
      <c r="RRM22" s="124"/>
      <c r="RRN22" s="124"/>
      <c r="RRO22" s="124"/>
      <c r="RRP22" s="124"/>
      <c r="RRQ22" s="124"/>
      <c r="RRR22" s="124"/>
      <c r="RRS22" s="124"/>
      <c r="RRT22" s="124"/>
      <c r="RRU22" s="124"/>
      <c r="RRV22" s="124"/>
      <c r="RRW22" s="124"/>
      <c r="RRX22" s="124"/>
      <c r="RRY22" s="124"/>
      <c r="RRZ22" s="124"/>
      <c r="RSA22" s="124"/>
      <c r="RSB22" s="124"/>
      <c r="RSC22" s="124"/>
      <c r="RSD22" s="124"/>
      <c r="RSE22" s="124"/>
      <c r="RSF22" s="124"/>
      <c r="RSG22" s="124"/>
      <c r="RSH22" s="124"/>
      <c r="RSI22" s="124"/>
      <c r="RSJ22" s="124"/>
      <c r="RSK22" s="124"/>
      <c r="RSL22" s="124"/>
      <c r="RSM22" s="124"/>
      <c r="RSN22" s="124"/>
      <c r="RSO22" s="124"/>
      <c r="RSP22" s="124"/>
      <c r="RSQ22" s="124"/>
      <c r="RSR22" s="124"/>
      <c r="RSS22" s="124"/>
      <c r="RST22" s="124"/>
      <c r="RSU22" s="124"/>
      <c r="RSV22" s="124"/>
      <c r="RSW22" s="124"/>
      <c r="RSX22" s="124"/>
      <c r="RSY22" s="124"/>
      <c r="RSZ22" s="124"/>
      <c r="RTA22" s="124"/>
      <c r="RTB22" s="124"/>
      <c r="RTC22" s="124"/>
      <c r="RTD22" s="124"/>
      <c r="RTE22" s="124"/>
      <c r="RTF22" s="124"/>
      <c r="RTG22" s="124"/>
      <c r="RTH22" s="124"/>
      <c r="RTI22" s="124"/>
      <c r="RTJ22" s="124"/>
      <c r="RTK22" s="124"/>
      <c r="RTL22" s="124"/>
      <c r="RTM22" s="124"/>
      <c r="RTN22" s="124"/>
      <c r="RTO22" s="124"/>
      <c r="RTP22" s="124"/>
      <c r="RTQ22" s="124"/>
      <c r="RTR22" s="124"/>
      <c r="RTS22" s="124"/>
      <c r="RTT22" s="124"/>
      <c r="RTU22" s="124"/>
      <c r="RTV22" s="124"/>
      <c r="RTW22" s="124"/>
      <c r="RTX22" s="124"/>
      <c r="RTY22" s="124"/>
      <c r="RTZ22" s="124"/>
      <c r="RUA22" s="124"/>
      <c r="RUB22" s="124"/>
      <c r="RUC22" s="124"/>
      <c r="RUD22" s="124"/>
      <c r="RUE22" s="124"/>
      <c r="RUF22" s="124"/>
      <c r="RUG22" s="124"/>
      <c r="RUH22" s="124"/>
      <c r="RUI22" s="124"/>
      <c r="RUJ22" s="124"/>
      <c r="RUK22" s="124"/>
      <c r="RUL22" s="124"/>
      <c r="RUM22" s="124"/>
      <c r="RUN22" s="124"/>
      <c r="RUO22" s="124"/>
      <c r="RUP22" s="124"/>
      <c r="RUQ22" s="124"/>
      <c r="RUR22" s="124"/>
      <c r="RUS22" s="124"/>
      <c r="RUT22" s="124"/>
      <c r="RUU22" s="124"/>
      <c r="RUV22" s="124"/>
      <c r="RUW22" s="124"/>
      <c r="RUX22" s="124"/>
      <c r="RUY22" s="124"/>
      <c r="RUZ22" s="124"/>
      <c r="RVA22" s="124"/>
      <c r="RVB22" s="124"/>
      <c r="RVC22" s="124"/>
      <c r="RVD22" s="124"/>
      <c r="RVE22" s="124"/>
      <c r="RVF22" s="124"/>
      <c r="RVG22" s="124"/>
      <c r="RVH22" s="124"/>
      <c r="RVI22" s="124"/>
      <c r="RVJ22" s="124"/>
      <c r="RVK22" s="124"/>
      <c r="RVL22" s="124"/>
      <c r="RVM22" s="124"/>
      <c r="RVN22" s="124"/>
      <c r="RVO22" s="124"/>
      <c r="RVP22" s="124"/>
      <c r="RVQ22" s="124"/>
      <c r="RVR22" s="124"/>
      <c r="RVS22" s="124"/>
      <c r="RVT22" s="124"/>
      <c r="RVU22" s="124"/>
      <c r="RVV22" s="124"/>
      <c r="RVW22" s="124"/>
      <c r="RVX22" s="124"/>
      <c r="RVY22" s="124"/>
      <c r="RVZ22" s="124"/>
      <c r="RWA22" s="124"/>
      <c r="RWB22" s="124"/>
      <c r="RWC22" s="124"/>
      <c r="RWD22" s="124"/>
      <c r="RWE22" s="124"/>
      <c r="RWF22" s="124"/>
      <c r="RWG22" s="124"/>
      <c r="RWH22" s="124"/>
      <c r="RWI22" s="124"/>
      <c r="RWJ22" s="124"/>
      <c r="RWK22" s="124"/>
      <c r="RWL22" s="124"/>
      <c r="RWM22" s="124"/>
      <c r="RWN22" s="124"/>
      <c r="RWO22" s="124"/>
      <c r="RWP22" s="124"/>
      <c r="RWQ22" s="124"/>
      <c r="RWR22" s="124"/>
      <c r="RWS22" s="124"/>
      <c r="RWT22" s="124"/>
      <c r="RWU22" s="124"/>
      <c r="RWV22" s="124"/>
      <c r="RWW22" s="124"/>
      <c r="RWX22" s="124"/>
      <c r="RWY22" s="124"/>
      <c r="RWZ22" s="124"/>
      <c r="RXA22" s="124"/>
      <c r="RXB22" s="124"/>
      <c r="RXC22" s="124"/>
      <c r="RXD22" s="124"/>
      <c r="RXE22" s="124"/>
      <c r="RXF22" s="124"/>
      <c r="RXG22" s="124"/>
      <c r="RXH22" s="124"/>
      <c r="RXI22" s="124"/>
      <c r="RXJ22" s="124"/>
      <c r="RXK22" s="124"/>
      <c r="RXL22" s="124"/>
      <c r="RXM22" s="124"/>
      <c r="RXN22" s="124"/>
      <c r="RXO22" s="124"/>
      <c r="RXP22" s="124"/>
      <c r="RXQ22" s="124"/>
      <c r="RXR22" s="124"/>
      <c r="RXS22" s="124"/>
      <c r="RXT22" s="124"/>
      <c r="RXU22" s="124"/>
      <c r="RXV22" s="124"/>
      <c r="RXW22" s="124"/>
      <c r="RXX22" s="124"/>
      <c r="RXY22" s="124"/>
      <c r="RXZ22" s="124"/>
      <c r="RYA22" s="124"/>
      <c r="RYB22" s="124"/>
      <c r="RYC22" s="124"/>
      <c r="RYD22" s="124"/>
      <c r="RYE22" s="124"/>
      <c r="RYF22" s="124"/>
      <c r="RYG22" s="124"/>
      <c r="RYH22" s="124"/>
      <c r="RYI22" s="124"/>
      <c r="RYJ22" s="124"/>
      <c r="RYK22" s="124"/>
      <c r="RYL22" s="124"/>
      <c r="RYM22" s="124"/>
      <c r="RYN22" s="124"/>
      <c r="RYO22" s="124"/>
      <c r="RYP22" s="124"/>
      <c r="RYQ22" s="124"/>
      <c r="RYR22" s="124"/>
      <c r="RYS22" s="124"/>
      <c r="RYT22" s="124"/>
      <c r="RYU22" s="124"/>
      <c r="RYV22" s="124"/>
      <c r="RYW22" s="124"/>
      <c r="RYX22" s="124"/>
      <c r="RYY22" s="124"/>
      <c r="RYZ22" s="124"/>
      <c r="RZA22" s="124"/>
      <c r="RZB22" s="124"/>
      <c r="RZC22" s="124"/>
      <c r="RZD22" s="124"/>
      <c r="RZE22" s="124"/>
      <c r="RZF22" s="124"/>
      <c r="RZG22" s="124"/>
      <c r="RZH22" s="124"/>
      <c r="RZI22" s="124"/>
      <c r="RZJ22" s="124"/>
      <c r="RZK22" s="124"/>
      <c r="RZL22" s="124"/>
      <c r="RZM22" s="124"/>
      <c r="RZN22" s="124"/>
      <c r="RZO22" s="124"/>
      <c r="RZP22" s="124"/>
      <c r="RZQ22" s="124"/>
      <c r="RZR22" s="124"/>
      <c r="RZS22" s="124"/>
      <c r="RZT22" s="124"/>
      <c r="RZU22" s="124"/>
      <c r="RZV22" s="124"/>
      <c r="RZW22" s="124"/>
      <c r="RZX22" s="124"/>
      <c r="RZY22" s="124"/>
      <c r="RZZ22" s="124"/>
      <c r="SAA22" s="124"/>
      <c r="SAB22" s="124"/>
      <c r="SAC22" s="124"/>
      <c r="SAD22" s="124"/>
      <c r="SAE22" s="124"/>
      <c r="SAF22" s="124"/>
      <c r="SAG22" s="124"/>
      <c r="SAH22" s="124"/>
      <c r="SAI22" s="124"/>
      <c r="SAJ22" s="124"/>
      <c r="SAK22" s="124"/>
      <c r="SAL22" s="124"/>
      <c r="SAM22" s="124"/>
      <c r="SAN22" s="124"/>
      <c r="SAO22" s="124"/>
      <c r="SAP22" s="124"/>
      <c r="SAQ22" s="124"/>
      <c r="SAR22" s="124"/>
      <c r="SAS22" s="124"/>
      <c r="SAT22" s="124"/>
      <c r="SAU22" s="124"/>
      <c r="SAV22" s="124"/>
      <c r="SAW22" s="124"/>
      <c r="SAX22" s="124"/>
      <c r="SAY22" s="124"/>
      <c r="SAZ22" s="124"/>
      <c r="SBA22" s="124"/>
      <c r="SBB22" s="124"/>
      <c r="SBC22" s="124"/>
      <c r="SBD22" s="124"/>
      <c r="SBE22" s="124"/>
      <c r="SBF22" s="124"/>
      <c r="SBG22" s="124"/>
      <c r="SBH22" s="124"/>
      <c r="SBI22" s="124"/>
      <c r="SBJ22" s="124"/>
      <c r="SBK22" s="124"/>
      <c r="SBL22" s="124"/>
      <c r="SBM22" s="124"/>
      <c r="SBN22" s="124"/>
      <c r="SBO22" s="124"/>
      <c r="SBP22" s="124"/>
      <c r="SBQ22" s="124"/>
      <c r="SBR22" s="124"/>
      <c r="SBS22" s="124"/>
      <c r="SBT22" s="124"/>
      <c r="SBU22" s="124"/>
      <c r="SBV22" s="124"/>
      <c r="SBW22" s="124"/>
      <c r="SBX22" s="124"/>
      <c r="SBY22" s="124"/>
      <c r="SBZ22" s="124"/>
      <c r="SCA22" s="124"/>
      <c r="SCB22" s="124"/>
      <c r="SCC22" s="124"/>
      <c r="SCD22" s="124"/>
      <c r="SCE22" s="124"/>
      <c r="SCF22" s="124"/>
      <c r="SCG22" s="124"/>
      <c r="SCH22" s="124"/>
      <c r="SCI22" s="124"/>
      <c r="SCJ22" s="124"/>
      <c r="SCK22" s="124"/>
      <c r="SCL22" s="124"/>
      <c r="SCM22" s="124"/>
      <c r="SCN22" s="124"/>
      <c r="SCO22" s="124"/>
      <c r="SCP22" s="124"/>
      <c r="SCQ22" s="124"/>
      <c r="SCR22" s="124"/>
      <c r="SCS22" s="124"/>
      <c r="SCT22" s="124"/>
      <c r="SCU22" s="124"/>
      <c r="SCV22" s="124"/>
      <c r="SCW22" s="124"/>
      <c r="SCX22" s="124"/>
      <c r="SCY22" s="124"/>
      <c r="SCZ22" s="124"/>
      <c r="SDA22" s="124"/>
      <c r="SDB22" s="124"/>
      <c r="SDC22" s="124"/>
      <c r="SDD22" s="124"/>
      <c r="SDE22" s="124"/>
      <c r="SDF22" s="124"/>
      <c r="SDG22" s="124"/>
      <c r="SDH22" s="124"/>
      <c r="SDI22" s="124"/>
      <c r="SDJ22" s="124"/>
      <c r="SDK22" s="124"/>
      <c r="SDL22" s="124"/>
      <c r="SDM22" s="124"/>
      <c r="SDN22" s="124"/>
      <c r="SDO22" s="124"/>
      <c r="SDP22" s="124"/>
      <c r="SDQ22" s="124"/>
      <c r="SDR22" s="124"/>
      <c r="SDS22" s="124"/>
      <c r="SDT22" s="124"/>
      <c r="SDU22" s="124"/>
      <c r="SDV22" s="124"/>
      <c r="SDW22" s="124"/>
      <c r="SDX22" s="124"/>
      <c r="SDY22" s="124"/>
      <c r="SDZ22" s="124"/>
      <c r="SEA22" s="124"/>
      <c r="SEB22" s="124"/>
      <c r="SEC22" s="124"/>
      <c r="SED22" s="124"/>
      <c r="SEE22" s="124"/>
      <c r="SEF22" s="124"/>
      <c r="SEG22" s="124"/>
      <c r="SEH22" s="124"/>
      <c r="SEI22" s="124"/>
      <c r="SEJ22" s="124"/>
      <c r="SEK22" s="124"/>
      <c r="SEL22" s="124"/>
      <c r="SEM22" s="124"/>
      <c r="SEN22" s="124"/>
      <c r="SEO22" s="124"/>
      <c r="SEP22" s="124"/>
      <c r="SEQ22" s="124"/>
      <c r="SER22" s="124"/>
      <c r="SES22" s="124"/>
      <c r="SET22" s="124"/>
      <c r="SEU22" s="124"/>
      <c r="SEV22" s="124"/>
      <c r="SEW22" s="124"/>
      <c r="SEX22" s="124"/>
      <c r="SEY22" s="124"/>
      <c r="SEZ22" s="124"/>
      <c r="SFA22" s="124"/>
      <c r="SFB22" s="124"/>
      <c r="SFC22" s="124"/>
      <c r="SFD22" s="124"/>
      <c r="SFE22" s="124"/>
      <c r="SFF22" s="124"/>
      <c r="SFG22" s="124"/>
      <c r="SFH22" s="124"/>
      <c r="SFI22" s="124"/>
      <c r="SFJ22" s="124"/>
      <c r="SFK22" s="124"/>
      <c r="SFL22" s="124"/>
      <c r="SFM22" s="124"/>
      <c r="SFN22" s="124"/>
      <c r="SFO22" s="124"/>
      <c r="SFP22" s="124"/>
      <c r="SFQ22" s="124"/>
      <c r="SFR22" s="124"/>
      <c r="SFS22" s="124"/>
      <c r="SFT22" s="124"/>
      <c r="SFU22" s="124"/>
      <c r="SFV22" s="124"/>
      <c r="SFW22" s="124"/>
      <c r="SFX22" s="124"/>
      <c r="SFY22" s="124"/>
      <c r="SFZ22" s="124"/>
      <c r="SGA22" s="124"/>
      <c r="SGB22" s="124"/>
      <c r="SGC22" s="124"/>
      <c r="SGD22" s="124"/>
      <c r="SGE22" s="124"/>
      <c r="SGF22" s="124"/>
      <c r="SGG22" s="124"/>
      <c r="SGH22" s="124"/>
      <c r="SGI22" s="124"/>
      <c r="SGJ22" s="124"/>
      <c r="SGK22" s="124"/>
      <c r="SGL22" s="124"/>
      <c r="SGM22" s="124"/>
      <c r="SGN22" s="124"/>
      <c r="SGO22" s="124"/>
      <c r="SGP22" s="124"/>
      <c r="SGQ22" s="124"/>
      <c r="SGR22" s="124"/>
      <c r="SGS22" s="124"/>
      <c r="SGT22" s="124"/>
      <c r="SGU22" s="124"/>
      <c r="SGV22" s="124"/>
      <c r="SGW22" s="124"/>
      <c r="SGX22" s="124"/>
      <c r="SGY22" s="124"/>
      <c r="SGZ22" s="124"/>
      <c r="SHA22" s="124"/>
      <c r="SHB22" s="124"/>
      <c r="SHC22" s="124"/>
      <c r="SHD22" s="124"/>
      <c r="SHE22" s="124"/>
      <c r="SHF22" s="124"/>
      <c r="SHG22" s="124"/>
      <c r="SHH22" s="124"/>
      <c r="SHI22" s="124"/>
      <c r="SHJ22" s="124"/>
      <c r="SHK22" s="124"/>
      <c r="SHL22" s="124"/>
      <c r="SHM22" s="124"/>
      <c r="SHN22" s="124"/>
      <c r="SHO22" s="124"/>
      <c r="SHP22" s="124"/>
      <c r="SHQ22" s="124"/>
      <c r="SHR22" s="124"/>
      <c r="SHS22" s="124"/>
      <c r="SHT22" s="124"/>
      <c r="SHU22" s="124"/>
      <c r="SHV22" s="124"/>
      <c r="SHW22" s="124"/>
      <c r="SHX22" s="124"/>
      <c r="SHY22" s="124"/>
      <c r="SHZ22" s="124"/>
      <c r="SIA22" s="124"/>
      <c r="SIB22" s="124"/>
      <c r="SIC22" s="124"/>
      <c r="SID22" s="124"/>
      <c r="SIE22" s="124"/>
      <c r="SIF22" s="124"/>
      <c r="SIG22" s="124"/>
      <c r="SIH22" s="124"/>
      <c r="SII22" s="124"/>
      <c r="SIJ22" s="124"/>
      <c r="SIK22" s="124"/>
      <c r="SIL22" s="124"/>
      <c r="SIM22" s="124"/>
      <c r="SIN22" s="124"/>
      <c r="SIO22" s="124"/>
      <c r="SIP22" s="124"/>
      <c r="SIQ22" s="124"/>
      <c r="SIR22" s="124"/>
      <c r="SIS22" s="124"/>
      <c r="SIT22" s="124"/>
      <c r="SIU22" s="124"/>
      <c r="SIV22" s="124"/>
      <c r="SIW22" s="124"/>
      <c r="SIX22" s="124"/>
      <c r="SIY22" s="124"/>
      <c r="SIZ22" s="124"/>
      <c r="SJA22" s="124"/>
      <c r="SJB22" s="124"/>
      <c r="SJC22" s="124"/>
      <c r="SJD22" s="124"/>
      <c r="SJE22" s="124"/>
      <c r="SJF22" s="124"/>
      <c r="SJG22" s="124"/>
      <c r="SJH22" s="124"/>
      <c r="SJI22" s="124"/>
      <c r="SJJ22" s="124"/>
      <c r="SJK22" s="124"/>
      <c r="SJL22" s="124"/>
      <c r="SJM22" s="124"/>
      <c r="SJN22" s="124"/>
      <c r="SJO22" s="124"/>
      <c r="SJP22" s="124"/>
      <c r="SJQ22" s="124"/>
      <c r="SJR22" s="124"/>
      <c r="SJS22" s="124"/>
      <c r="SJT22" s="124"/>
      <c r="SJU22" s="124"/>
      <c r="SJV22" s="124"/>
      <c r="SJW22" s="124"/>
      <c r="SJX22" s="124"/>
      <c r="SJY22" s="124"/>
      <c r="SJZ22" s="124"/>
      <c r="SKA22" s="124"/>
      <c r="SKB22" s="124"/>
      <c r="SKC22" s="124"/>
      <c r="SKD22" s="124"/>
      <c r="SKE22" s="124"/>
      <c r="SKF22" s="124"/>
      <c r="SKG22" s="124"/>
      <c r="SKH22" s="124"/>
      <c r="SKI22" s="124"/>
      <c r="SKJ22" s="124"/>
      <c r="SKK22" s="124"/>
      <c r="SKL22" s="124"/>
      <c r="SKM22" s="124"/>
      <c r="SKN22" s="124"/>
      <c r="SKO22" s="124"/>
      <c r="SKP22" s="124"/>
      <c r="SKQ22" s="124"/>
      <c r="SKR22" s="124"/>
      <c r="SKS22" s="124"/>
      <c r="SKT22" s="124"/>
      <c r="SKU22" s="124"/>
      <c r="SKV22" s="124"/>
      <c r="SKW22" s="124"/>
      <c r="SKX22" s="124"/>
      <c r="SKY22" s="124"/>
      <c r="SKZ22" s="124"/>
      <c r="SLA22" s="124"/>
      <c r="SLB22" s="124"/>
      <c r="SLC22" s="124"/>
      <c r="SLD22" s="124"/>
      <c r="SLE22" s="124"/>
      <c r="SLF22" s="124"/>
      <c r="SLG22" s="124"/>
      <c r="SLH22" s="124"/>
      <c r="SLI22" s="124"/>
      <c r="SLJ22" s="124"/>
      <c r="SLK22" s="124"/>
      <c r="SLL22" s="124"/>
      <c r="SLM22" s="124"/>
      <c r="SLN22" s="124"/>
      <c r="SLO22" s="124"/>
      <c r="SLP22" s="124"/>
      <c r="SLQ22" s="124"/>
      <c r="SLR22" s="124"/>
      <c r="SLS22" s="124"/>
      <c r="SLT22" s="124"/>
      <c r="SLU22" s="124"/>
      <c r="SLV22" s="124"/>
      <c r="SLW22" s="124"/>
      <c r="SLX22" s="124"/>
      <c r="SLY22" s="124"/>
      <c r="SLZ22" s="124"/>
      <c r="SMA22" s="124"/>
      <c r="SMB22" s="124"/>
      <c r="SMC22" s="124"/>
      <c r="SMD22" s="124"/>
      <c r="SME22" s="124"/>
      <c r="SMF22" s="124"/>
      <c r="SMG22" s="124"/>
      <c r="SMH22" s="124"/>
      <c r="SMI22" s="124"/>
      <c r="SMJ22" s="124"/>
      <c r="SMK22" s="124"/>
      <c r="SML22" s="124"/>
      <c r="SMM22" s="124"/>
      <c r="SMN22" s="124"/>
      <c r="SMO22" s="124"/>
      <c r="SMP22" s="124"/>
      <c r="SMQ22" s="124"/>
      <c r="SMR22" s="124"/>
      <c r="SMS22" s="124"/>
      <c r="SMT22" s="124"/>
      <c r="SMU22" s="124"/>
      <c r="SMV22" s="124"/>
      <c r="SMW22" s="124"/>
      <c r="SMX22" s="124"/>
      <c r="SMY22" s="124"/>
      <c r="SMZ22" s="124"/>
      <c r="SNA22" s="124"/>
      <c r="SNB22" s="124"/>
      <c r="SNC22" s="124"/>
      <c r="SND22" s="124"/>
      <c r="SNE22" s="124"/>
      <c r="SNF22" s="124"/>
      <c r="SNG22" s="124"/>
      <c r="SNH22" s="124"/>
      <c r="SNI22" s="124"/>
      <c r="SNJ22" s="124"/>
      <c r="SNK22" s="124"/>
      <c r="SNL22" s="124"/>
      <c r="SNM22" s="124"/>
      <c r="SNN22" s="124"/>
      <c r="SNO22" s="124"/>
      <c r="SNP22" s="124"/>
      <c r="SNQ22" s="124"/>
      <c r="SNR22" s="124"/>
      <c r="SNS22" s="124"/>
      <c r="SNT22" s="124"/>
      <c r="SNU22" s="124"/>
      <c r="SNV22" s="124"/>
      <c r="SNW22" s="124"/>
      <c r="SNX22" s="124"/>
      <c r="SNY22" s="124"/>
      <c r="SNZ22" s="124"/>
      <c r="SOA22" s="124"/>
      <c r="SOB22" s="124"/>
      <c r="SOC22" s="124"/>
      <c r="SOD22" s="124"/>
      <c r="SOE22" s="124"/>
      <c r="SOF22" s="124"/>
      <c r="SOG22" s="124"/>
      <c r="SOH22" s="124"/>
      <c r="SOI22" s="124"/>
      <c r="SOJ22" s="124"/>
      <c r="SOK22" s="124"/>
      <c r="SOL22" s="124"/>
      <c r="SOM22" s="124"/>
      <c r="SON22" s="124"/>
      <c r="SOO22" s="124"/>
      <c r="SOP22" s="124"/>
      <c r="SOQ22" s="124"/>
      <c r="SOR22" s="124"/>
      <c r="SOS22" s="124"/>
      <c r="SOT22" s="124"/>
      <c r="SOU22" s="124"/>
      <c r="SOV22" s="124"/>
      <c r="SOW22" s="124"/>
      <c r="SOX22" s="124"/>
      <c r="SOY22" s="124"/>
      <c r="SOZ22" s="124"/>
      <c r="SPA22" s="124"/>
      <c r="SPB22" s="124"/>
      <c r="SPC22" s="124"/>
      <c r="SPD22" s="124"/>
      <c r="SPE22" s="124"/>
      <c r="SPF22" s="124"/>
      <c r="SPG22" s="124"/>
      <c r="SPH22" s="124"/>
      <c r="SPI22" s="124"/>
      <c r="SPJ22" s="124"/>
      <c r="SPK22" s="124"/>
      <c r="SPL22" s="124"/>
      <c r="SPM22" s="124"/>
      <c r="SPN22" s="124"/>
      <c r="SPO22" s="124"/>
      <c r="SPP22" s="124"/>
      <c r="SPQ22" s="124"/>
      <c r="SPR22" s="124"/>
      <c r="SPS22" s="124"/>
      <c r="SPT22" s="124"/>
      <c r="SPU22" s="124"/>
      <c r="SPV22" s="124"/>
      <c r="SPW22" s="124"/>
      <c r="SPX22" s="124"/>
      <c r="SPY22" s="124"/>
      <c r="SPZ22" s="124"/>
      <c r="SQA22" s="124"/>
      <c r="SQB22" s="124"/>
      <c r="SQC22" s="124"/>
      <c r="SQD22" s="124"/>
      <c r="SQE22" s="124"/>
      <c r="SQF22" s="124"/>
      <c r="SQG22" s="124"/>
      <c r="SQH22" s="124"/>
      <c r="SQI22" s="124"/>
      <c r="SQJ22" s="124"/>
      <c r="SQK22" s="124"/>
      <c r="SQL22" s="124"/>
      <c r="SQM22" s="124"/>
      <c r="SQN22" s="124"/>
      <c r="SQO22" s="124"/>
      <c r="SQP22" s="124"/>
      <c r="SQQ22" s="124"/>
      <c r="SQR22" s="124"/>
      <c r="SQS22" s="124"/>
      <c r="SQT22" s="124"/>
      <c r="SQU22" s="124"/>
      <c r="SQV22" s="124"/>
      <c r="SQW22" s="124"/>
      <c r="SQX22" s="124"/>
      <c r="SQY22" s="124"/>
      <c r="SQZ22" s="124"/>
      <c r="SRA22" s="124"/>
      <c r="SRB22" s="124"/>
      <c r="SRC22" s="124"/>
      <c r="SRD22" s="124"/>
      <c r="SRE22" s="124"/>
      <c r="SRF22" s="124"/>
      <c r="SRG22" s="124"/>
      <c r="SRH22" s="124"/>
      <c r="SRI22" s="124"/>
      <c r="SRJ22" s="124"/>
      <c r="SRK22" s="124"/>
      <c r="SRL22" s="124"/>
      <c r="SRM22" s="124"/>
      <c r="SRN22" s="124"/>
      <c r="SRO22" s="124"/>
      <c r="SRP22" s="124"/>
      <c r="SRQ22" s="124"/>
      <c r="SRR22" s="124"/>
      <c r="SRS22" s="124"/>
      <c r="SRT22" s="124"/>
      <c r="SRU22" s="124"/>
      <c r="SRV22" s="124"/>
      <c r="SRW22" s="124"/>
      <c r="SRX22" s="124"/>
      <c r="SRY22" s="124"/>
      <c r="SRZ22" s="124"/>
      <c r="SSA22" s="124"/>
      <c r="SSB22" s="124"/>
      <c r="SSC22" s="124"/>
      <c r="SSD22" s="124"/>
      <c r="SSE22" s="124"/>
      <c r="SSF22" s="124"/>
      <c r="SSG22" s="124"/>
      <c r="SSH22" s="124"/>
      <c r="SSI22" s="124"/>
      <c r="SSJ22" s="124"/>
      <c r="SSK22" s="124"/>
      <c r="SSL22" s="124"/>
      <c r="SSM22" s="124"/>
      <c r="SSN22" s="124"/>
      <c r="SSO22" s="124"/>
      <c r="SSP22" s="124"/>
      <c r="SSQ22" s="124"/>
      <c r="SSR22" s="124"/>
      <c r="SSS22" s="124"/>
      <c r="SST22" s="124"/>
      <c r="SSU22" s="124"/>
      <c r="SSV22" s="124"/>
      <c r="SSW22" s="124"/>
      <c r="SSX22" s="124"/>
      <c r="SSY22" s="124"/>
      <c r="SSZ22" s="124"/>
      <c r="STA22" s="124"/>
      <c r="STB22" s="124"/>
      <c r="STC22" s="124"/>
      <c r="STD22" s="124"/>
      <c r="STE22" s="124"/>
      <c r="STF22" s="124"/>
      <c r="STG22" s="124"/>
      <c r="STH22" s="124"/>
      <c r="STI22" s="124"/>
      <c r="STJ22" s="124"/>
      <c r="STK22" s="124"/>
      <c r="STL22" s="124"/>
      <c r="STM22" s="124"/>
      <c r="STN22" s="124"/>
      <c r="STO22" s="124"/>
      <c r="STP22" s="124"/>
      <c r="STQ22" s="124"/>
      <c r="STR22" s="124"/>
      <c r="STS22" s="124"/>
      <c r="STT22" s="124"/>
      <c r="STU22" s="124"/>
      <c r="STV22" s="124"/>
      <c r="STW22" s="124"/>
      <c r="STX22" s="124"/>
      <c r="STY22" s="124"/>
      <c r="STZ22" s="124"/>
      <c r="SUA22" s="124"/>
      <c r="SUB22" s="124"/>
      <c r="SUC22" s="124"/>
      <c r="SUD22" s="124"/>
      <c r="SUE22" s="124"/>
      <c r="SUF22" s="124"/>
      <c r="SUG22" s="124"/>
      <c r="SUH22" s="124"/>
      <c r="SUI22" s="124"/>
      <c r="SUJ22" s="124"/>
      <c r="SUK22" s="124"/>
      <c r="SUL22" s="124"/>
      <c r="SUM22" s="124"/>
      <c r="SUN22" s="124"/>
      <c r="SUO22" s="124"/>
      <c r="SUP22" s="124"/>
      <c r="SUQ22" s="124"/>
      <c r="SUR22" s="124"/>
      <c r="SUS22" s="124"/>
      <c r="SUT22" s="124"/>
      <c r="SUU22" s="124"/>
      <c r="SUV22" s="124"/>
      <c r="SUW22" s="124"/>
      <c r="SUX22" s="124"/>
      <c r="SUY22" s="124"/>
      <c r="SUZ22" s="124"/>
      <c r="SVA22" s="124"/>
      <c r="SVB22" s="124"/>
      <c r="SVC22" s="124"/>
      <c r="SVD22" s="124"/>
      <c r="SVE22" s="124"/>
      <c r="SVF22" s="124"/>
      <c r="SVG22" s="124"/>
      <c r="SVH22" s="124"/>
      <c r="SVI22" s="124"/>
      <c r="SVJ22" s="124"/>
      <c r="SVK22" s="124"/>
      <c r="SVL22" s="124"/>
      <c r="SVM22" s="124"/>
      <c r="SVN22" s="124"/>
      <c r="SVO22" s="124"/>
      <c r="SVP22" s="124"/>
      <c r="SVQ22" s="124"/>
      <c r="SVR22" s="124"/>
      <c r="SVS22" s="124"/>
      <c r="SVT22" s="124"/>
      <c r="SVU22" s="124"/>
      <c r="SVV22" s="124"/>
      <c r="SVW22" s="124"/>
      <c r="SVX22" s="124"/>
      <c r="SVY22" s="124"/>
      <c r="SVZ22" s="124"/>
      <c r="SWA22" s="124"/>
      <c r="SWB22" s="124"/>
      <c r="SWC22" s="124"/>
      <c r="SWD22" s="124"/>
      <c r="SWE22" s="124"/>
      <c r="SWF22" s="124"/>
      <c r="SWG22" s="124"/>
      <c r="SWH22" s="124"/>
      <c r="SWI22" s="124"/>
      <c r="SWJ22" s="124"/>
      <c r="SWK22" s="124"/>
      <c r="SWL22" s="124"/>
      <c r="SWM22" s="124"/>
      <c r="SWN22" s="124"/>
      <c r="SWO22" s="124"/>
      <c r="SWP22" s="124"/>
      <c r="SWQ22" s="124"/>
      <c r="SWR22" s="124"/>
      <c r="SWS22" s="124"/>
      <c r="SWT22" s="124"/>
      <c r="SWU22" s="124"/>
      <c r="SWV22" s="124"/>
      <c r="SWW22" s="124"/>
      <c r="SWX22" s="124"/>
      <c r="SWY22" s="124"/>
      <c r="SWZ22" s="124"/>
      <c r="SXA22" s="124"/>
      <c r="SXB22" s="124"/>
      <c r="SXC22" s="124"/>
      <c r="SXD22" s="124"/>
      <c r="SXE22" s="124"/>
      <c r="SXF22" s="124"/>
      <c r="SXG22" s="124"/>
      <c r="SXH22" s="124"/>
      <c r="SXI22" s="124"/>
      <c r="SXJ22" s="124"/>
      <c r="SXK22" s="124"/>
      <c r="SXL22" s="124"/>
      <c r="SXM22" s="124"/>
      <c r="SXN22" s="124"/>
      <c r="SXO22" s="124"/>
      <c r="SXP22" s="124"/>
      <c r="SXQ22" s="124"/>
      <c r="SXR22" s="124"/>
      <c r="SXS22" s="124"/>
      <c r="SXT22" s="124"/>
      <c r="SXU22" s="124"/>
      <c r="SXV22" s="124"/>
      <c r="SXW22" s="124"/>
      <c r="SXX22" s="124"/>
      <c r="SXY22" s="124"/>
      <c r="SXZ22" s="124"/>
      <c r="SYA22" s="124"/>
      <c r="SYB22" s="124"/>
      <c r="SYC22" s="124"/>
      <c r="SYD22" s="124"/>
      <c r="SYE22" s="124"/>
      <c r="SYF22" s="124"/>
      <c r="SYG22" s="124"/>
      <c r="SYH22" s="124"/>
      <c r="SYI22" s="124"/>
      <c r="SYJ22" s="124"/>
      <c r="SYK22" s="124"/>
      <c r="SYL22" s="124"/>
      <c r="SYM22" s="124"/>
      <c r="SYN22" s="124"/>
      <c r="SYO22" s="124"/>
      <c r="SYP22" s="124"/>
      <c r="SYQ22" s="124"/>
      <c r="SYR22" s="124"/>
      <c r="SYS22" s="124"/>
      <c r="SYT22" s="124"/>
      <c r="SYU22" s="124"/>
      <c r="SYV22" s="124"/>
      <c r="SYW22" s="124"/>
      <c r="SYX22" s="124"/>
      <c r="SYY22" s="124"/>
      <c r="SYZ22" s="124"/>
      <c r="SZA22" s="124"/>
      <c r="SZB22" s="124"/>
      <c r="SZC22" s="124"/>
      <c r="SZD22" s="124"/>
      <c r="SZE22" s="124"/>
      <c r="SZF22" s="124"/>
      <c r="SZG22" s="124"/>
      <c r="SZH22" s="124"/>
      <c r="SZI22" s="124"/>
      <c r="SZJ22" s="124"/>
      <c r="SZK22" s="124"/>
      <c r="SZL22" s="124"/>
      <c r="SZM22" s="124"/>
      <c r="SZN22" s="124"/>
      <c r="SZO22" s="124"/>
      <c r="SZP22" s="124"/>
      <c r="SZQ22" s="124"/>
      <c r="SZR22" s="124"/>
      <c r="SZS22" s="124"/>
      <c r="SZT22" s="124"/>
      <c r="SZU22" s="124"/>
      <c r="SZV22" s="124"/>
      <c r="SZW22" s="124"/>
      <c r="SZX22" s="124"/>
      <c r="SZY22" s="124"/>
      <c r="SZZ22" s="124"/>
      <c r="TAA22" s="124"/>
      <c r="TAB22" s="124"/>
      <c r="TAC22" s="124"/>
      <c r="TAD22" s="124"/>
      <c r="TAE22" s="124"/>
      <c r="TAF22" s="124"/>
      <c r="TAG22" s="124"/>
      <c r="TAH22" s="124"/>
      <c r="TAI22" s="124"/>
      <c r="TAJ22" s="124"/>
      <c r="TAK22" s="124"/>
      <c r="TAL22" s="124"/>
      <c r="TAM22" s="124"/>
      <c r="TAN22" s="124"/>
      <c r="TAO22" s="124"/>
      <c r="TAP22" s="124"/>
      <c r="TAQ22" s="124"/>
      <c r="TAR22" s="124"/>
      <c r="TAS22" s="124"/>
      <c r="TAT22" s="124"/>
      <c r="TAU22" s="124"/>
      <c r="TAV22" s="124"/>
      <c r="TAW22" s="124"/>
      <c r="TAX22" s="124"/>
      <c r="TAY22" s="124"/>
      <c r="TAZ22" s="124"/>
      <c r="TBA22" s="124"/>
      <c r="TBB22" s="124"/>
      <c r="TBC22" s="124"/>
      <c r="TBD22" s="124"/>
      <c r="TBE22" s="124"/>
      <c r="TBF22" s="124"/>
      <c r="TBG22" s="124"/>
      <c r="TBH22" s="124"/>
      <c r="TBI22" s="124"/>
      <c r="TBJ22" s="124"/>
      <c r="TBK22" s="124"/>
      <c r="TBL22" s="124"/>
      <c r="TBM22" s="124"/>
      <c r="TBN22" s="124"/>
      <c r="TBO22" s="124"/>
      <c r="TBP22" s="124"/>
      <c r="TBQ22" s="124"/>
      <c r="TBR22" s="124"/>
      <c r="TBS22" s="124"/>
      <c r="TBT22" s="124"/>
      <c r="TBU22" s="124"/>
      <c r="TBV22" s="124"/>
      <c r="TBW22" s="124"/>
      <c r="TBX22" s="124"/>
      <c r="TBY22" s="124"/>
      <c r="TBZ22" s="124"/>
      <c r="TCA22" s="124"/>
      <c r="TCB22" s="124"/>
      <c r="TCC22" s="124"/>
      <c r="TCD22" s="124"/>
      <c r="TCE22" s="124"/>
      <c r="TCF22" s="124"/>
      <c r="TCG22" s="124"/>
      <c r="TCH22" s="124"/>
      <c r="TCI22" s="124"/>
      <c r="TCJ22" s="124"/>
      <c r="TCK22" s="124"/>
      <c r="TCL22" s="124"/>
      <c r="TCM22" s="124"/>
      <c r="TCN22" s="124"/>
      <c r="TCO22" s="124"/>
      <c r="TCP22" s="124"/>
      <c r="TCQ22" s="124"/>
      <c r="TCR22" s="124"/>
      <c r="TCS22" s="124"/>
      <c r="TCT22" s="124"/>
      <c r="TCU22" s="124"/>
      <c r="TCV22" s="124"/>
      <c r="TCW22" s="124"/>
      <c r="TCX22" s="124"/>
      <c r="TCY22" s="124"/>
      <c r="TCZ22" s="124"/>
      <c r="TDA22" s="124"/>
      <c r="TDB22" s="124"/>
      <c r="TDC22" s="124"/>
      <c r="TDD22" s="124"/>
      <c r="TDE22" s="124"/>
      <c r="TDF22" s="124"/>
      <c r="TDG22" s="124"/>
      <c r="TDH22" s="124"/>
      <c r="TDI22" s="124"/>
      <c r="TDJ22" s="124"/>
      <c r="TDK22" s="124"/>
      <c r="TDL22" s="124"/>
      <c r="TDM22" s="124"/>
      <c r="TDN22" s="124"/>
      <c r="TDO22" s="124"/>
      <c r="TDP22" s="124"/>
      <c r="TDQ22" s="124"/>
      <c r="TDR22" s="124"/>
      <c r="TDS22" s="124"/>
      <c r="TDT22" s="124"/>
      <c r="TDU22" s="124"/>
      <c r="TDV22" s="124"/>
      <c r="TDW22" s="124"/>
      <c r="TDX22" s="124"/>
      <c r="TDY22" s="124"/>
      <c r="TDZ22" s="124"/>
      <c r="TEA22" s="124"/>
      <c r="TEB22" s="124"/>
      <c r="TEC22" s="124"/>
      <c r="TED22" s="124"/>
      <c r="TEE22" s="124"/>
      <c r="TEF22" s="124"/>
      <c r="TEG22" s="124"/>
      <c r="TEH22" s="124"/>
      <c r="TEI22" s="124"/>
      <c r="TEJ22" s="124"/>
      <c r="TEK22" s="124"/>
      <c r="TEL22" s="124"/>
      <c r="TEM22" s="124"/>
      <c r="TEN22" s="124"/>
      <c r="TEO22" s="124"/>
      <c r="TEP22" s="124"/>
      <c r="TEQ22" s="124"/>
      <c r="TER22" s="124"/>
      <c r="TES22" s="124"/>
      <c r="TET22" s="124"/>
      <c r="TEU22" s="124"/>
      <c r="TEV22" s="124"/>
      <c r="TEW22" s="124"/>
      <c r="TEX22" s="124"/>
      <c r="TEY22" s="124"/>
      <c r="TEZ22" s="124"/>
      <c r="TFA22" s="124"/>
      <c r="TFB22" s="124"/>
      <c r="TFC22" s="124"/>
      <c r="TFD22" s="124"/>
      <c r="TFE22" s="124"/>
      <c r="TFF22" s="124"/>
      <c r="TFG22" s="124"/>
      <c r="TFH22" s="124"/>
      <c r="TFI22" s="124"/>
      <c r="TFJ22" s="124"/>
      <c r="TFK22" s="124"/>
      <c r="TFL22" s="124"/>
      <c r="TFM22" s="124"/>
      <c r="TFN22" s="124"/>
      <c r="TFO22" s="124"/>
      <c r="TFP22" s="124"/>
      <c r="TFQ22" s="124"/>
      <c r="TFR22" s="124"/>
      <c r="TFS22" s="124"/>
      <c r="TFT22" s="124"/>
      <c r="TFU22" s="124"/>
      <c r="TFV22" s="124"/>
      <c r="TFW22" s="124"/>
      <c r="TFX22" s="124"/>
      <c r="TFY22" s="124"/>
      <c r="TFZ22" s="124"/>
      <c r="TGA22" s="124"/>
      <c r="TGB22" s="124"/>
      <c r="TGC22" s="124"/>
      <c r="TGD22" s="124"/>
      <c r="TGE22" s="124"/>
      <c r="TGF22" s="124"/>
      <c r="TGG22" s="124"/>
      <c r="TGH22" s="124"/>
      <c r="TGI22" s="124"/>
      <c r="TGJ22" s="124"/>
      <c r="TGK22" s="124"/>
      <c r="TGL22" s="124"/>
      <c r="TGM22" s="124"/>
      <c r="TGN22" s="124"/>
      <c r="TGO22" s="124"/>
      <c r="TGP22" s="124"/>
      <c r="TGQ22" s="124"/>
      <c r="TGR22" s="124"/>
      <c r="TGS22" s="124"/>
      <c r="TGT22" s="124"/>
      <c r="TGU22" s="124"/>
      <c r="TGV22" s="124"/>
      <c r="TGW22" s="124"/>
      <c r="TGX22" s="124"/>
      <c r="TGY22" s="124"/>
      <c r="TGZ22" s="124"/>
      <c r="THA22" s="124"/>
      <c r="THB22" s="124"/>
      <c r="THC22" s="124"/>
      <c r="THD22" s="124"/>
      <c r="THE22" s="124"/>
      <c r="THF22" s="124"/>
      <c r="THG22" s="124"/>
      <c r="THH22" s="124"/>
      <c r="THI22" s="124"/>
      <c r="THJ22" s="124"/>
      <c r="THK22" s="124"/>
      <c r="THL22" s="124"/>
      <c r="THM22" s="124"/>
      <c r="THN22" s="124"/>
      <c r="THO22" s="124"/>
      <c r="THP22" s="124"/>
      <c r="THQ22" s="124"/>
      <c r="THR22" s="124"/>
      <c r="THS22" s="124"/>
      <c r="THT22" s="124"/>
      <c r="THU22" s="124"/>
      <c r="THV22" s="124"/>
      <c r="THW22" s="124"/>
      <c r="THX22" s="124"/>
      <c r="THY22" s="124"/>
      <c r="THZ22" s="124"/>
      <c r="TIA22" s="124"/>
      <c r="TIB22" s="124"/>
      <c r="TIC22" s="124"/>
      <c r="TID22" s="124"/>
      <c r="TIE22" s="124"/>
      <c r="TIF22" s="124"/>
      <c r="TIG22" s="124"/>
      <c r="TIH22" s="124"/>
      <c r="TII22" s="124"/>
      <c r="TIJ22" s="124"/>
      <c r="TIK22" s="124"/>
      <c r="TIL22" s="124"/>
      <c r="TIM22" s="124"/>
      <c r="TIN22" s="124"/>
      <c r="TIO22" s="124"/>
      <c r="TIP22" s="124"/>
      <c r="TIQ22" s="124"/>
      <c r="TIR22" s="124"/>
      <c r="TIS22" s="124"/>
      <c r="TIT22" s="124"/>
      <c r="TIU22" s="124"/>
      <c r="TIV22" s="124"/>
      <c r="TIW22" s="124"/>
      <c r="TIX22" s="124"/>
      <c r="TIY22" s="124"/>
      <c r="TIZ22" s="124"/>
      <c r="TJA22" s="124"/>
      <c r="TJB22" s="124"/>
      <c r="TJC22" s="124"/>
      <c r="TJD22" s="124"/>
      <c r="TJE22" s="124"/>
      <c r="TJF22" s="124"/>
      <c r="TJG22" s="124"/>
      <c r="TJH22" s="124"/>
      <c r="TJI22" s="124"/>
      <c r="TJJ22" s="124"/>
      <c r="TJK22" s="124"/>
      <c r="TJL22" s="124"/>
      <c r="TJM22" s="124"/>
      <c r="TJN22" s="124"/>
      <c r="TJO22" s="124"/>
      <c r="TJP22" s="124"/>
      <c r="TJQ22" s="124"/>
      <c r="TJR22" s="124"/>
      <c r="TJS22" s="124"/>
      <c r="TJT22" s="124"/>
      <c r="TJU22" s="124"/>
      <c r="TJV22" s="124"/>
      <c r="TJW22" s="124"/>
      <c r="TJX22" s="124"/>
      <c r="TJY22" s="124"/>
      <c r="TJZ22" s="124"/>
      <c r="TKA22" s="124"/>
      <c r="TKB22" s="124"/>
      <c r="TKC22" s="124"/>
      <c r="TKD22" s="124"/>
      <c r="TKE22" s="124"/>
      <c r="TKF22" s="124"/>
      <c r="TKG22" s="124"/>
      <c r="TKH22" s="124"/>
      <c r="TKI22" s="124"/>
      <c r="TKJ22" s="124"/>
      <c r="TKK22" s="124"/>
      <c r="TKL22" s="124"/>
      <c r="TKM22" s="124"/>
      <c r="TKN22" s="124"/>
      <c r="TKO22" s="124"/>
      <c r="TKP22" s="124"/>
      <c r="TKQ22" s="124"/>
      <c r="TKR22" s="124"/>
      <c r="TKS22" s="124"/>
      <c r="TKT22" s="124"/>
      <c r="TKU22" s="124"/>
      <c r="TKV22" s="124"/>
      <c r="TKW22" s="124"/>
      <c r="TKX22" s="124"/>
      <c r="TKY22" s="124"/>
      <c r="TKZ22" s="124"/>
      <c r="TLA22" s="124"/>
      <c r="TLB22" s="124"/>
      <c r="TLC22" s="124"/>
      <c r="TLD22" s="124"/>
      <c r="TLE22" s="124"/>
      <c r="TLF22" s="124"/>
      <c r="TLG22" s="124"/>
      <c r="TLH22" s="124"/>
      <c r="TLI22" s="124"/>
      <c r="TLJ22" s="124"/>
      <c r="TLK22" s="124"/>
      <c r="TLL22" s="124"/>
      <c r="TLM22" s="124"/>
      <c r="TLN22" s="124"/>
      <c r="TLO22" s="124"/>
      <c r="TLP22" s="124"/>
      <c r="TLQ22" s="124"/>
      <c r="TLR22" s="124"/>
      <c r="TLS22" s="124"/>
      <c r="TLT22" s="124"/>
      <c r="TLU22" s="124"/>
      <c r="TLV22" s="124"/>
      <c r="TLW22" s="124"/>
      <c r="TLX22" s="124"/>
      <c r="TLY22" s="124"/>
      <c r="TLZ22" s="124"/>
      <c r="TMA22" s="124"/>
      <c r="TMB22" s="124"/>
      <c r="TMC22" s="124"/>
      <c r="TMD22" s="124"/>
      <c r="TME22" s="124"/>
      <c r="TMF22" s="124"/>
      <c r="TMG22" s="124"/>
      <c r="TMH22" s="124"/>
      <c r="TMI22" s="124"/>
      <c r="TMJ22" s="124"/>
      <c r="TMK22" s="124"/>
      <c r="TML22" s="124"/>
      <c r="TMM22" s="124"/>
      <c r="TMN22" s="124"/>
      <c r="TMO22" s="124"/>
      <c r="TMP22" s="124"/>
      <c r="TMQ22" s="124"/>
      <c r="TMR22" s="124"/>
      <c r="TMS22" s="124"/>
      <c r="TMT22" s="124"/>
      <c r="TMU22" s="124"/>
      <c r="TMV22" s="124"/>
      <c r="TMW22" s="124"/>
      <c r="TMX22" s="124"/>
      <c r="TMY22" s="124"/>
      <c r="TMZ22" s="124"/>
      <c r="TNA22" s="124"/>
      <c r="TNB22" s="124"/>
      <c r="TNC22" s="124"/>
      <c r="TND22" s="124"/>
      <c r="TNE22" s="124"/>
      <c r="TNF22" s="124"/>
      <c r="TNG22" s="124"/>
      <c r="TNH22" s="124"/>
      <c r="TNI22" s="124"/>
      <c r="TNJ22" s="124"/>
      <c r="TNK22" s="124"/>
      <c r="TNL22" s="124"/>
      <c r="TNM22" s="124"/>
      <c r="TNN22" s="124"/>
      <c r="TNO22" s="124"/>
      <c r="TNP22" s="124"/>
      <c r="TNQ22" s="124"/>
      <c r="TNR22" s="124"/>
      <c r="TNS22" s="124"/>
      <c r="TNT22" s="124"/>
      <c r="TNU22" s="124"/>
      <c r="TNV22" s="124"/>
      <c r="TNW22" s="124"/>
      <c r="TNX22" s="124"/>
      <c r="TNY22" s="124"/>
      <c r="TNZ22" s="124"/>
      <c r="TOA22" s="124"/>
      <c r="TOB22" s="124"/>
      <c r="TOC22" s="124"/>
      <c r="TOD22" s="124"/>
      <c r="TOE22" s="124"/>
      <c r="TOF22" s="124"/>
      <c r="TOG22" s="124"/>
      <c r="TOH22" s="124"/>
      <c r="TOI22" s="124"/>
      <c r="TOJ22" s="124"/>
      <c r="TOK22" s="124"/>
      <c r="TOL22" s="124"/>
      <c r="TOM22" s="124"/>
      <c r="TON22" s="124"/>
      <c r="TOO22" s="124"/>
      <c r="TOP22" s="124"/>
      <c r="TOQ22" s="124"/>
      <c r="TOR22" s="124"/>
      <c r="TOS22" s="124"/>
      <c r="TOT22" s="124"/>
      <c r="TOU22" s="124"/>
      <c r="TOV22" s="124"/>
      <c r="TOW22" s="124"/>
      <c r="TOX22" s="124"/>
      <c r="TOY22" s="124"/>
      <c r="TOZ22" s="124"/>
      <c r="TPA22" s="124"/>
      <c r="TPB22" s="124"/>
      <c r="TPC22" s="124"/>
      <c r="TPD22" s="124"/>
      <c r="TPE22" s="124"/>
      <c r="TPF22" s="124"/>
      <c r="TPG22" s="124"/>
      <c r="TPH22" s="124"/>
      <c r="TPI22" s="124"/>
      <c r="TPJ22" s="124"/>
      <c r="TPK22" s="124"/>
      <c r="TPL22" s="124"/>
      <c r="TPM22" s="124"/>
      <c r="TPN22" s="124"/>
      <c r="TPO22" s="124"/>
      <c r="TPP22" s="124"/>
      <c r="TPQ22" s="124"/>
      <c r="TPR22" s="124"/>
      <c r="TPS22" s="124"/>
      <c r="TPT22" s="124"/>
      <c r="TPU22" s="124"/>
      <c r="TPV22" s="124"/>
      <c r="TPW22" s="124"/>
      <c r="TPX22" s="124"/>
      <c r="TPY22" s="124"/>
      <c r="TPZ22" s="124"/>
      <c r="TQA22" s="124"/>
      <c r="TQB22" s="124"/>
      <c r="TQC22" s="124"/>
      <c r="TQD22" s="124"/>
      <c r="TQE22" s="124"/>
      <c r="TQF22" s="124"/>
      <c r="TQG22" s="124"/>
      <c r="TQH22" s="124"/>
      <c r="TQI22" s="124"/>
      <c r="TQJ22" s="124"/>
      <c r="TQK22" s="124"/>
      <c r="TQL22" s="124"/>
      <c r="TQM22" s="124"/>
      <c r="TQN22" s="124"/>
      <c r="TQO22" s="124"/>
      <c r="TQP22" s="124"/>
      <c r="TQQ22" s="124"/>
      <c r="TQR22" s="124"/>
      <c r="TQS22" s="124"/>
      <c r="TQT22" s="124"/>
      <c r="TQU22" s="124"/>
      <c r="TQV22" s="124"/>
      <c r="TQW22" s="124"/>
      <c r="TQX22" s="124"/>
      <c r="TQY22" s="124"/>
      <c r="TQZ22" s="124"/>
      <c r="TRA22" s="124"/>
      <c r="TRB22" s="124"/>
      <c r="TRC22" s="124"/>
      <c r="TRD22" s="124"/>
      <c r="TRE22" s="124"/>
      <c r="TRF22" s="124"/>
      <c r="TRG22" s="124"/>
      <c r="TRH22" s="124"/>
      <c r="TRI22" s="124"/>
      <c r="TRJ22" s="124"/>
      <c r="TRK22" s="124"/>
      <c r="TRL22" s="124"/>
      <c r="TRM22" s="124"/>
      <c r="TRN22" s="124"/>
      <c r="TRO22" s="124"/>
      <c r="TRP22" s="124"/>
      <c r="TRQ22" s="124"/>
      <c r="TRR22" s="124"/>
      <c r="TRS22" s="124"/>
      <c r="TRT22" s="124"/>
      <c r="TRU22" s="124"/>
      <c r="TRV22" s="124"/>
      <c r="TRW22" s="124"/>
      <c r="TRX22" s="124"/>
      <c r="TRY22" s="124"/>
      <c r="TRZ22" s="124"/>
      <c r="TSA22" s="124"/>
      <c r="TSB22" s="124"/>
      <c r="TSC22" s="124"/>
      <c r="TSD22" s="124"/>
      <c r="TSE22" s="124"/>
      <c r="TSF22" s="124"/>
      <c r="TSG22" s="124"/>
      <c r="TSH22" s="124"/>
      <c r="TSI22" s="124"/>
      <c r="TSJ22" s="124"/>
      <c r="TSK22" s="124"/>
      <c r="TSL22" s="124"/>
      <c r="TSM22" s="124"/>
      <c r="TSN22" s="124"/>
      <c r="TSO22" s="124"/>
      <c r="TSP22" s="124"/>
      <c r="TSQ22" s="124"/>
      <c r="TSR22" s="124"/>
      <c r="TSS22" s="124"/>
      <c r="TST22" s="124"/>
      <c r="TSU22" s="124"/>
      <c r="TSV22" s="124"/>
      <c r="TSW22" s="124"/>
      <c r="TSX22" s="124"/>
      <c r="TSY22" s="124"/>
      <c r="TSZ22" s="124"/>
      <c r="TTA22" s="124"/>
      <c r="TTB22" s="124"/>
      <c r="TTC22" s="124"/>
      <c r="TTD22" s="124"/>
      <c r="TTE22" s="124"/>
      <c r="TTF22" s="124"/>
      <c r="TTG22" s="124"/>
      <c r="TTH22" s="124"/>
      <c r="TTI22" s="124"/>
      <c r="TTJ22" s="124"/>
      <c r="TTK22" s="124"/>
      <c r="TTL22" s="124"/>
      <c r="TTM22" s="124"/>
      <c r="TTN22" s="124"/>
      <c r="TTO22" s="124"/>
      <c r="TTP22" s="124"/>
      <c r="TTQ22" s="124"/>
      <c r="TTR22" s="124"/>
      <c r="TTS22" s="124"/>
      <c r="TTT22" s="124"/>
      <c r="TTU22" s="124"/>
      <c r="TTV22" s="124"/>
      <c r="TTW22" s="124"/>
      <c r="TTX22" s="124"/>
      <c r="TTY22" s="124"/>
      <c r="TTZ22" s="124"/>
      <c r="TUA22" s="124"/>
      <c r="TUB22" s="124"/>
      <c r="TUC22" s="124"/>
      <c r="TUD22" s="124"/>
      <c r="TUE22" s="124"/>
      <c r="TUF22" s="124"/>
      <c r="TUG22" s="124"/>
      <c r="TUH22" s="124"/>
      <c r="TUI22" s="124"/>
      <c r="TUJ22" s="124"/>
      <c r="TUK22" s="124"/>
      <c r="TUL22" s="124"/>
      <c r="TUM22" s="124"/>
      <c r="TUN22" s="124"/>
      <c r="TUO22" s="124"/>
      <c r="TUP22" s="124"/>
      <c r="TUQ22" s="124"/>
      <c r="TUR22" s="124"/>
      <c r="TUS22" s="124"/>
      <c r="TUT22" s="124"/>
      <c r="TUU22" s="124"/>
      <c r="TUV22" s="124"/>
      <c r="TUW22" s="124"/>
      <c r="TUX22" s="124"/>
      <c r="TUY22" s="124"/>
      <c r="TUZ22" s="124"/>
      <c r="TVA22" s="124"/>
      <c r="TVB22" s="124"/>
      <c r="TVC22" s="124"/>
      <c r="TVD22" s="124"/>
      <c r="TVE22" s="124"/>
      <c r="TVF22" s="124"/>
      <c r="TVG22" s="124"/>
      <c r="TVH22" s="124"/>
      <c r="TVI22" s="124"/>
      <c r="TVJ22" s="124"/>
      <c r="TVK22" s="124"/>
      <c r="TVL22" s="124"/>
      <c r="TVM22" s="124"/>
      <c r="TVN22" s="124"/>
      <c r="TVO22" s="124"/>
      <c r="TVP22" s="124"/>
      <c r="TVQ22" s="124"/>
      <c r="TVR22" s="124"/>
      <c r="TVS22" s="124"/>
      <c r="TVT22" s="124"/>
      <c r="TVU22" s="124"/>
      <c r="TVV22" s="124"/>
      <c r="TVW22" s="124"/>
      <c r="TVX22" s="124"/>
      <c r="TVY22" s="124"/>
      <c r="TVZ22" s="124"/>
      <c r="TWA22" s="124"/>
      <c r="TWB22" s="124"/>
      <c r="TWC22" s="124"/>
      <c r="TWD22" s="124"/>
      <c r="TWE22" s="124"/>
      <c r="TWF22" s="124"/>
      <c r="TWG22" s="124"/>
      <c r="TWH22" s="124"/>
      <c r="TWI22" s="124"/>
      <c r="TWJ22" s="124"/>
      <c r="TWK22" s="124"/>
      <c r="TWL22" s="124"/>
      <c r="TWM22" s="124"/>
      <c r="TWN22" s="124"/>
      <c r="TWO22" s="124"/>
      <c r="TWP22" s="124"/>
      <c r="TWQ22" s="124"/>
      <c r="TWR22" s="124"/>
      <c r="TWS22" s="124"/>
      <c r="TWT22" s="124"/>
      <c r="TWU22" s="124"/>
      <c r="TWV22" s="124"/>
      <c r="TWW22" s="124"/>
      <c r="TWX22" s="124"/>
      <c r="TWY22" s="124"/>
      <c r="TWZ22" s="124"/>
      <c r="TXA22" s="124"/>
      <c r="TXB22" s="124"/>
      <c r="TXC22" s="124"/>
      <c r="TXD22" s="124"/>
      <c r="TXE22" s="124"/>
      <c r="TXF22" s="124"/>
      <c r="TXG22" s="124"/>
      <c r="TXH22" s="124"/>
      <c r="TXI22" s="124"/>
      <c r="TXJ22" s="124"/>
      <c r="TXK22" s="124"/>
      <c r="TXL22" s="124"/>
      <c r="TXM22" s="124"/>
      <c r="TXN22" s="124"/>
      <c r="TXO22" s="124"/>
      <c r="TXP22" s="124"/>
      <c r="TXQ22" s="124"/>
      <c r="TXR22" s="124"/>
      <c r="TXS22" s="124"/>
      <c r="TXT22" s="124"/>
      <c r="TXU22" s="124"/>
      <c r="TXV22" s="124"/>
      <c r="TXW22" s="124"/>
      <c r="TXX22" s="124"/>
      <c r="TXY22" s="124"/>
      <c r="TXZ22" s="124"/>
      <c r="TYA22" s="124"/>
      <c r="TYB22" s="124"/>
      <c r="TYC22" s="124"/>
      <c r="TYD22" s="124"/>
      <c r="TYE22" s="124"/>
      <c r="TYF22" s="124"/>
      <c r="TYG22" s="124"/>
      <c r="TYH22" s="124"/>
      <c r="TYI22" s="124"/>
      <c r="TYJ22" s="124"/>
      <c r="TYK22" s="124"/>
      <c r="TYL22" s="124"/>
      <c r="TYM22" s="124"/>
      <c r="TYN22" s="124"/>
      <c r="TYO22" s="124"/>
      <c r="TYP22" s="124"/>
      <c r="TYQ22" s="124"/>
      <c r="TYR22" s="124"/>
      <c r="TYS22" s="124"/>
      <c r="TYT22" s="124"/>
      <c r="TYU22" s="124"/>
      <c r="TYV22" s="124"/>
      <c r="TYW22" s="124"/>
      <c r="TYX22" s="124"/>
      <c r="TYY22" s="124"/>
      <c r="TYZ22" s="124"/>
      <c r="TZA22" s="124"/>
      <c r="TZB22" s="124"/>
      <c r="TZC22" s="124"/>
      <c r="TZD22" s="124"/>
      <c r="TZE22" s="124"/>
      <c r="TZF22" s="124"/>
      <c r="TZG22" s="124"/>
      <c r="TZH22" s="124"/>
      <c r="TZI22" s="124"/>
      <c r="TZJ22" s="124"/>
      <c r="TZK22" s="124"/>
      <c r="TZL22" s="124"/>
      <c r="TZM22" s="124"/>
      <c r="TZN22" s="124"/>
      <c r="TZO22" s="124"/>
      <c r="TZP22" s="124"/>
      <c r="TZQ22" s="124"/>
      <c r="TZR22" s="124"/>
      <c r="TZS22" s="124"/>
      <c r="TZT22" s="124"/>
      <c r="TZU22" s="124"/>
      <c r="TZV22" s="124"/>
      <c r="TZW22" s="124"/>
      <c r="TZX22" s="124"/>
      <c r="TZY22" s="124"/>
      <c r="TZZ22" s="124"/>
      <c r="UAA22" s="124"/>
      <c r="UAB22" s="124"/>
      <c r="UAC22" s="124"/>
      <c r="UAD22" s="124"/>
      <c r="UAE22" s="124"/>
      <c r="UAF22" s="124"/>
      <c r="UAG22" s="124"/>
      <c r="UAH22" s="124"/>
      <c r="UAI22" s="124"/>
      <c r="UAJ22" s="124"/>
      <c r="UAK22" s="124"/>
      <c r="UAL22" s="124"/>
      <c r="UAM22" s="124"/>
      <c r="UAN22" s="124"/>
      <c r="UAO22" s="124"/>
      <c r="UAP22" s="124"/>
      <c r="UAQ22" s="124"/>
      <c r="UAR22" s="124"/>
      <c r="UAS22" s="124"/>
      <c r="UAT22" s="124"/>
      <c r="UAU22" s="124"/>
      <c r="UAV22" s="124"/>
      <c r="UAW22" s="124"/>
      <c r="UAX22" s="124"/>
      <c r="UAY22" s="124"/>
      <c r="UAZ22" s="124"/>
      <c r="UBA22" s="124"/>
      <c r="UBB22" s="124"/>
      <c r="UBC22" s="124"/>
      <c r="UBD22" s="124"/>
      <c r="UBE22" s="124"/>
      <c r="UBF22" s="124"/>
      <c r="UBG22" s="124"/>
      <c r="UBH22" s="124"/>
      <c r="UBI22" s="124"/>
      <c r="UBJ22" s="124"/>
      <c r="UBK22" s="124"/>
      <c r="UBL22" s="124"/>
      <c r="UBM22" s="124"/>
      <c r="UBN22" s="124"/>
      <c r="UBO22" s="124"/>
      <c r="UBP22" s="124"/>
      <c r="UBQ22" s="124"/>
      <c r="UBR22" s="124"/>
      <c r="UBS22" s="124"/>
      <c r="UBT22" s="124"/>
      <c r="UBU22" s="124"/>
      <c r="UBV22" s="124"/>
      <c r="UBW22" s="124"/>
      <c r="UBX22" s="124"/>
      <c r="UBY22" s="124"/>
      <c r="UBZ22" s="124"/>
      <c r="UCA22" s="124"/>
      <c r="UCB22" s="124"/>
      <c r="UCC22" s="124"/>
      <c r="UCD22" s="124"/>
      <c r="UCE22" s="124"/>
      <c r="UCF22" s="124"/>
      <c r="UCG22" s="124"/>
      <c r="UCH22" s="124"/>
      <c r="UCI22" s="124"/>
      <c r="UCJ22" s="124"/>
      <c r="UCK22" s="124"/>
      <c r="UCL22" s="124"/>
      <c r="UCM22" s="124"/>
      <c r="UCN22" s="124"/>
      <c r="UCO22" s="124"/>
      <c r="UCP22" s="124"/>
      <c r="UCQ22" s="124"/>
      <c r="UCR22" s="124"/>
      <c r="UCS22" s="124"/>
      <c r="UCT22" s="124"/>
      <c r="UCU22" s="124"/>
      <c r="UCV22" s="124"/>
      <c r="UCW22" s="124"/>
      <c r="UCX22" s="124"/>
      <c r="UCY22" s="124"/>
      <c r="UCZ22" s="124"/>
      <c r="UDA22" s="124"/>
      <c r="UDB22" s="124"/>
      <c r="UDC22" s="124"/>
      <c r="UDD22" s="124"/>
      <c r="UDE22" s="124"/>
      <c r="UDF22" s="124"/>
      <c r="UDG22" s="124"/>
      <c r="UDH22" s="124"/>
      <c r="UDI22" s="124"/>
      <c r="UDJ22" s="124"/>
      <c r="UDK22" s="124"/>
      <c r="UDL22" s="124"/>
      <c r="UDM22" s="124"/>
      <c r="UDN22" s="124"/>
      <c r="UDO22" s="124"/>
      <c r="UDP22" s="124"/>
      <c r="UDQ22" s="124"/>
      <c r="UDR22" s="124"/>
      <c r="UDS22" s="124"/>
      <c r="UDT22" s="124"/>
      <c r="UDU22" s="124"/>
      <c r="UDV22" s="124"/>
      <c r="UDW22" s="124"/>
      <c r="UDX22" s="124"/>
      <c r="UDY22" s="124"/>
      <c r="UDZ22" s="124"/>
      <c r="UEA22" s="124"/>
      <c r="UEB22" s="124"/>
      <c r="UEC22" s="124"/>
      <c r="UED22" s="124"/>
      <c r="UEE22" s="124"/>
      <c r="UEF22" s="124"/>
      <c r="UEG22" s="124"/>
      <c r="UEH22" s="124"/>
      <c r="UEI22" s="124"/>
      <c r="UEJ22" s="124"/>
      <c r="UEK22" s="124"/>
      <c r="UEL22" s="124"/>
      <c r="UEM22" s="124"/>
      <c r="UEN22" s="124"/>
      <c r="UEO22" s="124"/>
      <c r="UEP22" s="124"/>
      <c r="UEQ22" s="124"/>
      <c r="UER22" s="124"/>
      <c r="UES22" s="124"/>
      <c r="UET22" s="124"/>
      <c r="UEU22" s="124"/>
      <c r="UEV22" s="124"/>
      <c r="UEW22" s="124"/>
      <c r="UEX22" s="124"/>
      <c r="UEY22" s="124"/>
      <c r="UEZ22" s="124"/>
      <c r="UFA22" s="124"/>
      <c r="UFB22" s="124"/>
      <c r="UFC22" s="124"/>
      <c r="UFD22" s="124"/>
      <c r="UFE22" s="124"/>
      <c r="UFF22" s="124"/>
      <c r="UFG22" s="124"/>
      <c r="UFH22" s="124"/>
      <c r="UFI22" s="124"/>
      <c r="UFJ22" s="124"/>
      <c r="UFK22" s="124"/>
      <c r="UFL22" s="124"/>
      <c r="UFM22" s="124"/>
      <c r="UFN22" s="124"/>
      <c r="UFO22" s="124"/>
      <c r="UFP22" s="124"/>
      <c r="UFQ22" s="124"/>
      <c r="UFR22" s="124"/>
      <c r="UFS22" s="124"/>
      <c r="UFT22" s="124"/>
      <c r="UFU22" s="124"/>
      <c r="UFV22" s="124"/>
      <c r="UFW22" s="124"/>
      <c r="UFX22" s="124"/>
      <c r="UFY22" s="124"/>
      <c r="UFZ22" s="124"/>
      <c r="UGA22" s="124"/>
      <c r="UGB22" s="124"/>
      <c r="UGC22" s="124"/>
      <c r="UGD22" s="124"/>
      <c r="UGE22" s="124"/>
      <c r="UGF22" s="124"/>
      <c r="UGG22" s="124"/>
      <c r="UGH22" s="124"/>
      <c r="UGI22" s="124"/>
      <c r="UGJ22" s="124"/>
      <c r="UGK22" s="124"/>
      <c r="UGL22" s="124"/>
      <c r="UGM22" s="124"/>
      <c r="UGN22" s="124"/>
      <c r="UGO22" s="124"/>
      <c r="UGP22" s="124"/>
      <c r="UGQ22" s="124"/>
      <c r="UGR22" s="124"/>
      <c r="UGS22" s="124"/>
      <c r="UGT22" s="124"/>
      <c r="UGU22" s="124"/>
      <c r="UGV22" s="124"/>
      <c r="UGW22" s="124"/>
      <c r="UGX22" s="124"/>
      <c r="UGY22" s="124"/>
      <c r="UGZ22" s="124"/>
      <c r="UHA22" s="124"/>
      <c r="UHB22" s="124"/>
      <c r="UHC22" s="124"/>
      <c r="UHD22" s="124"/>
      <c r="UHE22" s="124"/>
      <c r="UHF22" s="124"/>
      <c r="UHG22" s="124"/>
      <c r="UHH22" s="124"/>
      <c r="UHI22" s="124"/>
      <c r="UHJ22" s="124"/>
      <c r="UHK22" s="124"/>
      <c r="UHL22" s="124"/>
      <c r="UHM22" s="124"/>
      <c r="UHN22" s="124"/>
      <c r="UHO22" s="124"/>
      <c r="UHP22" s="124"/>
      <c r="UHQ22" s="124"/>
      <c r="UHR22" s="124"/>
      <c r="UHS22" s="124"/>
      <c r="UHT22" s="124"/>
      <c r="UHU22" s="124"/>
      <c r="UHV22" s="124"/>
      <c r="UHW22" s="124"/>
      <c r="UHX22" s="124"/>
      <c r="UHY22" s="124"/>
      <c r="UHZ22" s="124"/>
      <c r="UIA22" s="124"/>
      <c r="UIB22" s="124"/>
      <c r="UIC22" s="124"/>
      <c r="UID22" s="124"/>
      <c r="UIE22" s="124"/>
      <c r="UIF22" s="124"/>
      <c r="UIG22" s="124"/>
      <c r="UIH22" s="124"/>
      <c r="UII22" s="124"/>
      <c r="UIJ22" s="124"/>
      <c r="UIK22" s="124"/>
      <c r="UIL22" s="124"/>
      <c r="UIM22" s="124"/>
      <c r="UIN22" s="124"/>
      <c r="UIO22" s="124"/>
      <c r="UIP22" s="124"/>
      <c r="UIQ22" s="124"/>
      <c r="UIR22" s="124"/>
      <c r="UIS22" s="124"/>
      <c r="UIT22" s="124"/>
      <c r="UIU22" s="124"/>
      <c r="UIV22" s="124"/>
      <c r="UIW22" s="124"/>
      <c r="UIX22" s="124"/>
      <c r="UIY22" s="124"/>
      <c r="UIZ22" s="124"/>
      <c r="UJA22" s="124"/>
      <c r="UJB22" s="124"/>
      <c r="UJC22" s="124"/>
      <c r="UJD22" s="124"/>
      <c r="UJE22" s="124"/>
      <c r="UJF22" s="124"/>
      <c r="UJG22" s="124"/>
      <c r="UJH22" s="124"/>
      <c r="UJI22" s="124"/>
      <c r="UJJ22" s="124"/>
      <c r="UJK22" s="124"/>
      <c r="UJL22" s="124"/>
      <c r="UJM22" s="124"/>
      <c r="UJN22" s="124"/>
      <c r="UJO22" s="124"/>
      <c r="UJP22" s="124"/>
      <c r="UJQ22" s="124"/>
      <c r="UJR22" s="124"/>
      <c r="UJS22" s="124"/>
      <c r="UJT22" s="124"/>
      <c r="UJU22" s="124"/>
      <c r="UJV22" s="124"/>
      <c r="UJW22" s="124"/>
      <c r="UJX22" s="124"/>
      <c r="UJY22" s="124"/>
      <c r="UJZ22" s="124"/>
      <c r="UKA22" s="124"/>
      <c r="UKB22" s="124"/>
      <c r="UKC22" s="124"/>
      <c r="UKD22" s="124"/>
      <c r="UKE22" s="124"/>
      <c r="UKF22" s="124"/>
      <c r="UKG22" s="124"/>
      <c r="UKH22" s="124"/>
      <c r="UKI22" s="124"/>
      <c r="UKJ22" s="124"/>
      <c r="UKK22" s="124"/>
      <c r="UKL22" s="124"/>
      <c r="UKM22" s="124"/>
      <c r="UKN22" s="124"/>
      <c r="UKO22" s="124"/>
      <c r="UKP22" s="124"/>
      <c r="UKQ22" s="124"/>
      <c r="UKR22" s="124"/>
      <c r="UKS22" s="124"/>
      <c r="UKT22" s="124"/>
      <c r="UKU22" s="124"/>
      <c r="UKV22" s="124"/>
      <c r="UKW22" s="124"/>
      <c r="UKX22" s="124"/>
      <c r="UKY22" s="124"/>
      <c r="UKZ22" s="124"/>
      <c r="ULA22" s="124"/>
      <c r="ULB22" s="124"/>
      <c r="ULC22" s="124"/>
      <c r="ULD22" s="124"/>
      <c r="ULE22" s="124"/>
      <c r="ULF22" s="124"/>
      <c r="ULG22" s="124"/>
      <c r="ULH22" s="124"/>
      <c r="ULI22" s="124"/>
      <c r="ULJ22" s="124"/>
      <c r="ULK22" s="124"/>
      <c r="ULL22" s="124"/>
      <c r="ULM22" s="124"/>
      <c r="ULN22" s="124"/>
      <c r="ULO22" s="124"/>
      <c r="ULP22" s="124"/>
      <c r="ULQ22" s="124"/>
      <c r="ULR22" s="124"/>
      <c r="ULS22" s="124"/>
      <c r="ULT22" s="124"/>
      <c r="ULU22" s="124"/>
      <c r="ULV22" s="124"/>
      <c r="ULW22" s="124"/>
      <c r="ULX22" s="124"/>
      <c r="ULY22" s="124"/>
      <c r="ULZ22" s="124"/>
      <c r="UMA22" s="124"/>
      <c r="UMB22" s="124"/>
      <c r="UMC22" s="124"/>
      <c r="UMD22" s="124"/>
      <c r="UME22" s="124"/>
      <c r="UMF22" s="124"/>
      <c r="UMG22" s="124"/>
      <c r="UMH22" s="124"/>
      <c r="UMI22" s="124"/>
      <c r="UMJ22" s="124"/>
      <c r="UMK22" s="124"/>
      <c r="UML22" s="124"/>
      <c r="UMM22" s="124"/>
      <c r="UMN22" s="124"/>
      <c r="UMO22" s="124"/>
      <c r="UMP22" s="124"/>
      <c r="UMQ22" s="124"/>
      <c r="UMR22" s="124"/>
      <c r="UMS22" s="124"/>
      <c r="UMT22" s="124"/>
      <c r="UMU22" s="124"/>
      <c r="UMV22" s="124"/>
      <c r="UMW22" s="124"/>
      <c r="UMX22" s="124"/>
      <c r="UMY22" s="124"/>
      <c r="UMZ22" s="124"/>
      <c r="UNA22" s="124"/>
      <c r="UNB22" s="124"/>
      <c r="UNC22" s="124"/>
      <c r="UND22" s="124"/>
      <c r="UNE22" s="124"/>
      <c r="UNF22" s="124"/>
      <c r="UNG22" s="124"/>
      <c r="UNH22" s="124"/>
      <c r="UNI22" s="124"/>
      <c r="UNJ22" s="124"/>
      <c r="UNK22" s="124"/>
      <c r="UNL22" s="124"/>
      <c r="UNM22" s="124"/>
      <c r="UNN22" s="124"/>
      <c r="UNO22" s="124"/>
      <c r="UNP22" s="124"/>
      <c r="UNQ22" s="124"/>
      <c r="UNR22" s="124"/>
      <c r="UNS22" s="124"/>
      <c r="UNT22" s="124"/>
      <c r="UNU22" s="124"/>
      <c r="UNV22" s="124"/>
      <c r="UNW22" s="124"/>
      <c r="UNX22" s="124"/>
      <c r="UNY22" s="124"/>
      <c r="UNZ22" s="124"/>
      <c r="UOA22" s="124"/>
      <c r="UOB22" s="124"/>
      <c r="UOC22" s="124"/>
      <c r="UOD22" s="124"/>
      <c r="UOE22" s="124"/>
      <c r="UOF22" s="124"/>
      <c r="UOG22" s="124"/>
      <c r="UOH22" s="124"/>
      <c r="UOI22" s="124"/>
      <c r="UOJ22" s="124"/>
      <c r="UOK22" s="124"/>
      <c r="UOL22" s="124"/>
      <c r="UOM22" s="124"/>
      <c r="UON22" s="124"/>
      <c r="UOO22" s="124"/>
      <c r="UOP22" s="124"/>
      <c r="UOQ22" s="124"/>
      <c r="UOR22" s="124"/>
      <c r="UOS22" s="124"/>
      <c r="UOT22" s="124"/>
      <c r="UOU22" s="124"/>
      <c r="UOV22" s="124"/>
      <c r="UOW22" s="124"/>
      <c r="UOX22" s="124"/>
      <c r="UOY22" s="124"/>
      <c r="UOZ22" s="124"/>
      <c r="UPA22" s="124"/>
      <c r="UPB22" s="124"/>
      <c r="UPC22" s="124"/>
      <c r="UPD22" s="124"/>
      <c r="UPE22" s="124"/>
      <c r="UPF22" s="124"/>
      <c r="UPG22" s="124"/>
      <c r="UPH22" s="124"/>
      <c r="UPI22" s="124"/>
      <c r="UPJ22" s="124"/>
      <c r="UPK22" s="124"/>
      <c r="UPL22" s="124"/>
      <c r="UPM22" s="124"/>
      <c r="UPN22" s="124"/>
      <c r="UPO22" s="124"/>
      <c r="UPP22" s="124"/>
      <c r="UPQ22" s="124"/>
      <c r="UPR22" s="124"/>
      <c r="UPS22" s="124"/>
      <c r="UPT22" s="124"/>
      <c r="UPU22" s="124"/>
      <c r="UPV22" s="124"/>
      <c r="UPW22" s="124"/>
      <c r="UPX22" s="124"/>
      <c r="UPY22" s="124"/>
      <c r="UPZ22" s="124"/>
      <c r="UQA22" s="124"/>
      <c r="UQB22" s="124"/>
      <c r="UQC22" s="124"/>
      <c r="UQD22" s="124"/>
      <c r="UQE22" s="124"/>
      <c r="UQF22" s="124"/>
      <c r="UQG22" s="124"/>
      <c r="UQH22" s="124"/>
      <c r="UQI22" s="124"/>
      <c r="UQJ22" s="124"/>
      <c r="UQK22" s="124"/>
      <c r="UQL22" s="124"/>
      <c r="UQM22" s="124"/>
      <c r="UQN22" s="124"/>
      <c r="UQO22" s="124"/>
      <c r="UQP22" s="124"/>
      <c r="UQQ22" s="124"/>
      <c r="UQR22" s="124"/>
      <c r="UQS22" s="124"/>
      <c r="UQT22" s="124"/>
      <c r="UQU22" s="124"/>
      <c r="UQV22" s="124"/>
      <c r="UQW22" s="124"/>
      <c r="UQX22" s="124"/>
      <c r="UQY22" s="124"/>
      <c r="UQZ22" s="124"/>
      <c r="URA22" s="124"/>
      <c r="URB22" s="124"/>
      <c r="URC22" s="124"/>
      <c r="URD22" s="124"/>
      <c r="URE22" s="124"/>
      <c r="URF22" s="124"/>
      <c r="URG22" s="124"/>
      <c r="URH22" s="124"/>
      <c r="URI22" s="124"/>
      <c r="URJ22" s="124"/>
      <c r="URK22" s="124"/>
      <c r="URL22" s="124"/>
      <c r="URM22" s="124"/>
      <c r="URN22" s="124"/>
      <c r="URO22" s="124"/>
      <c r="URP22" s="124"/>
      <c r="URQ22" s="124"/>
      <c r="URR22" s="124"/>
      <c r="URS22" s="124"/>
      <c r="URT22" s="124"/>
      <c r="URU22" s="124"/>
      <c r="URV22" s="124"/>
      <c r="URW22" s="124"/>
      <c r="URX22" s="124"/>
      <c r="URY22" s="124"/>
      <c r="URZ22" s="124"/>
      <c r="USA22" s="124"/>
      <c r="USB22" s="124"/>
      <c r="USC22" s="124"/>
      <c r="USD22" s="124"/>
      <c r="USE22" s="124"/>
      <c r="USF22" s="124"/>
      <c r="USG22" s="124"/>
      <c r="USH22" s="124"/>
      <c r="USI22" s="124"/>
      <c r="USJ22" s="124"/>
      <c r="USK22" s="124"/>
      <c r="USL22" s="124"/>
      <c r="USM22" s="124"/>
      <c r="USN22" s="124"/>
      <c r="USO22" s="124"/>
      <c r="USP22" s="124"/>
      <c r="USQ22" s="124"/>
      <c r="USR22" s="124"/>
      <c r="USS22" s="124"/>
      <c r="UST22" s="124"/>
      <c r="USU22" s="124"/>
      <c r="USV22" s="124"/>
      <c r="USW22" s="124"/>
      <c r="USX22" s="124"/>
      <c r="USY22" s="124"/>
      <c r="USZ22" s="124"/>
      <c r="UTA22" s="124"/>
      <c r="UTB22" s="124"/>
      <c r="UTC22" s="124"/>
      <c r="UTD22" s="124"/>
      <c r="UTE22" s="124"/>
      <c r="UTF22" s="124"/>
      <c r="UTG22" s="124"/>
      <c r="UTH22" s="124"/>
      <c r="UTI22" s="124"/>
      <c r="UTJ22" s="124"/>
      <c r="UTK22" s="124"/>
      <c r="UTL22" s="124"/>
      <c r="UTM22" s="124"/>
      <c r="UTN22" s="124"/>
      <c r="UTO22" s="124"/>
      <c r="UTP22" s="124"/>
      <c r="UTQ22" s="124"/>
      <c r="UTR22" s="124"/>
      <c r="UTS22" s="124"/>
      <c r="UTT22" s="124"/>
      <c r="UTU22" s="124"/>
      <c r="UTV22" s="124"/>
      <c r="UTW22" s="124"/>
      <c r="UTX22" s="124"/>
      <c r="UTY22" s="124"/>
      <c r="UTZ22" s="124"/>
      <c r="UUA22" s="124"/>
      <c r="UUB22" s="124"/>
      <c r="UUC22" s="124"/>
      <c r="UUD22" s="124"/>
      <c r="UUE22" s="124"/>
      <c r="UUF22" s="124"/>
      <c r="UUG22" s="124"/>
      <c r="UUH22" s="124"/>
      <c r="UUI22" s="124"/>
      <c r="UUJ22" s="124"/>
      <c r="UUK22" s="124"/>
      <c r="UUL22" s="124"/>
      <c r="UUM22" s="124"/>
      <c r="UUN22" s="124"/>
      <c r="UUO22" s="124"/>
      <c r="UUP22" s="124"/>
      <c r="UUQ22" s="124"/>
      <c r="UUR22" s="124"/>
      <c r="UUS22" s="124"/>
      <c r="UUT22" s="124"/>
      <c r="UUU22" s="124"/>
      <c r="UUV22" s="124"/>
      <c r="UUW22" s="124"/>
      <c r="UUX22" s="124"/>
      <c r="UUY22" s="124"/>
      <c r="UUZ22" s="124"/>
      <c r="UVA22" s="124"/>
      <c r="UVB22" s="124"/>
      <c r="UVC22" s="124"/>
      <c r="UVD22" s="124"/>
      <c r="UVE22" s="124"/>
      <c r="UVF22" s="124"/>
      <c r="UVG22" s="124"/>
      <c r="UVH22" s="124"/>
      <c r="UVI22" s="124"/>
      <c r="UVJ22" s="124"/>
      <c r="UVK22" s="124"/>
      <c r="UVL22" s="124"/>
      <c r="UVM22" s="124"/>
      <c r="UVN22" s="124"/>
      <c r="UVO22" s="124"/>
      <c r="UVP22" s="124"/>
      <c r="UVQ22" s="124"/>
      <c r="UVR22" s="124"/>
      <c r="UVS22" s="124"/>
      <c r="UVT22" s="124"/>
      <c r="UVU22" s="124"/>
      <c r="UVV22" s="124"/>
      <c r="UVW22" s="124"/>
      <c r="UVX22" s="124"/>
      <c r="UVY22" s="124"/>
      <c r="UVZ22" s="124"/>
      <c r="UWA22" s="124"/>
      <c r="UWB22" s="124"/>
      <c r="UWC22" s="124"/>
      <c r="UWD22" s="124"/>
      <c r="UWE22" s="124"/>
      <c r="UWF22" s="124"/>
      <c r="UWG22" s="124"/>
      <c r="UWH22" s="124"/>
      <c r="UWI22" s="124"/>
      <c r="UWJ22" s="124"/>
      <c r="UWK22" s="124"/>
      <c r="UWL22" s="124"/>
      <c r="UWM22" s="124"/>
      <c r="UWN22" s="124"/>
      <c r="UWO22" s="124"/>
      <c r="UWP22" s="124"/>
      <c r="UWQ22" s="124"/>
      <c r="UWR22" s="124"/>
      <c r="UWS22" s="124"/>
      <c r="UWT22" s="124"/>
      <c r="UWU22" s="124"/>
      <c r="UWV22" s="124"/>
      <c r="UWW22" s="124"/>
      <c r="UWX22" s="124"/>
      <c r="UWY22" s="124"/>
      <c r="UWZ22" s="124"/>
      <c r="UXA22" s="124"/>
      <c r="UXB22" s="124"/>
      <c r="UXC22" s="124"/>
      <c r="UXD22" s="124"/>
      <c r="UXE22" s="124"/>
      <c r="UXF22" s="124"/>
      <c r="UXG22" s="124"/>
      <c r="UXH22" s="124"/>
      <c r="UXI22" s="124"/>
      <c r="UXJ22" s="124"/>
      <c r="UXK22" s="124"/>
      <c r="UXL22" s="124"/>
      <c r="UXM22" s="124"/>
      <c r="UXN22" s="124"/>
      <c r="UXO22" s="124"/>
      <c r="UXP22" s="124"/>
      <c r="UXQ22" s="124"/>
      <c r="UXR22" s="124"/>
      <c r="UXS22" s="124"/>
      <c r="UXT22" s="124"/>
      <c r="UXU22" s="124"/>
      <c r="UXV22" s="124"/>
      <c r="UXW22" s="124"/>
      <c r="UXX22" s="124"/>
      <c r="UXY22" s="124"/>
      <c r="UXZ22" s="124"/>
      <c r="UYA22" s="124"/>
      <c r="UYB22" s="124"/>
      <c r="UYC22" s="124"/>
      <c r="UYD22" s="124"/>
      <c r="UYE22" s="124"/>
      <c r="UYF22" s="124"/>
      <c r="UYG22" s="124"/>
      <c r="UYH22" s="124"/>
      <c r="UYI22" s="124"/>
      <c r="UYJ22" s="124"/>
      <c r="UYK22" s="124"/>
      <c r="UYL22" s="124"/>
      <c r="UYM22" s="124"/>
      <c r="UYN22" s="124"/>
      <c r="UYO22" s="124"/>
      <c r="UYP22" s="124"/>
      <c r="UYQ22" s="124"/>
      <c r="UYR22" s="124"/>
      <c r="UYS22" s="124"/>
      <c r="UYT22" s="124"/>
      <c r="UYU22" s="124"/>
      <c r="UYV22" s="124"/>
      <c r="UYW22" s="124"/>
      <c r="UYX22" s="124"/>
      <c r="UYY22" s="124"/>
      <c r="UYZ22" s="124"/>
      <c r="UZA22" s="124"/>
      <c r="UZB22" s="124"/>
      <c r="UZC22" s="124"/>
      <c r="UZD22" s="124"/>
      <c r="UZE22" s="124"/>
      <c r="UZF22" s="124"/>
      <c r="UZG22" s="124"/>
      <c r="UZH22" s="124"/>
      <c r="UZI22" s="124"/>
      <c r="UZJ22" s="124"/>
      <c r="UZK22" s="124"/>
      <c r="UZL22" s="124"/>
      <c r="UZM22" s="124"/>
      <c r="UZN22" s="124"/>
      <c r="UZO22" s="124"/>
      <c r="UZP22" s="124"/>
      <c r="UZQ22" s="124"/>
      <c r="UZR22" s="124"/>
      <c r="UZS22" s="124"/>
      <c r="UZT22" s="124"/>
      <c r="UZU22" s="124"/>
      <c r="UZV22" s="124"/>
      <c r="UZW22" s="124"/>
      <c r="UZX22" s="124"/>
      <c r="UZY22" s="124"/>
      <c r="UZZ22" s="124"/>
      <c r="VAA22" s="124"/>
      <c r="VAB22" s="124"/>
      <c r="VAC22" s="124"/>
      <c r="VAD22" s="124"/>
      <c r="VAE22" s="124"/>
      <c r="VAF22" s="124"/>
      <c r="VAG22" s="124"/>
      <c r="VAH22" s="124"/>
      <c r="VAI22" s="124"/>
      <c r="VAJ22" s="124"/>
      <c r="VAK22" s="124"/>
      <c r="VAL22" s="124"/>
      <c r="VAM22" s="124"/>
      <c r="VAN22" s="124"/>
      <c r="VAO22" s="124"/>
      <c r="VAP22" s="124"/>
      <c r="VAQ22" s="124"/>
      <c r="VAR22" s="124"/>
      <c r="VAS22" s="124"/>
      <c r="VAT22" s="124"/>
      <c r="VAU22" s="124"/>
      <c r="VAV22" s="124"/>
      <c r="VAW22" s="124"/>
      <c r="VAX22" s="124"/>
      <c r="VAY22" s="124"/>
      <c r="VAZ22" s="124"/>
      <c r="VBA22" s="124"/>
      <c r="VBB22" s="124"/>
      <c r="VBC22" s="124"/>
      <c r="VBD22" s="124"/>
      <c r="VBE22" s="124"/>
      <c r="VBF22" s="124"/>
      <c r="VBG22" s="124"/>
      <c r="VBH22" s="124"/>
      <c r="VBI22" s="124"/>
      <c r="VBJ22" s="124"/>
      <c r="VBK22" s="124"/>
      <c r="VBL22" s="124"/>
      <c r="VBM22" s="124"/>
      <c r="VBN22" s="124"/>
      <c r="VBO22" s="124"/>
      <c r="VBP22" s="124"/>
      <c r="VBQ22" s="124"/>
      <c r="VBR22" s="124"/>
      <c r="VBS22" s="124"/>
      <c r="VBT22" s="124"/>
      <c r="VBU22" s="124"/>
      <c r="VBV22" s="124"/>
      <c r="VBW22" s="124"/>
      <c r="VBX22" s="124"/>
      <c r="VBY22" s="124"/>
      <c r="VBZ22" s="124"/>
      <c r="VCA22" s="124"/>
      <c r="VCB22" s="124"/>
      <c r="VCC22" s="124"/>
      <c r="VCD22" s="124"/>
      <c r="VCE22" s="124"/>
      <c r="VCF22" s="124"/>
      <c r="VCG22" s="124"/>
      <c r="VCH22" s="124"/>
      <c r="VCI22" s="124"/>
      <c r="VCJ22" s="124"/>
      <c r="VCK22" s="124"/>
      <c r="VCL22" s="124"/>
      <c r="VCM22" s="124"/>
      <c r="VCN22" s="124"/>
      <c r="VCO22" s="124"/>
      <c r="VCP22" s="124"/>
      <c r="VCQ22" s="124"/>
      <c r="VCR22" s="124"/>
      <c r="VCS22" s="124"/>
      <c r="VCT22" s="124"/>
      <c r="VCU22" s="124"/>
      <c r="VCV22" s="124"/>
      <c r="VCW22" s="124"/>
      <c r="VCX22" s="124"/>
      <c r="VCY22" s="124"/>
      <c r="VCZ22" s="124"/>
      <c r="VDA22" s="124"/>
      <c r="VDB22" s="124"/>
      <c r="VDC22" s="124"/>
      <c r="VDD22" s="124"/>
      <c r="VDE22" s="124"/>
      <c r="VDF22" s="124"/>
      <c r="VDG22" s="124"/>
      <c r="VDH22" s="124"/>
      <c r="VDI22" s="124"/>
      <c r="VDJ22" s="124"/>
      <c r="VDK22" s="124"/>
      <c r="VDL22" s="124"/>
      <c r="VDM22" s="124"/>
      <c r="VDN22" s="124"/>
      <c r="VDO22" s="124"/>
      <c r="VDP22" s="124"/>
      <c r="VDQ22" s="124"/>
      <c r="VDR22" s="124"/>
      <c r="VDS22" s="124"/>
      <c r="VDT22" s="124"/>
      <c r="VDU22" s="124"/>
      <c r="VDV22" s="124"/>
      <c r="VDW22" s="124"/>
      <c r="VDX22" s="124"/>
      <c r="VDY22" s="124"/>
      <c r="VDZ22" s="124"/>
      <c r="VEA22" s="124"/>
      <c r="VEB22" s="124"/>
      <c r="VEC22" s="124"/>
      <c r="VED22" s="124"/>
      <c r="VEE22" s="124"/>
      <c r="VEF22" s="124"/>
      <c r="VEG22" s="124"/>
      <c r="VEH22" s="124"/>
      <c r="VEI22" s="124"/>
      <c r="VEJ22" s="124"/>
      <c r="VEK22" s="124"/>
      <c r="VEL22" s="124"/>
      <c r="VEM22" s="124"/>
      <c r="VEN22" s="124"/>
      <c r="VEO22" s="124"/>
      <c r="VEP22" s="124"/>
      <c r="VEQ22" s="124"/>
      <c r="VER22" s="124"/>
      <c r="VES22" s="124"/>
      <c r="VET22" s="124"/>
      <c r="VEU22" s="124"/>
      <c r="VEV22" s="124"/>
      <c r="VEW22" s="124"/>
      <c r="VEX22" s="124"/>
      <c r="VEY22" s="124"/>
      <c r="VEZ22" s="124"/>
      <c r="VFA22" s="124"/>
      <c r="VFB22" s="124"/>
      <c r="VFC22" s="124"/>
      <c r="VFD22" s="124"/>
      <c r="VFE22" s="124"/>
      <c r="VFF22" s="124"/>
      <c r="VFG22" s="124"/>
      <c r="VFH22" s="124"/>
      <c r="VFI22" s="124"/>
      <c r="VFJ22" s="124"/>
      <c r="VFK22" s="124"/>
      <c r="VFL22" s="124"/>
      <c r="VFM22" s="124"/>
      <c r="VFN22" s="124"/>
      <c r="VFO22" s="124"/>
      <c r="VFP22" s="124"/>
      <c r="VFQ22" s="124"/>
      <c r="VFR22" s="124"/>
      <c r="VFS22" s="124"/>
      <c r="VFT22" s="124"/>
      <c r="VFU22" s="124"/>
      <c r="VFV22" s="124"/>
      <c r="VFW22" s="124"/>
      <c r="VFX22" s="124"/>
      <c r="VFY22" s="124"/>
      <c r="VFZ22" s="124"/>
      <c r="VGA22" s="124"/>
      <c r="VGB22" s="124"/>
      <c r="VGC22" s="124"/>
      <c r="VGD22" s="124"/>
      <c r="VGE22" s="124"/>
      <c r="VGF22" s="124"/>
      <c r="VGG22" s="124"/>
      <c r="VGH22" s="124"/>
      <c r="VGI22" s="124"/>
      <c r="VGJ22" s="124"/>
      <c r="VGK22" s="124"/>
      <c r="VGL22" s="124"/>
      <c r="VGM22" s="124"/>
      <c r="VGN22" s="124"/>
      <c r="VGO22" s="124"/>
      <c r="VGP22" s="124"/>
      <c r="VGQ22" s="124"/>
      <c r="VGR22" s="124"/>
      <c r="VGS22" s="124"/>
      <c r="VGT22" s="124"/>
      <c r="VGU22" s="124"/>
      <c r="VGV22" s="124"/>
      <c r="VGW22" s="124"/>
      <c r="VGX22" s="124"/>
      <c r="VGY22" s="124"/>
      <c r="VGZ22" s="124"/>
      <c r="VHA22" s="124"/>
      <c r="VHB22" s="124"/>
      <c r="VHC22" s="124"/>
      <c r="VHD22" s="124"/>
      <c r="VHE22" s="124"/>
      <c r="VHF22" s="124"/>
      <c r="VHG22" s="124"/>
      <c r="VHH22" s="124"/>
      <c r="VHI22" s="124"/>
      <c r="VHJ22" s="124"/>
      <c r="VHK22" s="124"/>
      <c r="VHL22" s="124"/>
      <c r="VHM22" s="124"/>
      <c r="VHN22" s="124"/>
      <c r="VHO22" s="124"/>
      <c r="VHP22" s="124"/>
      <c r="VHQ22" s="124"/>
      <c r="VHR22" s="124"/>
      <c r="VHS22" s="124"/>
      <c r="VHT22" s="124"/>
      <c r="VHU22" s="124"/>
      <c r="VHV22" s="124"/>
      <c r="VHW22" s="124"/>
      <c r="VHX22" s="124"/>
      <c r="VHY22" s="124"/>
      <c r="VHZ22" s="124"/>
      <c r="VIA22" s="124"/>
      <c r="VIB22" s="124"/>
      <c r="VIC22" s="124"/>
      <c r="VID22" s="124"/>
      <c r="VIE22" s="124"/>
      <c r="VIF22" s="124"/>
      <c r="VIG22" s="124"/>
      <c r="VIH22" s="124"/>
      <c r="VII22" s="124"/>
      <c r="VIJ22" s="124"/>
      <c r="VIK22" s="124"/>
      <c r="VIL22" s="124"/>
      <c r="VIM22" s="124"/>
      <c r="VIN22" s="124"/>
      <c r="VIO22" s="124"/>
      <c r="VIP22" s="124"/>
      <c r="VIQ22" s="124"/>
      <c r="VIR22" s="124"/>
      <c r="VIS22" s="124"/>
      <c r="VIT22" s="124"/>
      <c r="VIU22" s="124"/>
      <c r="VIV22" s="124"/>
      <c r="VIW22" s="124"/>
      <c r="VIX22" s="124"/>
      <c r="VIY22" s="124"/>
      <c r="VIZ22" s="124"/>
      <c r="VJA22" s="124"/>
      <c r="VJB22" s="124"/>
      <c r="VJC22" s="124"/>
      <c r="VJD22" s="124"/>
      <c r="VJE22" s="124"/>
      <c r="VJF22" s="124"/>
      <c r="VJG22" s="124"/>
      <c r="VJH22" s="124"/>
      <c r="VJI22" s="124"/>
      <c r="VJJ22" s="124"/>
      <c r="VJK22" s="124"/>
      <c r="VJL22" s="124"/>
      <c r="VJM22" s="124"/>
      <c r="VJN22" s="124"/>
      <c r="VJO22" s="124"/>
      <c r="VJP22" s="124"/>
      <c r="VJQ22" s="124"/>
      <c r="VJR22" s="124"/>
      <c r="VJS22" s="124"/>
      <c r="VJT22" s="124"/>
      <c r="VJU22" s="124"/>
      <c r="VJV22" s="124"/>
      <c r="VJW22" s="124"/>
      <c r="VJX22" s="124"/>
      <c r="VJY22" s="124"/>
      <c r="VJZ22" s="124"/>
      <c r="VKA22" s="124"/>
      <c r="VKB22" s="124"/>
      <c r="VKC22" s="124"/>
      <c r="VKD22" s="124"/>
      <c r="VKE22" s="124"/>
      <c r="VKF22" s="124"/>
      <c r="VKG22" s="124"/>
      <c r="VKH22" s="124"/>
      <c r="VKI22" s="124"/>
      <c r="VKJ22" s="124"/>
      <c r="VKK22" s="124"/>
      <c r="VKL22" s="124"/>
      <c r="VKM22" s="124"/>
      <c r="VKN22" s="124"/>
      <c r="VKO22" s="124"/>
      <c r="VKP22" s="124"/>
      <c r="VKQ22" s="124"/>
      <c r="VKR22" s="124"/>
      <c r="VKS22" s="124"/>
      <c r="VKT22" s="124"/>
      <c r="VKU22" s="124"/>
      <c r="VKV22" s="124"/>
      <c r="VKW22" s="124"/>
      <c r="VKX22" s="124"/>
      <c r="VKY22" s="124"/>
      <c r="VKZ22" s="124"/>
      <c r="VLA22" s="124"/>
      <c r="VLB22" s="124"/>
      <c r="VLC22" s="124"/>
      <c r="VLD22" s="124"/>
      <c r="VLE22" s="124"/>
      <c r="VLF22" s="124"/>
      <c r="VLG22" s="124"/>
      <c r="VLH22" s="124"/>
      <c r="VLI22" s="124"/>
      <c r="VLJ22" s="124"/>
      <c r="VLK22" s="124"/>
      <c r="VLL22" s="124"/>
      <c r="VLM22" s="124"/>
      <c r="VLN22" s="124"/>
      <c r="VLO22" s="124"/>
      <c r="VLP22" s="124"/>
      <c r="VLQ22" s="124"/>
      <c r="VLR22" s="124"/>
      <c r="VLS22" s="124"/>
      <c r="VLT22" s="124"/>
      <c r="VLU22" s="124"/>
      <c r="VLV22" s="124"/>
      <c r="VLW22" s="124"/>
      <c r="VLX22" s="124"/>
      <c r="VLY22" s="124"/>
      <c r="VLZ22" s="124"/>
      <c r="VMA22" s="124"/>
      <c r="VMB22" s="124"/>
      <c r="VMC22" s="124"/>
      <c r="VMD22" s="124"/>
      <c r="VME22" s="124"/>
      <c r="VMF22" s="124"/>
      <c r="VMG22" s="124"/>
      <c r="VMH22" s="124"/>
      <c r="VMI22" s="124"/>
      <c r="VMJ22" s="124"/>
      <c r="VMK22" s="124"/>
      <c r="VML22" s="124"/>
      <c r="VMM22" s="124"/>
      <c r="VMN22" s="124"/>
      <c r="VMO22" s="124"/>
      <c r="VMP22" s="124"/>
      <c r="VMQ22" s="124"/>
      <c r="VMR22" s="124"/>
      <c r="VMS22" s="124"/>
      <c r="VMT22" s="124"/>
      <c r="VMU22" s="124"/>
      <c r="VMV22" s="124"/>
      <c r="VMW22" s="124"/>
      <c r="VMX22" s="124"/>
      <c r="VMY22" s="124"/>
      <c r="VMZ22" s="124"/>
      <c r="VNA22" s="124"/>
      <c r="VNB22" s="124"/>
      <c r="VNC22" s="124"/>
      <c r="VND22" s="124"/>
      <c r="VNE22" s="124"/>
      <c r="VNF22" s="124"/>
      <c r="VNG22" s="124"/>
      <c r="VNH22" s="124"/>
      <c r="VNI22" s="124"/>
      <c r="VNJ22" s="124"/>
      <c r="VNK22" s="124"/>
      <c r="VNL22" s="124"/>
      <c r="VNM22" s="124"/>
      <c r="VNN22" s="124"/>
      <c r="VNO22" s="124"/>
      <c r="VNP22" s="124"/>
      <c r="VNQ22" s="124"/>
      <c r="VNR22" s="124"/>
      <c r="VNS22" s="124"/>
      <c r="VNT22" s="124"/>
      <c r="VNU22" s="124"/>
      <c r="VNV22" s="124"/>
      <c r="VNW22" s="124"/>
      <c r="VNX22" s="124"/>
      <c r="VNY22" s="124"/>
      <c r="VNZ22" s="124"/>
      <c r="VOA22" s="124"/>
      <c r="VOB22" s="124"/>
      <c r="VOC22" s="124"/>
      <c r="VOD22" s="124"/>
      <c r="VOE22" s="124"/>
      <c r="VOF22" s="124"/>
      <c r="VOG22" s="124"/>
      <c r="VOH22" s="124"/>
      <c r="VOI22" s="124"/>
      <c r="VOJ22" s="124"/>
      <c r="VOK22" s="124"/>
      <c r="VOL22" s="124"/>
      <c r="VOM22" s="124"/>
      <c r="VON22" s="124"/>
      <c r="VOO22" s="124"/>
      <c r="VOP22" s="124"/>
      <c r="VOQ22" s="124"/>
      <c r="VOR22" s="124"/>
      <c r="VOS22" s="124"/>
      <c r="VOT22" s="124"/>
      <c r="VOU22" s="124"/>
      <c r="VOV22" s="124"/>
      <c r="VOW22" s="124"/>
      <c r="VOX22" s="124"/>
      <c r="VOY22" s="124"/>
      <c r="VOZ22" s="124"/>
      <c r="VPA22" s="124"/>
      <c r="VPB22" s="124"/>
      <c r="VPC22" s="124"/>
      <c r="VPD22" s="124"/>
      <c r="VPE22" s="124"/>
      <c r="VPF22" s="124"/>
      <c r="VPG22" s="124"/>
      <c r="VPH22" s="124"/>
      <c r="VPI22" s="124"/>
      <c r="VPJ22" s="124"/>
      <c r="VPK22" s="124"/>
      <c r="VPL22" s="124"/>
      <c r="VPM22" s="124"/>
      <c r="VPN22" s="124"/>
      <c r="VPO22" s="124"/>
      <c r="VPP22" s="124"/>
      <c r="VPQ22" s="124"/>
      <c r="VPR22" s="124"/>
      <c r="VPS22" s="124"/>
      <c r="VPT22" s="124"/>
      <c r="VPU22" s="124"/>
      <c r="VPV22" s="124"/>
      <c r="VPW22" s="124"/>
      <c r="VPX22" s="124"/>
      <c r="VPY22" s="124"/>
      <c r="VPZ22" s="124"/>
      <c r="VQA22" s="124"/>
      <c r="VQB22" s="124"/>
      <c r="VQC22" s="124"/>
      <c r="VQD22" s="124"/>
      <c r="VQE22" s="124"/>
      <c r="VQF22" s="124"/>
      <c r="VQG22" s="124"/>
      <c r="VQH22" s="124"/>
      <c r="VQI22" s="124"/>
      <c r="VQJ22" s="124"/>
      <c r="VQK22" s="124"/>
      <c r="VQL22" s="124"/>
      <c r="VQM22" s="124"/>
      <c r="VQN22" s="124"/>
      <c r="VQO22" s="124"/>
      <c r="VQP22" s="124"/>
      <c r="VQQ22" s="124"/>
      <c r="VQR22" s="124"/>
      <c r="VQS22" s="124"/>
      <c r="VQT22" s="124"/>
      <c r="VQU22" s="124"/>
      <c r="VQV22" s="124"/>
      <c r="VQW22" s="124"/>
      <c r="VQX22" s="124"/>
      <c r="VQY22" s="124"/>
      <c r="VQZ22" s="124"/>
      <c r="VRA22" s="124"/>
      <c r="VRB22" s="124"/>
      <c r="VRC22" s="124"/>
      <c r="VRD22" s="124"/>
      <c r="VRE22" s="124"/>
      <c r="VRF22" s="124"/>
      <c r="VRG22" s="124"/>
      <c r="VRH22" s="124"/>
      <c r="VRI22" s="124"/>
      <c r="VRJ22" s="124"/>
      <c r="VRK22" s="124"/>
      <c r="VRL22" s="124"/>
      <c r="VRM22" s="124"/>
      <c r="VRN22" s="124"/>
      <c r="VRO22" s="124"/>
      <c r="VRP22" s="124"/>
      <c r="VRQ22" s="124"/>
      <c r="VRR22" s="124"/>
      <c r="VRS22" s="124"/>
      <c r="VRT22" s="124"/>
      <c r="VRU22" s="124"/>
      <c r="VRV22" s="124"/>
      <c r="VRW22" s="124"/>
      <c r="VRX22" s="124"/>
      <c r="VRY22" s="124"/>
      <c r="VRZ22" s="124"/>
      <c r="VSA22" s="124"/>
      <c r="VSB22" s="124"/>
      <c r="VSC22" s="124"/>
      <c r="VSD22" s="124"/>
      <c r="VSE22" s="124"/>
      <c r="VSF22" s="124"/>
      <c r="VSG22" s="124"/>
      <c r="VSH22" s="124"/>
      <c r="VSI22" s="124"/>
      <c r="VSJ22" s="124"/>
      <c r="VSK22" s="124"/>
      <c r="VSL22" s="124"/>
      <c r="VSM22" s="124"/>
      <c r="VSN22" s="124"/>
      <c r="VSO22" s="124"/>
      <c r="VSP22" s="124"/>
      <c r="VSQ22" s="124"/>
      <c r="VSR22" s="124"/>
      <c r="VSS22" s="124"/>
      <c r="VST22" s="124"/>
      <c r="VSU22" s="124"/>
      <c r="VSV22" s="124"/>
      <c r="VSW22" s="124"/>
      <c r="VSX22" s="124"/>
      <c r="VSY22" s="124"/>
      <c r="VSZ22" s="124"/>
      <c r="VTA22" s="124"/>
      <c r="VTB22" s="124"/>
      <c r="VTC22" s="124"/>
      <c r="VTD22" s="124"/>
      <c r="VTE22" s="124"/>
      <c r="VTF22" s="124"/>
      <c r="VTG22" s="124"/>
      <c r="VTH22" s="124"/>
      <c r="VTI22" s="124"/>
      <c r="VTJ22" s="124"/>
      <c r="VTK22" s="124"/>
      <c r="VTL22" s="124"/>
      <c r="VTM22" s="124"/>
      <c r="VTN22" s="124"/>
      <c r="VTO22" s="124"/>
      <c r="VTP22" s="124"/>
      <c r="VTQ22" s="124"/>
      <c r="VTR22" s="124"/>
      <c r="VTS22" s="124"/>
      <c r="VTT22" s="124"/>
      <c r="VTU22" s="124"/>
      <c r="VTV22" s="124"/>
      <c r="VTW22" s="124"/>
      <c r="VTX22" s="124"/>
      <c r="VTY22" s="124"/>
      <c r="VTZ22" s="124"/>
      <c r="VUA22" s="124"/>
      <c r="VUB22" s="124"/>
      <c r="VUC22" s="124"/>
      <c r="VUD22" s="124"/>
      <c r="VUE22" s="124"/>
      <c r="VUF22" s="124"/>
      <c r="VUG22" s="124"/>
      <c r="VUH22" s="124"/>
      <c r="VUI22" s="124"/>
      <c r="VUJ22" s="124"/>
      <c r="VUK22" s="124"/>
      <c r="VUL22" s="124"/>
      <c r="VUM22" s="124"/>
      <c r="VUN22" s="124"/>
      <c r="VUO22" s="124"/>
      <c r="VUP22" s="124"/>
      <c r="VUQ22" s="124"/>
      <c r="VUR22" s="124"/>
      <c r="VUS22" s="124"/>
      <c r="VUT22" s="124"/>
      <c r="VUU22" s="124"/>
      <c r="VUV22" s="124"/>
      <c r="VUW22" s="124"/>
      <c r="VUX22" s="124"/>
      <c r="VUY22" s="124"/>
      <c r="VUZ22" s="124"/>
      <c r="VVA22" s="124"/>
      <c r="VVB22" s="124"/>
      <c r="VVC22" s="124"/>
      <c r="VVD22" s="124"/>
      <c r="VVE22" s="124"/>
      <c r="VVF22" s="124"/>
      <c r="VVG22" s="124"/>
      <c r="VVH22" s="124"/>
      <c r="VVI22" s="124"/>
      <c r="VVJ22" s="124"/>
      <c r="VVK22" s="124"/>
      <c r="VVL22" s="124"/>
      <c r="VVM22" s="124"/>
      <c r="VVN22" s="124"/>
      <c r="VVO22" s="124"/>
      <c r="VVP22" s="124"/>
      <c r="VVQ22" s="124"/>
      <c r="VVR22" s="124"/>
      <c r="VVS22" s="124"/>
      <c r="VVT22" s="124"/>
      <c r="VVU22" s="124"/>
      <c r="VVV22" s="124"/>
      <c r="VVW22" s="124"/>
      <c r="VVX22" s="124"/>
      <c r="VVY22" s="124"/>
      <c r="VVZ22" s="124"/>
      <c r="VWA22" s="124"/>
      <c r="VWB22" s="124"/>
      <c r="VWC22" s="124"/>
      <c r="VWD22" s="124"/>
      <c r="VWE22" s="124"/>
      <c r="VWF22" s="124"/>
      <c r="VWG22" s="124"/>
      <c r="VWH22" s="124"/>
      <c r="VWI22" s="124"/>
      <c r="VWJ22" s="124"/>
      <c r="VWK22" s="124"/>
      <c r="VWL22" s="124"/>
      <c r="VWM22" s="124"/>
      <c r="VWN22" s="124"/>
      <c r="VWO22" s="124"/>
      <c r="VWP22" s="124"/>
      <c r="VWQ22" s="124"/>
      <c r="VWR22" s="124"/>
      <c r="VWS22" s="124"/>
      <c r="VWT22" s="124"/>
      <c r="VWU22" s="124"/>
      <c r="VWV22" s="124"/>
      <c r="VWW22" s="124"/>
      <c r="VWX22" s="124"/>
      <c r="VWY22" s="124"/>
      <c r="VWZ22" s="124"/>
      <c r="VXA22" s="124"/>
      <c r="VXB22" s="124"/>
      <c r="VXC22" s="124"/>
      <c r="VXD22" s="124"/>
      <c r="VXE22" s="124"/>
      <c r="VXF22" s="124"/>
      <c r="VXG22" s="124"/>
      <c r="VXH22" s="124"/>
      <c r="VXI22" s="124"/>
      <c r="VXJ22" s="124"/>
      <c r="VXK22" s="124"/>
      <c r="VXL22" s="124"/>
      <c r="VXM22" s="124"/>
      <c r="VXN22" s="124"/>
      <c r="VXO22" s="124"/>
      <c r="VXP22" s="124"/>
      <c r="VXQ22" s="124"/>
      <c r="VXR22" s="124"/>
      <c r="VXS22" s="124"/>
      <c r="VXT22" s="124"/>
      <c r="VXU22" s="124"/>
      <c r="VXV22" s="124"/>
      <c r="VXW22" s="124"/>
      <c r="VXX22" s="124"/>
      <c r="VXY22" s="124"/>
      <c r="VXZ22" s="124"/>
      <c r="VYA22" s="124"/>
      <c r="VYB22" s="124"/>
      <c r="VYC22" s="124"/>
      <c r="VYD22" s="124"/>
      <c r="VYE22" s="124"/>
      <c r="VYF22" s="124"/>
      <c r="VYG22" s="124"/>
      <c r="VYH22" s="124"/>
      <c r="VYI22" s="124"/>
      <c r="VYJ22" s="124"/>
      <c r="VYK22" s="124"/>
      <c r="VYL22" s="124"/>
      <c r="VYM22" s="124"/>
      <c r="VYN22" s="124"/>
      <c r="VYO22" s="124"/>
      <c r="VYP22" s="124"/>
      <c r="VYQ22" s="124"/>
      <c r="VYR22" s="124"/>
      <c r="VYS22" s="124"/>
      <c r="VYT22" s="124"/>
      <c r="VYU22" s="124"/>
      <c r="VYV22" s="124"/>
      <c r="VYW22" s="124"/>
      <c r="VYX22" s="124"/>
      <c r="VYY22" s="124"/>
      <c r="VYZ22" s="124"/>
      <c r="VZA22" s="124"/>
      <c r="VZB22" s="124"/>
      <c r="VZC22" s="124"/>
      <c r="VZD22" s="124"/>
      <c r="VZE22" s="124"/>
      <c r="VZF22" s="124"/>
      <c r="VZG22" s="124"/>
      <c r="VZH22" s="124"/>
      <c r="VZI22" s="124"/>
      <c r="VZJ22" s="124"/>
      <c r="VZK22" s="124"/>
      <c r="VZL22" s="124"/>
      <c r="VZM22" s="124"/>
      <c r="VZN22" s="124"/>
      <c r="VZO22" s="124"/>
      <c r="VZP22" s="124"/>
      <c r="VZQ22" s="124"/>
      <c r="VZR22" s="124"/>
      <c r="VZS22" s="124"/>
      <c r="VZT22" s="124"/>
      <c r="VZU22" s="124"/>
      <c r="VZV22" s="124"/>
      <c r="VZW22" s="124"/>
      <c r="VZX22" s="124"/>
      <c r="VZY22" s="124"/>
      <c r="VZZ22" s="124"/>
      <c r="WAA22" s="124"/>
      <c r="WAB22" s="124"/>
      <c r="WAC22" s="124"/>
      <c r="WAD22" s="124"/>
      <c r="WAE22" s="124"/>
      <c r="WAF22" s="124"/>
      <c r="WAG22" s="124"/>
      <c r="WAH22" s="124"/>
      <c r="WAI22" s="124"/>
      <c r="WAJ22" s="124"/>
      <c r="WAK22" s="124"/>
      <c r="WAL22" s="124"/>
      <c r="WAM22" s="124"/>
      <c r="WAN22" s="124"/>
      <c r="WAO22" s="124"/>
      <c r="WAP22" s="124"/>
      <c r="WAQ22" s="124"/>
      <c r="WAR22" s="124"/>
      <c r="WAS22" s="124"/>
      <c r="WAT22" s="124"/>
      <c r="WAU22" s="124"/>
      <c r="WAV22" s="124"/>
      <c r="WAW22" s="124"/>
      <c r="WAX22" s="124"/>
      <c r="WAY22" s="124"/>
      <c r="WAZ22" s="124"/>
      <c r="WBA22" s="124"/>
      <c r="WBB22" s="124"/>
      <c r="WBC22" s="124"/>
      <c r="WBD22" s="124"/>
      <c r="WBE22" s="124"/>
      <c r="WBF22" s="124"/>
      <c r="WBG22" s="124"/>
      <c r="WBH22" s="124"/>
      <c r="WBI22" s="124"/>
      <c r="WBJ22" s="124"/>
      <c r="WBK22" s="124"/>
      <c r="WBL22" s="124"/>
      <c r="WBM22" s="124"/>
      <c r="WBN22" s="124"/>
      <c r="WBO22" s="124"/>
      <c r="WBP22" s="124"/>
      <c r="WBQ22" s="124"/>
      <c r="WBR22" s="124"/>
      <c r="WBS22" s="124"/>
      <c r="WBT22" s="124"/>
      <c r="WBU22" s="124"/>
      <c r="WBV22" s="124"/>
      <c r="WBW22" s="124"/>
      <c r="WBX22" s="124"/>
      <c r="WBY22" s="124"/>
      <c r="WBZ22" s="124"/>
      <c r="WCA22" s="124"/>
      <c r="WCB22" s="124"/>
      <c r="WCC22" s="124"/>
      <c r="WCD22" s="124"/>
      <c r="WCE22" s="124"/>
      <c r="WCF22" s="124"/>
      <c r="WCG22" s="124"/>
      <c r="WCH22" s="124"/>
      <c r="WCI22" s="124"/>
      <c r="WCJ22" s="124"/>
      <c r="WCK22" s="124"/>
      <c r="WCL22" s="124"/>
      <c r="WCM22" s="124"/>
      <c r="WCN22" s="124"/>
      <c r="WCO22" s="124"/>
      <c r="WCP22" s="124"/>
      <c r="WCQ22" s="124"/>
      <c r="WCR22" s="124"/>
      <c r="WCS22" s="124"/>
      <c r="WCT22" s="124"/>
      <c r="WCU22" s="124"/>
      <c r="WCV22" s="124"/>
      <c r="WCW22" s="124"/>
      <c r="WCX22" s="124"/>
      <c r="WCY22" s="124"/>
      <c r="WCZ22" s="124"/>
      <c r="WDA22" s="124"/>
      <c r="WDB22" s="124"/>
      <c r="WDC22" s="124"/>
      <c r="WDD22" s="124"/>
      <c r="WDE22" s="124"/>
      <c r="WDF22" s="124"/>
      <c r="WDG22" s="124"/>
      <c r="WDH22" s="124"/>
      <c r="WDI22" s="124"/>
      <c r="WDJ22" s="124"/>
      <c r="WDK22" s="124"/>
      <c r="WDL22" s="124"/>
      <c r="WDM22" s="124"/>
      <c r="WDN22" s="124"/>
      <c r="WDO22" s="124"/>
      <c r="WDP22" s="124"/>
      <c r="WDQ22" s="124"/>
      <c r="WDR22" s="124"/>
      <c r="WDS22" s="124"/>
      <c r="WDT22" s="124"/>
      <c r="WDU22" s="124"/>
      <c r="WDV22" s="124"/>
      <c r="WDW22" s="124"/>
      <c r="WDX22" s="124"/>
      <c r="WDY22" s="124"/>
      <c r="WDZ22" s="124"/>
      <c r="WEA22" s="124"/>
      <c r="WEB22" s="124"/>
      <c r="WEC22" s="124"/>
      <c r="WED22" s="124"/>
      <c r="WEE22" s="124"/>
      <c r="WEF22" s="124"/>
      <c r="WEG22" s="124"/>
      <c r="WEH22" s="124"/>
      <c r="WEI22" s="124"/>
      <c r="WEJ22" s="124"/>
      <c r="WEK22" s="124"/>
      <c r="WEL22" s="124"/>
      <c r="WEM22" s="124"/>
      <c r="WEN22" s="124"/>
      <c r="WEO22" s="124"/>
      <c r="WEP22" s="124"/>
      <c r="WEQ22" s="124"/>
      <c r="WER22" s="124"/>
      <c r="WES22" s="124"/>
      <c r="WET22" s="124"/>
      <c r="WEU22" s="124"/>
      <c r="WEV22" s="124"/>
      <c r="WEW22" s="124"/>
      <c r="WEX22" s="124"/>
      <c r="WEY22" s="124"/>
      <c r="WEZ22" s="124"/>
      <c r="WFA22" s="124"/>
      <c r="WFB22" s="124"/>
      <c r="WFC22" s="124"/>
      <c r="WFD22" s="124"/>
      <c r="WFE22" s="124"/>
      <c r="WFF22" s="124"/>
      <c r="WFG22" s="124"/>
      <c r="WFH22" s="124"/>
      <c r="WFI22" s="124"/>
      <c r="WFJ22" s="124"/>
      <c r="WFK22" s="124"/>
      <c r="WFL22" s="124"/>
      <c r="WFM22" s="124"/>
      <c r="WFN22" s="124"/>
      <c r="WFO22" s="124"/>
      <c r="WFP22" s="124"/>
      <c r="WFQ22" s="124"/>
      <c r="WFR22" s="124"/>
      <c r="WFS22" s="124"/>
      <c r="WFT22" s="124"/>
      <c r="WFU22" s="124"/>
      <c r="WFV22" s="124"/>
      <c r="WFW22" s="124"/>
      <c r="WFX22" s="124"/>
      <c r="WFY22" s="124"/>
      <c r="WFZ22" s="124"/>
      <c r="WGA22" s="124"/>
      <c r="WGB22" s="124"/>
      <c r="WGC22" s="124"/>
      <c r="WGD22" s="124"/>
      <c r="WGE22" s="124"/>
      <c r="WGF22" s="124"/>
      <c r="WGG22" s="124"/>
      <c r="WGH22" s="124"/>
      <c r="WGI22" s="124"/>
      <c r="WGJ22" s="124"/>
      <c r="WGK22" s="124"/>
      <c r="WGL22" s="124"/>
      <c r="WGM22" s="124"/>
      <c r="WGN22" s="124"/>
      <c r="WGO22" s="124"/>
      <c r="WGP22" s="124"/>
      <c r="WGQ22" s="124"/>
      <c r="WGR22" s="124"/>
      <c r="WGS22" s="124"/>
      <c r="WGT22" s="124"/>
      <c r="WGU22" s="124"/>
      <c r="WGV22" s="124"/>
      <c r="WGW22" s="124"/>
      <c r="WGX22" s="124"/>
      <c r="WGY22" s="124"/>
      <c r="WGZ22" s="124"/>
      <c r="WHA22" s="124"/>
      <c r="WHB22" s="124"/>
      <c r="WHC22" s="124"/>
      <c r="WHD22" s="124"/>
      <c r="WHE22" s="124"/>
      <c r="WHF22" s="124"/>
      <c r="WHG22" s="124"/>
      <c r="WHH22" s="124"/>
      <c r="WHI22" s="124"/>
      <c r="WHJ22" s="124"/>
      <c r="WHK22" s="124"/>
      <c r="WHL22" s="124"/>
      <c r="WHM22" s="124"/>
      <c r="WHN22" s="124"/>
      <c r="WHO22" s="124"/>
      <c r="WHP22" s="124"/>
      <c r="WHQ22" s="124"/>
      <c r="WHR22" s="124"/>
      <c r="WHS22" s="124"/>
      <c r="WHT22" s="124"/>
      <c r="WHU22" s="124"/>
      <c r="WHV22" s="124"/>
      <c r="WHW22" s="124"/>
      <c r="WHX22" s="124"/>
      <c r="WHY22" s="124"/>
      <c r="WHZ22" s="124"/>
      <c r="WIA22" s="124"/>
      <c r="WIB22" s="124"/>
      <c r="WIC22" s="124"/>
      <c r="WID22" s="124"/>
      <c r="WIE22" s="124"/>
      <c r="WIF22" s="124"/>
      <c r="WIG22" s="124"/>
      <c r="WIH22" s="124"/>
      <c r="WII22" s="124"/>
      <c r="WIJ22" s="124"/>
      <c r="WIK22" s="124"/>
      <c r="WIL22" s="124"/>
      <c r="WIM22" s="124"/>
      <c r="WIN22" s="124"/>
      <c r="WIO22" s="124"/>
      <c r="WIP22" s="124"/>
      <c r="WIQ22" s="124"/>
      <c r="WIR22" s="124"/>
      <c r="WIS22" s="124"/>
      <c r="WIT22" s="124"/>
      <c r="WIU22" s="124"/>
      <c r="WIV22" s="124"/>
      <c r="WIW22" s="124"/>
      <c r="WIX22" s="124"/>
      <c r="WIY22" s="124"/>
      <c r="WIZ22" s="124"/>
      <c r="WJA22" s="124"/>
      <c r="WJB22" s="124"/>
      <c r="WJC22" s="124"/>
      <c r="WJD22" s="124"/>
      <c r="WJE22" s="124"/>
      <c r="WJF22" s="124"/>
      <c r="WJG22" s="124"/>
      <c r="WJH22" s="124"/>
      <c r="WJI22" s="124"/>
      <c r="WJJ22" s="124"/>
      <c r="WJK22" s="124"/>
      <c r="WJL22" s="124"/>
      <c r="WJM22" s="124"/>
      <c r="WJN22" s="124"/>
      <c r="WJO22" s="124"/>
      <c r="WJP22" s="124"/>
      <c r="WJQ22" s="124"/>
      <c r="WJR22" s="124"/>
      <c r="WJS22" s="124"/>
      <c r="WJT22" s="124"/>
      <c r="WJU22" s="124"/>
      <c r="WJV22" s="124"/>
      <c r="WJW22" s="124"/>
      <c r="WJX22" s="124"/>
      <c r="WJY22" s="124"/>
      <c r="WJZ22" s="124"/>
      <c r="WKA22" s="124"/>
      <c r="WKB22" s="124"/>
      <c r="WKC22" s="124"/>
      <c r="WKD22" s="124"/>
      <c r="WKE22" s="124"/>
      <c r="WKF22" s="124"/>
      <c r="WKG22" s="124"/>
      <c r="WKH22" s="124"/>
      <c r="WKI22" s="124"/>
      <c r="WKJ22" s="124"/>
      <c r="WKK22" s="124"/>
      <c r="WKL22" s="124"/>
      <c r="WKM22" s="124"/>
      <c r="WKN22" s="124"/>
      <c r="WKO22" s="124"/>
      <c r="WKP22" s="124"/>
      <c r="WKQ22" s="124"/>
      <c r="WKR22" s="124"/>
      <c r="WKS22" s="124"/>
      <c r="WKT22" s="124"/>
      <c r="WKU22" s="124"/>
      <c r="WKV22" s="124"/>
      <c r="WKW22" s="124"/>
      <c r="WKX22" s="124"/>
      <c r="WKY22" s="124"/>
      <c r="WKZ22" s="124"/>
      <c r="WLA22" s="124"/>
      <c r="WLB22" s="124"/>
      <c r="WLC22" s="124"/>
      <c r="WLD22" s="124"/>
      <c r="WLE22" s="124"/>
      <c r="WLF22" s="124"/>
      <c r="WLG22" s="124"/>
      <c r="WLH22" s="124"/>
      <c r="WLI22" s="124"/>
      <c r="WLJ22" s="124"/>
      <c r="WLK22" s="124"/>
      <c r="WLL22" s="124"/>
      <c r="WLM22" s="124"/>
      <c r="WLN22" s="124"/>
      <c r="WLO22" s="124"/>
      <c r="WLP22" s="124"/>
      <c r="WLQ22" s="124"/>
      <c r="WLR22" s="124"/>
      <c r="WLS22" s="124"/>
      <c r="WLT22" s="124"/>
      <c r="WLU22" s="124"/>
      <c r="WLV22" s="124"/>
      <c r="WLW22" s="124"/>
      <c r="WLX22" s="124"/>
      <c r="WLY22" s="124"/>
      <c r="WLZ22" s="124"/>
      <c r="WMA22" s="124"/>
      <c r="WMB22" s="124"/>
      <c r="WMC22" s="124"/>
      <c r="WMD22" s="124"/>
      <c r="WME22" s="124"/>
      <c r="WMF22" s="124"/>
      <c r="WMG22" s="124"/>
      <c r="WMH22" s="124"/>
      <c r="WMI22" s="124"/>
      <c r="WMJ22" s="124"/>
      <c r="WMK22" s="124"/>
      <c r="WML22" s="124"/>
      <c r="WMM22" s="124"/>
      <c r="WMN22" s="124"/>
      <c r="WMO22" s="124"/>
      <c r="WMP22" s="124"/>
      <c r="WMQ22" s="124"/>
      <c r="WMR22" s="124"/>
      <c r="WMS22" s="124"/>
      <c r="WMT22" s="124"/>
      <c r="WMU22" s="124"/>
      <c r="WMV22" s="124"/>
      <c r="WMW22" s="124"/>
      <c r="WMX22" s="124"/>
      <c r="WMY22" s="124"/>
      <c r="WMZ22" s="124"/>
      <c r="WNA22" s="124"/>
      <c r="WNB22" s="124"/>
      <c r="WNC22" s="124"/>
      <c r="WND22" s="124"/>
      <c r="WNE22" s="124"/>
      <c r="WNF22" s="124"/>
      <c r="WNG22" s="124"/>
      <c r="WNH22" s="124"/>
      <c r="WNI22" s="124"/>
      <c r="WNJ22" s="124"/>
      <c r="WNK22" s="124"/>
      <c r="WNL22" s="124"/>
      <c r="WNM22" s="124"/>
      <c r="WNN22" s="124"/>
      <c r="WNO22" s="124"/>
      <c r="WNP22" s="124"/>
      <c r="WNQ22" s="124"/>
      <c r="WNR22" s="124"/>
      <c r="WNS22" s="124"/>
      <c r="WNT22" s="124"/>
      <c r="WNU22" s="124"/>
      <c r="WNV22" s="124"/>
      <c r="WNW22" s="124"/>
      <c r="WNX22" s="124"/>
      <c r="WNY22" s="124"/>
      <c r="WNZ22" s="124"/>
      <c r="WOA22" s="124"/>
      <c r="WOB22" s="124"/>
      <c r="WOC22" s="124"/>
      <c r="WOD22" s="124"/>
      <c r="WOE22" s="124"/>
      <c r="WOF22" s="124"/>
      <c r="WOG22" s="124"/>
      <c r="WOH22" s="124"/>
      <c r="WOI22" s="124"/>
      <c r="WOJ22" s="124"/>
      <c r="WOK22" s="124"/>
      <c r="WOL22" s="124"/>
      <c r="WOM22" s="124"/>
      <c r="WON22" s="124"/>
      <c r="WOO22" s="124"/>
      <c r="WOP22" s="124"/>
      <c r="WOQ22" s="124"/>
      <c r="WOR22" s="124"/>
      <c r="WOS22" s="124"/>
      <c r="WOT22" s="124"/>
      <c r="WOU22" s="124"/>
      <c r="WOV22" s="124"/>
      <c r="WOW22" s="124"/>
      <c r="WOX22" s="124"/>
      <c r="WOY22" s="124"/>
      <c r="WOZ22" s="124"/>
      <c r="WPA22" s="124"/>
      <c r="WPB22" s="124"/>
      <c r="WPC22" s="124"/>
      <c r="WPD22" s="124"/>
      <c r="WPE22" s="124"/>
      <c r="WPF22" s="124"/>
      <c r="WPG22" s="124"/>
      <c r="WPH22" s="124"/>
      <c r="WPI22" s="124"/>
      <c r="WPJ22" s="124"/>
      <c r="WPK22" s="124"/>
      <c r="WPL22" s="124"/>
      <c r="WPM22" s="124"/>
      <c r="WPN22" s="124"/>
      <c r="WPO22" s="124"/>
      <c r="WPP22" s="124"/>
      <c r="WPQ22" s="124"/>
      <c r="WPR22" s="124"/>
      <c r="WPS22" s="124"/>
      <c r="WPT22" s="124"/>
      <c r="WPU22" s="124"/>
      <c r="WPV22" s="124"/>
      <c r="WPW22" s="124"/>
      <c r="WPX22" s="124"/>
      <c r="WPY22" s="124"/>
      <c r="WPZ22" s="124"/>
      <c r="WQA22" s="124"/>
      <c r="WQB22" s="124"/>
      <c r="WQC22" s="124"/>
      <c r="WQD22" s="124"/>
      <c r="WQE22" s="124"/>
      <c r="WQF22" s="124"/>
      <c r="WQG22" s="124"/>
      <c r="WQH22" s="124"/>
      <c r="WQI22" s="124"/>
      <c r="WQJ22" s="124"/>
      <c r="WQK22" s="124"/>
      <c r="WQL22" s="124"/>
      <c r="WQM22" s="124"/>
      <c r="WQN22" s="124"/>
      <c r="WQO22" s="124"/>
      <c r="WQP22" s="124"/>
      <c r="WQQ22" s="124"/>
      <c r="WQR22" s="124"/>
      <c r="WQS22" s="124"/>
      <c r="WQT22" s="124"/>
      <c r="WQU22" s="124"/>
      <c r="WQV22" s="124"/>
      <c r="WQW22" s="124"/>
      <c r="WQX22" s="124"/>
      <c r="WQY22" s="124"/>
      <c r="WQZ22" s="124"/>
      <c r="WRA22" s="124"/>
      <c r="WRB22" s="124"/>
      <c r="WRC22" s="124"/>
      <c r="WRD22" s="124"/>
      <c r="WRE22" s="124"/>
      <c r="WRF22" s="124"/>
      <c r="WRG22" s="124"/>
      <c r="WRH22" s="124"/>
      <c r="WRI22" s="124"/>
      <c r="WRJ22" s="124"/>
      <c r="WRK22" s="124"/>
      <c r="WRL22" s="124"/>
      <c r="WRM22" s="124"/>
      <c r="WRN22" s="124"/>
      <c r="WRO22" s="124"/>
      <c r="WRP22" s="124"/>
      <c r="WRQ22" s="124"/>
      <c r="WRR22" s="124"/>
      <c r="WRS22" s="124"/>
      <c r="WRT22" s="124"/>
      <c r="WRU22" s="124"/>
      <c r="WRV22" s="124"/>
      <c r="WRW22" s="124"/>
      <c r="WRX22" s="124"/>
      <c r="WRY22" s="124"/>
      <c r="WRZ22" s="124"/>
      <c r="WSA22" s="124"/>
      <c r="WSB22" s="124"/>
      <c r="WSC22" s="124"/>
      <c r="WSD22" s="124"/>
      <c r="WSE22" s="124"/>
      <c r="WSF22" s="124"/>
      <c r="WSG22" s="124"/>
      <c r="WSH22" s="124"/>
      <c r="WSI22" s="124"/>
      <c r="WSJ22" s="124"/>
      <c r="WSK22" s="124"/>
      <c r="WSL22" s="124"/>
      <c r="WSM22" s="124"/>
      <c r="WSN22" s="124"/>
      <c r="WSO22" s="124"/>
      <c r="WSP22" s="124"/>
      <c r="WSQ22" s="124"/>
      <c r="WSR22" s="124"/>
      <c r="WSS22" s="124"/>
      <c r="WST22" s="124"/>
      <c r="WSU22" s="124"/>
      <c r="WSV22" s="124"/>
      <c r="WSW22" s="124"/>
      <c r="WSX22" s="124"/>
      <c r="WSY22" s="124"/>
      <c r="WSZ22" s="124"/>
      <c r="WTA22" s="124"/>
      <c r="WTB22" s="124"/>
      <c r="WTC22" s="124"/>
      <c r="WTD22" s="124"/>
      <c r="WTE22" s="124"/>
      <c r="WTF22" s="124"/>
      <c r="WTG22" s="124"/>
      <c r="WTH22" s="124"/>
      <c r="WTI22" s="124"/>
      <c r="WTJ22" s="124"/>
      <c r="WTK22" s="124"/>
      <c r="WTL22" s="124"/>
      <c r="WTM22" s="124"/>
      <c r="WTN22" s="124"/>
      <c r="WTO22" s="124"/>
      <c r="WTP22" s="124"/>
      <c r="WTQ22" s="124"/>
      <c r="WTR22" s="124"/>
      <c r="WTS22" s="124"/>
      <c r="WTT22" s="124"/>
      <c r="WTU22" s="124"/>
      <c r="WTV22" s="124"/>
      <c r="WTW22" s="124"/>
      <c r="WTX22" s="124"/>
      <c r="WTY22" s="124"/>
      <c r="WTZ22" s="124"/>
      <c r="WUA22" s="124"/>
      <c r="WUB22" s="124"/>
      <c r="WUC22" s="124"/>
      <c r="WUD22" s="124"/>
      <c r="WUE22" s="124"/>
      <c r="WUF22" s="124"/>
      <c r="WUG22" s="124"/>
      <c r="WUH22" s="124"/>
      <c r="WUI22" s="124"/>
      <c r="WUJ22" s="124"/>
      <c r="WUK22" s="124"/>
      <c r="WUL22" s="124"/>
      <c r="WUM22" s="124"/>
      <c r="WUN22" s="124"/>
      <c r="WUO22" s="124"/>
      <c r="WUP22" s="124"/>
      <c r="WUQ22" s="124"/>
      <c r="WUR22" s="124"/>
      <c r="WUS22" s="124"/>
      <c r="WUT22" s="124"/>
      <c r="WUU22" s="124"/>
      <c r="WUV22" s="124"/>
      <c r="WUW22" s="124"/>
      <c r="WUX22" s="124"/>
      <c r="WUY22" s="124"/>
      <c r="WUZ22" s="124"/>
      <c r="WVA22" s="124"/>
      <c r="WVB22" s="124"/>
      <c r="WVC22" s="124"/>
      <c r="WVD22" s="124"/>
      <c r="WVE22" s="124"/>
      <c r="WVF22" s="124"/>
      <c r="WVG22" s="124"/>
      <c r="WVH22" s="124"/>
      <c r="WVI22" s="124"/>
      <c r="WVJ22" s="124"/>
      <c r="WVK22" s="124"/>
      <c r="WVL22" s="124"/>
      <c r="WVM22" s="124"/>
      <c r="WVN22" s="124"/>
      <c r="WVO22" s="124"/>
      <c r="WVP22" s="124"/>
      <c r="WVQ22" s="124"/>
      <c r="WVR22" s="124"/>
      <c r="WVS22" s="124"/>
      <c r="WVT22" s="124"/>
      <c r="WVU22" s="124"/>
      <c r="WVV22" s="124"/>
      <c r="WVW22" s="124"/>
      <c r="WVX22" s="124"/>
      <c r="WVY22" s="124"/>
      <c r="WVZ22" s="124"/>
      <c r="WWA22" s="124"/>
      <c r="WWB22" s="124"/>
      <c r="WWC22" s="124"/>
      <c r="WWD22" s="124"/>
      <c r="WWE22" s="124"/>
      <c r="WWF22" s="124"/>
      <c r="WWG22" s="124"/>
      <c r="WWH22" s="124"/>
      <c r="WWI22" s="124"/>
      <c r="WWJ22" s="124"/>
      <c r="WWK22" s="124"/>
      <c r="WWL22" s="124"/>
      <c r="WWM22" s="124"/>
      <c r="WWN22" s="124"/>
      <c r="WWO22" s="124"/>
      <c r="WWP22" s="124"/>
      <c r="WWQ22" s="124"/>
      <c r="WWR22" s="124"/>
      <c r="WWS22" s="124"/>
      <c r="WWT22" s="124"/>
      <c r="WWU22" s="124"/>
      <c r="WWV22" s="124"/>
      <c r="WWW22" s="124"/>
      <c r="WWX22" s="124"/>
      <c r="WWY22" s="124"/>
      <c r="WWZ22" s="124"/>
      <c r="WXA22" s="124"/>
      <c r="WXB22" s="124"/>
      <c r="WXC22" s="124"/>
      <c r="WXD22" s="124"/>
      <c r="WXE22" s="124"/>
      <c r="WXF22" s="124"/>
      <c r="WXG22" s="124"/>
      <c r="WXH22" s="124"/>
      <c r="WXI22" s="124"/>
      <c r="WXJ22" s="124"/>
      <c r="WXK22" s="124"/>
      <c r="WXL22" s="124"/>
      <c r="WXM22" s="124"/>
      <c r="WXN22" s="124"/>
      <c r="WXO22" s="124"/>
      <c r="WXP22" s="124"/>
      <c r="WXQ22" s="124"/>
      <c r="WXR22" s="124"/>
      <c r="WXS22" s="124"/>
      <c r="WXT22" s="124"/>
      <c r="WXU22" s="124"/>
      <c r="WXV22" s="124"/>
      <c r="WXW22" s="124"/>
      <c r="WXX22" s="124"/>
      <c r="WXY22" s="124"/>
      <c r="WXZ22" s="124"/>
      <c r="WYA22" s="124"/>
      <c r="WYB22" s="124"/>
      <c r="WYC22" s="124"/>
      <c r="WYD22" s="124"/>
      <c r="WYE22" s="124"/>
      <c r="WYF22" s="124"/>
      <c r="WYG22" s="124"/>
      <c r="WYH22" s="124"/>
      <c r="WYI22" s="124"/>
      <c r="WYJ22" s="124"/>
      <c r="WYK22" s="124"/>
      <c r="WYL22" s="124"/>
      <c r="WYM22" s="124"/>
      <c r="WYN22" s="124"/>
      <c r="WYO22" s="124"/>
      <c r="WYP22" s="124"/>
      <c r="WYQ22" s="124"/>
      <c r="WYR22" s="124"/>
      <c r="WYS22" s="124"/>
      <c r="WYT22" s="124"/>
      <c r="WYU22" s="124"/>
      <c r="WYV22" s="124"/>
      <c r="WYW22" s="124"/>
      <c r="WYX22" s="124"/>
      <c r="WYY22" s="124"/>
      <c r="WYZ22" s="124"/>
      <c r="WZA22" s="124"/>
      <c r="WZB22" s="124"/>
      <c r="WZC22" s="124"/>
      <c r="WZD22" s="124"/>
      <c r="WZE22" s="124"/>
      <c r="WZF22" s="124"/>
      <c r="WZG22" s="124"/>
      <c r="WZH22" s="124"/>
      <c r="WZI22" s="124"/>
      <c r="WZJ22" s="124"/>
      <c r="WZK22" s="124"/>
      <c r="WZL22" s="124"/>
      <c r="WZM22" s="124"/>
      <c r="WZN22" s="124"/>
      <c r="WZO22" s="124"/>
      <c r="WZP22" s="124"/>
      <c r="WZQ22" s="124"/>
      <c r="WZR22" s="124"/>
      <c r="WZS22" s="124"/>
      <c r="WZT22" s="124"/>
      <c r="WZU22" s="124"/>
      <c r="WZV22" s="124"/>
      <c r="WZW22" s="124"/>
      <c r="WZX22" s="124"/>
      <c r="WZY22" s="124"/>
      <c r="WZZ22" s="124"/>
      <c r="XAA22" s="124"/>
      <c r="XAB22" s="124"/>
      <c r="XAC22" s="124"/>
      <c r="XAD22" s="124"/>
      <c r="XAE22" s="124"/>
      <c r="XAF22" s="124"/>
      <c r="XAG22" s="124"/>
      <c r="XAH22" s="124"/>
      <c r="XAI22" s="124"/>
      <c r="XAJ22" s="124"/>
      <c r="XAK22" s="124"/>
      <c r="XAL22" s="124"/>
      <c r="XAM22" s="124"/>
      <c r="XAN22" s="124"/>
      <c r="XAO22" s="124"/>
      <c r="XAP22" s="124"/>
      <c r="XAQ22" s="124"/>
      <c r="XAR22" s="124"/>
      <c r="XAS22" s="124"/>
      <c r="XAT22" s="124"/>
      <c r="XAU22" s="124"/>
      <c r="XAV22" s="124"/>
      <c r="XAW22" s="124"/>
      <c r="XAX22" s="124"/>
      <c r="XAY22" s="124"/>
      <c r="XAZ22" s="124"/>
      <c r="XBA22" s="124"/>
      <c r="XBB22" s="124"/>
      <c r="XBC22" s="124"/>
      <c r="XBD22" s="124"/>
      <c r="XBE22" s="124"/>
      <c r="XBF22" s="124"/>
      <c r="XBG22" s="124"/>
      <c r="XBH22" s="124"/>
      <c r="XBI22" s="124"/>
      <c r="XBJ22" s="124"/>
      <c r="XBK22" s="124"/>
      <c r="XBL22" s="124"/>
      <c r="XBM22" s="124"/>
      <c r="XBN22" s="124"/>
      <c r="XBO22" s="124"/>
      <c r="XBP22" s="124"/>
      <c r="XBQ22" s="124"/>
      <c r="XBR22" s="124"/>
      <c r="XBS22" s="124"/>
      <c r="XBT22" s="124"/>
      <c r="XBU22" s="124"/>
      <c r="XBV22" s="124"/>
      <c r="XBW22" s="124"/>
      <c r="XBX22" s="124"/>
      <c r="XBY22" s="124"/>
      <c r="XBZ22" s="124"/>
      <c r="XCA22" s="124"/>
      <c r="XCB22" s="124"/>
      <c r="XCC22" s="124"/>
      <c r="XCD22" s="124"/>
      <c r="XCE22" s="124"/>
      <c r="XCF22" s="124"/>
      <c r="XCG22" s="124"/>
      <c r="XCH22" s="124"/>
      <c r="XCI22" s="124"/>
      <c r="XCJ22" s="124"/>
      <c r="XCK22" s="124"/>
      <c r="XCL22" s="124"/>
      <c r="XCM22" s="124"/>
      <c r="XCN22" s="124"/>
      <c r="XCO22" s="124"/>
      <c r="XCP22" s="124"/>
      <c r="XCQ22" s="124"/>
      <c r="XCR22" s="124"/>
      <c r="XCS22" s="124"/>
      <c r="XCT22" s="124"/>
      <c r="XCU22" s="124"/>
      <c r="XCV22" s="124"/>
      <c r="XCW22" s="124"/>
      <c r="XCX22" s="124"/>
      <c r="XCY22" s="124"/>
      <c r="XCZ22" s="124"/>
      <c r="XDA22" s="124"/>
      <c r="XDB22" s="124"/>
      <c r="XDC22" s="124"/>
      <c r="XDD22" s="124"/>
      <c r="XDE22" s="124"/>
      <c r="XDF22" s="124"/>
      <c r="XDG22" s="124"/>
      <c r="XDH22" s="124"/>
      <c r="XDI22" s="124"/>
      <c r="XDJ22" s="124"/>
      <c r="XDK22" s="124"/>
      <c r="XDL22" s="124"/>
      <c r="XDM22" s="124"/>
      <c r="XDN22" s="124"/>
      <c r="XDO22" s="124"/>
      <c r="XDP22" s="124"/>
      <c r="XDQ22" s="124"/>
      <c r="XDR22" s="124"/>
      <c r="XDS22" s="124"/>
      <c r="XDT22" s="124"/>
      <c r="XDU22" s="124"/>
      <c r="XDV22" s="124"/>
      <c r="XDW22" s="124"/>
      <c r="XDX22" s="124"/>
      <c r="XDY22" s="124"/>
      <c r="XDZ22" s="124"/>
      <c r="XEA22" s="124"/>
      <c r="XEB22" s="124"/>
      <c r="XEC22" s="124"/>
      <c r="XED22" s="124"/>
      <c r="XEE22" s="124"/>
      <c r="XEF22" s="124"/>
      <c r="XEG22" s="124"/>
      <c r="XEH22" s="124"/>
      <c r="XEI22" s="124"/>
      <c r="XEJ22" s="124"/>
      <c r="XEK22" s="124"/>
      <c r="XEL22" s="124"/>
      <c r="XEM22" s="124"/>
      <c r="XEN22" s="124"/>
      <c r="XEO22" s="124"/>
      <c r="XEP22" s="124"/>
      <c r="XEQ22" s="124"/>
      <c r="XER22" s="124"/>
      <c r="XES22" s="124"/>
      <c r="XET22" s="124"/>
      <c r="XEU22" s="124"/>
      <c r="XEV22" s="124"/>
      <c r="XEW22" s="124"/>
      <c r="XEX22" s="124"/>
      <c r="XEY22" s="124"/>
      <c r="XEZ22" s="124"/>
      <c r="XFA22" s="124"/>
      <c r="XFB22" s="124"/>
      <c r="XFC22" s="124"/>
      <c r="XFD22" s="124"/>
    </row>
    <row r="23" spans="1:16384">
      <c r="B23" s="261"/>
      <c r="C23" s="268"/>
      <c r="D23" s="269"/>
      <c r="E23" s="269"/>
      <c r="F23" s="269"/>
      <c r="G23" s="269"/>
      <c r="H23" s="269"/>
      <c r="I23" s="269"/>
      <c r="J23" s="269"/>
      <c r="K23" s="269"/>
      <c r="L23" s="269"/>
      <c r="M23" s="269"/>
      <c r="N23" s="270"/>
      <c r="R23" s="133" t="s">
        <v>55</v>
      </c>
      <c r="S23" s="140">
        <f>MATCH(R23,Validation!$15:$15,0)</f>
        <v>22</v>
      </c>
      <c r="T23" s="141" t="str">
        <f>VLOOKUP(ColoID,_05preva_view43[],'Handover Notice'!S23,FALSE)</f>
        <v>OK</v>
      </c>
    </row>
    <row r="24" spans="1:16384" ht="6.5" customHeight="1">
      <c r="R24" s="133" t="s">
        <v>22</v>
      </c>
      <c r="S24" s="140">
        <f>MATCH(R24,Validation!$15:$15,0)</f>
        <v>23</v>
      </c>
      <c r="T24" s="141">
        <f>VLOOKUP(ColoID,_05preva_view43[],'Handover Notice'!S24,FALSE)</f>
        <v>0</v>
      </c>
    </row>
    <row r="25" spans="1:16384" ht="18.5">
      <c r="B25" s="195" t="s">
        <v>1772</v>
      </c>
      <c r="C25" s="158"/>
      <c r="D25" s="158"/>
      <c r="E25" s="126"/>
      <c r="F25" s="126"/>
      <c r="G25" s="159"/>
      <c r="H25" s="159"/>
      <c r="I25" s="127"/>
      <c r="J25" s="126"/>
      <c r="K25" s="159"/>
      <c r="L25" s="159"/>
      <c r="M25" s="128"/>
      <c r="N25" s="129"/>
      <c r="R25" s="133" t="s">
        <v>56</v>
      </c>
      <c r="S25" s="140">
        <f>MATCH(R25,Validation!$15:$15,0)</f>
        <v>24</v>
      </c>
      <c r="T25" s="141" t="str">
        <f>VLOOKUP(ColoID,_05preva_view43[],'Handover Notice'!S25,FALSE)</f>
        <v>Not Required</v>
      </c>
    </row>
    <row r="26" spans="1:16384" ht="21" customHeight="1">
      <c r="B26" s="259" t="str">
        <f>T27</f>
        <v>Not Required</v>
      </c>
      <c r="C26" s="166" t="s">
        <v>1722</v>
      </c>
      <c r="D26" s="162"/>
      <c r="E26" s="163"/>
      <c r="F26" s="164" t="str">
        <f>IF(T28&gt;0,T28,"")</f>
        <v/>
      </c>
      <c r="G26" s="165"/>
      <c r="H26" s="271" t="str">
        <f>IF(T31&gt;0,T31,"")</f>
        <v/>
      </c>
      <c r="I26" s="272"/>
      <c r="J26" s="272"/>
      <c r="K26" s="272"/>
      <c r="L26" s="272"/>
      <c r="M26" s="272"/>
      <c r="N26" s="273"/>
      <c r="R26" s="133" t="s">
        <v>57</v>
      </c>
      <c r="S26" s="140">
        <f>MATCH(R26,Validation!$15:$15,0)</f>
        <v>25</v>
      </c>
      <c r="T26" s="141">
        <f>VLOOKUP(ColoID,_05preva_view43[],'Handover Notice'!S26,FALSE)</f>
        <v>0</v>
      </c>
    </row>
    <row r="27" spans="1:16384">
      <c r="B27" s="260"/>
      <c r="C27" s="166" t="s">
        <v>1723</v>
      </c>
      <c r="D27" s="162"/>
      <c r="E27" s="163"/>
      <c r="F27" s="164" t="str">
        <f>IF(T29&gt;0,T29,"")</f>
        <v/>
      </c>
      <c r="G27" s="165"/>
      <c r="H27" s="274"/>
      <c r="I27" s="275"/>
      <c r="J27" s="275"/>
      <c r="K27" s="275"/>
      <c r="L27" s="275"/>
      <c r="M27" s="275"/>
      <c r="N27" s="276"/>
      <c r="R27" s="133" t="s">
        <v>58</v>
      </c>
      <c r="S27" s="140">
        <f>MATCH(R27,Validation!$15:$15,0)</f>
        <v>26</v>
      </c>
      <c r="T27" s="141" t="str">
        <f>VLOOKUP(ColoID,_05preva_view43[],'Handover Notice'!S27,FALSE)</f>
        <v>Not Required</v>
      </c>
    </row>
    <row r="28" spans="1:16384" ht="14.5" customHeight="1">
      <c r="B28" s="261"/>
      <c r="C28" s="166" t="s">
        <v>28</v>
      </c>
      <c r="D28" s="162"/>
      <c r="E28" s="163"/>
      <c r="F28" s="164" t="str">
        <f>IF(T30&gt;0,T30,"")</f>
        <v/>
      </c>
      <c r="G28" s="165"/>
      <c r="H28" s="277"/>
      <c r="I28" s="278"/>
      <c r="J28" s="278"/>
      <c r="K28" s="278"/>
      <c r="L28" s="278"/>
      <c r="M28" s="278"/>
      <c r="N28" s="279"/>
      <c r="R28" s="133" t="s">
        <v>1722</v>
      </c>
      <c r="S28" s="140">
        <f>MATCH(R28,Validation!$15:$15,0)</f>
        <v>27</v>
      </c>
      <c r="T28" s="141">
        <f>VLOOKUP(ColoID,_05preva_view43[],'Handover Notice'!S28,FALSE)</f>
        <v>0</v>
      </c>
    </row>
    <row r="29" spans="1:16384" ht="6" customHeight="1">
      <c r="F29" s="48"/>
      <c r="R29" s="133" t="s">
        <v>1723</v>
      </c>
      <c r="S29" s="140">
        <f>MATCH(R29,Validation!$15:$15,0)</f>
        <v>28</v>
      </c>
      <c r="T29" s="141">
        <f>VLOOKUP(ColoID,_05preva_view43[],'Handover Notice'!S29,FALSE)</f>
        <v>0</v>
      </c>
    </row>
    <row r="30" spans="1:16384" ht="18.5">
      <c r="B30" s="194" t="s">
        <v>1773</v>
      </c>
      <c r="C30" s="167"/>
      <c r="D30" s="167"/>
      <c r="E30" s="168"/>
      <c r="F30" s="169"/>
      <c r="G30" s="170"/>
      <c r="H30" s="170"/>
      <c r="I30" s="171"/>
      <c r="J30" s="168"/>
      <c r="K30" s="170"/>
      <c r="L30" s="170"/>
      <c r="M30" s="172"/>
      <c r="N30" s="173"/>
      <c r="R30" s="133" t="s">
        <v>28</v>
      </c>
      <c r="S30" s="140">
        <f>MATCH(R30,Validation!$15:$15,0)</f>
        <v>29</v>
      </c>
      <c r="T30" s="141">
        <f>VLOOKUP(ColoID,_05preva_view43[],'Handover Notice'!S30,FALSE)</f>
        <v>0</v>
      </c>
    </row>
    <row r="31" spans="1:16384">
      <c r="B31" s="259" t="str">
        <f>T32</f>
        <v>Not Required</v>
      </c>
      <c r="C31" s="166" t="s">
        <v>105</v>
      </c>
      <c r="D31" s="162"/>
      <c r="E31" s="163"/>
      <c r="F31" s="164" t="str">
        <f>IF(T33&gt;0,T33,"")</f>
        <v/>
      </c>
      <c r="G31" s="165"/>
      <c r="H31" s="283" t="str">
        <f>IF(T36&gt;0,T36,"")</f>
        <v/>
      </c>
      <c r="I31" s="272"/>
      <c r="J31" s="272"/>
      <c r="K31" s="272"/>
      <c r="L31" s="272"/>
      <c r="M31" s="272"/>
      <c r="N31" s="273"/>
      <c r="R31" s="133" t="s">
        <v>59</v>
      </c>
      <c r="S31" s="140">
        <f>MATCH(R31,Validation!$15:$15,0)</f>
        <v>30</v>
      </c>
      <c r="T31" s="141">
        <f>VLOOKUP(ColoID,_05preva_view43[],'Handover Notice'!S31,FALSE)</f>
        <v>0</v>
      </c>
    </row>
    <row r="32" spans="1:16384" ht="17.5" customHeight="1">
      <c r="B32" s="260"/>
      <c r="C32" s="166" t="s">
        <v>103</v>
      </c>
      <c r="D32" s="162"/>
      <c r="E32" s="163"/>
      <c r="F32" s="164" t="str">
        <f t="shared" ref="F32:F33" si="0">IF(T34&gt;0,T34,"")</f>
        <v/>
      </c>
      <c r="G32" s="165"/>
      <c r="H32" s="274"/>
      <c r="I32" s="275"/>
      <c r="J32" s="275"/>
      <c r="K32" s="275"/>
      <c r="L32" s="275"/>
      <c r="M32" s="275"/>
      <c r="N32" s="276"/>
      <c r="R32" s="133" t="s">
        <v>19</v>
      </c>
      <c r="S32" s="140">
        <f>MATCH(R32,Validation!$15:$15,0)</f>
        <v>31</v>
      </c>
      <c r="T32" s="141" t="str">
        <f>VLOOKUP(ColoID,_05preva_view43[],'Handover Notice'!S32,FALSE)</f>
        <v>Not Required</v>
      </c>
    </row>
    <row r="33" spans="2:20" ht="17.5" customHeight="1">
      <c r="B33" s="261"/>
      <c r="C33" s="166" t="s">
        <v>104</v>
      </c>
      <c r="D33" s="162"/>
      <c r="E33" s="163"/>
      <c r="F33" s="174" t="str">
        <f t="shared" si="0"/>
        <v/>
      </c>
      <c r="G33" s="165"/>
      <c r="H33" s="277"/>
      <c r="I33" s="278"/>
      <c r="J33" s="278"/>
      <c r="K33" s="278"/>
      <c r="L33" s="278"/>
      <c r="M33" s="278"/>
      <c r="N33" s="279"/>
      <c r="R33" s="133" t="s">
        <v>105</v>
      </c>
      <c r="S33" s="140">
        <f>MATCH(R33,Validation!$15:$15,0)</f>
        <v>32</v>
      </c>
      <c r="T33" s="141">
        <f>VLOOKUP(ColoID,_05preva_view43[],'Handover Notice'!S33,FALSE)</f>
        <v>0</v>
      </c>
    </row>
    <row r="34" spans="2:20" ht="5.5" customHeight="1">
      <c r="R34" s="133" t="s">
        <v>103</v>
      </c>
      <c r="S34" s="140">
        <f>MATCH(R34,Validation!$15:$15,0)</f>
        <v>33</v>
      </c>
      <c r="T34" s="141">
        <f>VLOOKUP(ColoID,_05preva_view43[],'Handover Notice'!S34,FALSE)</f>
        <v>0</v>
      </c>
    </row>
    <row r="35" spans="2:20" ht="18.5">
      <c r="B35" s="193" t="s">
        <v>1774</v>
      </c>
      <c r="C35" s="175"/>
      <c r="D35" s="175"/>
      <c r="E35" s="176"/>
      <c r="F35" s="176"/>
      <c r="G35" s="177"/>
      <c r="H35" s="177"/>
      <c r="I35" s="178"/>
      <c r="J35" s="176"/>
      <c r="K35" s="177"/>
      <c r="L35" s="177"/>
      <c r="M35" s="179"/>
      <c r="N35" s="180"/>
      <c r="R35" s="133" t="s">
        <v>104</v>
      </c>
      <c r="S35" s="140">
        <f>MATCH(R35,Validation!$15:$15,0)</f>
        <v>34</v>
      </c>
      <c r="T35" s="141">
        <f>VLOOKUP(ColoID,_05preva_view43[],'Handover Notice'!S35,FALSE)</f>
        <v>0</v>
      </c>
    </row>
    <row r="36" spans="2:20">
      <c r="B36" s="259" t="str">
        <f>T37</f>
        <v>OK</v>
      </c>
      <c r="C36" s="284" t="s">
        <v>29</v>
      </c>
      <c r="D36" s="285"/>
      <c r="E36" s="285"/>
      <c r="F36" s="248" t="str">
        <f t="shared" ref="F36" si="1">IF(T38&gt;0,T38,"")</f>
        <v>No</v>
      </c>
      <c r="G36" s="249"/>
      <c r="H36" s="283" t="str">
        <f>IF(T39&gt;0,T39,"")</f>
        <v xml:space="preserve">No action needed </v>
      </c>
      <c r="I36" s="272"/>
      <c r="J36" s="272"/>
      <c r="K36" s="272"/>
      <c r="L36" s="272"/>
      <c r="M36" s="272"/>
      <c r="N36" s="273"/>
      <c r="R36" s="133" t="s">
        <v>14</v>
      </c>
      <c r="S36" s="140">
        <f>MATCH(R36,Validation!$15:$15,0)</f>
        <v>35</v>
      </c>
      <c r="T36" s="141">
        <f>VLOOKUP(ColoID,_05preva_view43[],'Handover Notice'!S36,FALSE)</f>
        <v>0</v>
      </c>
    </row>
    <row r="37" spans="2:20">
      <c r="B37" s="260"/>
      <c r="C37" s="286"/>
      <c r="D37" s="287"/>
      <c r="E37" s="287"/>
      <c r="F37" s="250"/>
      <c r="G37" s="251"/>
      <c r="H37" s="274"/>
      <c r="I37" s="275"/>
      <c r="J37" s="275"/>
      <c r="K37" s="275"/>
      <c r="L37" s="275"/>
      <c r="M37" s="275"/>
      <c r="N37" s="276"/>
      <c r="R37" s="133" t="s">
        <v>60</v>
      </c>
      <c r="S37" s="140">
        <f>MATCH(R37,Validation!$15:$15,0)</f>
        <v>36</v>
      </c>
      <c r="T37" s="141" t="str">
        <f>VLOOKUP(ColoID,_05preva_view43[],'Handover Notice'!S37,FALSE)</f>
        <v>OK</v>
      </c>
    </row>
    <row r="38" spans="2:20" ht="14.5" customHeight="1">
      <c r="B38" s="261"/>
      <c r="C38" s="288"/>
      <c r="D38" s="289"/>
      <c r="E38" s="289"/>
      <c r="F38" s="252"/>
      <c r="G38" s="253"/>
      <c r="H38" s="277"/>
      <c r="I38" s="278"/>
      <c r="J38" s="278"/>
      <c r="K38" s="278"/>
      <c r="L38" s="278"/>
      <c r="M38" s="278"/>
      <c r="N38" s="279"/>
      <c r="R38" s="133" t="s">
        <v>29</v>
      </c>
      <c r="S38" s="140">
        <f>MATCH(R38,Validation!$15:$15,0)</f>
        <v>37</v>
      </c>
      <c r="T38" s="141" t="str">
        <f>VLOOKUP(ColoID,_05preva_view43[],'Handover Notice'!S38,FALSE)</f>
        <v>No</v>
      </c>
    </row>
    <row r="39" spans="2:20" ht="6" customHeight="1">
      <c r="B39" s="189"/>
      <c r="C39" s="215"/>
      <c r="D39" s="215"/>
      <c r="E39" s="215"/>
      <c r="F39" s="216"/>
      <c r="G39" s="216"/>
      <c r="H39" s="217"/>
      <c r="I39" s="217"/>
      <c r="J39" s="217"/>
      <c r="K39" s="217"/>
      <c r="L39" s="217"/>
      <c r="M39" s="217"/>
      <c r="N39" s="217"/>
      <c r="R39" s="133" t="s">
        <v>61</v>
      </c>
      <c r="S39" s="140">
        <f>MATCH(R39,Validation!$15:$15,0)</f>
        <v>38</v>
      </c>
      <c r="T39" s="141" t="str">
        <f>VLOOKUP(ColoID,_05preva_view43[],'Handover Notice'!S39,FALSE)</f>
        <v xml:space="preserve">No action needed </v>
      </c>
    </row>
    <row r="40" spans="2:20" ht="18.5">
      <c r="B40" s="197" t="s">
        <v>1770</v>
      </c>
      <c r="C40" s="154"/>
      <c r="D40" s="154"/>
      <c r="E40" s="148"/>
      <c r="F40" s="148"/>
      <c r="G40" s="155"/>
      <c r="H40" s="155"/>
      <c r="I40" s="149"/>
      <c r="J40" s="148"/>
      <c r="K40" s="155"/>
      <c r="L40" s="155"/>
      <c r="M40" s="150"/>
      <c r="N40" s="151"/>
      <c r="T40" s="141" t="e">
        <f>VLOOKUP(ColoID,_05preva_view43[],'Handover Notice'!S40,FALSE)</f>
        <v>#VALUE!</v>
      </c>
    </row>
    <row r="41" spans="2:20" ht="14.5" customHeight="1">
      <c r="B41" s="259" t="str">
        <f>T23</f>
        <v>OK</v>
      </c>
      <c r="C41" s="290" t="str">
        <f>IF(T24&gt;0,T24,"")</f>
        <v/>
      </c>
      <c r="D41" s="248"/>
      <c r="E41" s="248"/>
      <c r="F41" s="248"/>
      <c r="G41" s="248"/>
      <c r="H41" s="248"/>
      <c r="I41" s="248"/>
      <c r="J41" s="248"/>
      <c r="K41" s="248"/>
      <c r="L41" s="248"/>
      <c r="M41" s="248"/>
      <c r="N41" s="249"/>
      <c r="R41" s="133" t="s">
        <v>107</v>
      </c>
      <c r="S41" s="140">
        <f>MATCH(R41,Validation!$15:$15,0)</f>
        <v>42</v>
      </c>
      <c r="T41" s="141">
        <f>VLOOKUP(ColoID,_05preva_view43[],'Handover Notice'!S41,FALSE)</f>
        <v>0</v>
      </c>
    </row>
    <row r="42" spans="2:20" ht="14.5" customHeight="1">
      <c r="B42" s="260"/>
      <c r="C42" s="291"/>
      <c r="D42" s="250"/>
      <c r="E42" s="250"/>
      <c r="F42" s="250"/>
      <c r="G42" s="250"/>
      <c r="H42" s="250"/>
      <c r="I42" s="250"/>
      <c r="J42" s="250"/>
      <c r="K42" s="250"/>
      <c r="L42" s="250"/>
      <c r="M42" s="250"/>
      <c r="N42" s="251"/>
      <c r="R42" s="133" t="s">
        <v>33</v>
      </c>
      <c r="S42" s="140">
        <f>MATCH(R42,Validation!$15:$15,0)</f>
        <v>43</v>
      </c>
      <c r="T42" s="141">
        <f>VLOOKUP(ColoID,_05preva_view43[],'Handover Notice'!S42,FALSE)</f>
        <v>0</v>
      </c>
    </row>
    <row r="43" spans="2:20" ht="14.5" customHeight="1">
      <c r="B43" s="261"/>
      <c r="C43" s="29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3"/>
      <c r="R43" s="133" t="s">
        <v>109</v>
      </c>
      <c r="S43" s="140">
        <f>MATCH(R43,Validation!$15:$15,0)</f>
        <v>44</v>
      </c>
      <c r="T43" s="141">
        <f>VLOOKUP(ColoID,_05preva_view43[],'Handover Notice'!S43,FALSE)</f>
        <v>0</v>
      </c>
    </row>
    <row r="44" spans="2:20" ht="6" customHeight="1">
      <c r="B44" s="189"/>
      <c r="C44" s="215"/>
      <c r="D44" s="215"/>
      <c r="E44" s="215"/>
      <c r="F44" s="216"/>
      <c r="G44" s="216"/>
      <c r="H44" s="217"/>
      <c r="I44" s="217"/>
      <c r="J44" s="217"/>
      <c r="K44" s="217"/>
      <c r="L44" s="217"/>
      <c r="M44" s="217"/>
      <c r="N44" s="217"/>
      <c r="R44" s="133" t="s">
        <v>84</v>
      </c>
      <c r="S44" s="140">
        <f>MATCH(R44,Validation!$15:$15,0)</f>
        <v>45</v>
      </c>
      <c r="T44" s="141">
        <f>VLOOKUP(ColoID,_05preva_view43[],'Handover Notice'!S44,FALSE)</f>
        <v>0</v>
      </c>
    </row>
    <row r="45" spans="2:20" ht="18.5">
      <c r="B45" s="218" t="s">
        <v>1779</v>
      </c>
      <c r="C45" s="219"/>
      <c r="D45" s="219"/>
      <c r="E45" s="220"/>
      <c r="F45" s="220"/>
      <c r="G45" s="221"/>
      <c r="H45" s="221"/>
      <c r="I45" s="222"/>
      <c r="J45" s="220"/>
      <c r="K45" s="221"/>
      <c r="L45" s="221"/>
      <c r="M45" s="223"/>
      <c r="N45" s="224"/>
      <c r="R45" s="133" t="s">
        <v>51</v>
      </c>
      <c r="S45" s="140">
        <f>MATCH(R45,Validation!$15:$15,0)</f>
        <v>18</v>
      </c>
      <c r="T45" s="141" t="str">
        <f>VLOOKUP(ColoID,_05preva_view43[],'Handover Notice'!S45,FALSE)</f>
        <v>Prevalidated</v>
      </c>
    </row>
    <row r="46" spans="2:20">
      <c r="B46" s="259" t="str">
        <f>T21</f>
        <v>Not Required</v>
      </c>
      <c r="C46" s="290" t="str">
        <f>IF(T22&gt;0,T22,"")</f>
        <v/>
      </c>
      <c r="D46" s="248"/>
      <c r="E46" s="248"/>
      <c r="F46" s="248"/>
      <c r="G46" s="248"/>
      <c r="H46" s="248"/>
      <c r="I46" s="248"/>
      <c r="J46" s="248"/>
      <c r="K46" s="248"/>
      <c r="L46" s="248"/>
      <c r="M46" s="248"/>
      <c r="N46" s="249"/>
    </row>
    <row r="47" spans="2:20">
      <c r="B47" s="260"/>
      <c r="C47" s="291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1"/>
    </row>
    <row r="48" spans="2:20" ht="14.5" customHeight="1">
      <c r="B48" s="261"/>
      <c r="C48" s="29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3"/>
    </row>
    <row r="49" spans="2:20" ht="14.5" customHeight="1">
      <c r="B49" s="189"/>
      <c r="C49" s="215"/>
      <c r="D49" s="215"/>
      <c r="E49" s="215"/>
      <c r="F49" s="216"/>
      <c r="G49" s="216"/>
      <c r="H49" s="217"/>
      <c r="I49" s="217"/>
      <c r="J49" s="217"/>
      <c r="K49" s="217"/>
      <c r="L49" s="217"/>
      <c r="M49" s="217"/>
      <c r="N49" s="217"/>
      <c r="R49" s="124"/>
      <c r="S49" s="124"/>
      <c r="T49" s="124"/>
    </row>
    <row r="50" spans="2:20" ht="14.5" customHeight="1">
      <c r="B50" s="189"/>
      <c r="C50" s="190"/>
      <c r="D50" s="190"/>
      <c r="E50" s="190"/>
      <c r="F50" s="161"/>
      <c r="G50" s="161"/>
      <c r="H50" s="181"/>
      <c r="I50" s="181"/>
      <c r="J50" s="181"/>
      <c r="K50" s="181"/>
      <c r="L50" s="181"/>
      <c r="M50" s="181"/>
      <c r="N50" s="181"/>
      <c r="R50" s="124"/>
      <c r="S50" s="124"/>
      <c r="T50" s="124"/>
    </row>
    <row r="51" spans="2:20" ht="18.5">
      <c r="B51" s="192" t="s">
        <v>1775</v>
      </c>
      <c r="C51" s="182"/>
      <c r="D51" s="182"/>
      <c r="E51" s="183"/>
      <c r="F51" s="183"/>
      <c r="G51" s="184"/>
      <c r="H51" s="184"/>
      <c r="I51" s="185"/>
      <c r="J51" s="183"/>
      <c r="K51" s="184"/>
      <c r="L51" s="184"/>
      <c r="M51" s="186"/>
      <c r="N51" s="187"/>
      <c r="R51" s="124"/>
      <c r="S51" s="124"/>
      <c r="T51" s="124"/>
    </row>
    <row r="52" spans="2:20">
      <c r="B52" s="259" t="str">
        <f>T45</f>
        <v>Prevalidated</v>
      </c>
      <c r="C52" s="284" t="s">
        <v>1776</v>
      </c>
      <c r="D52" s="285"/>
      <c r="E52" s="285"/>
      <c r="F52" s="248" t="str">
        <f>IF(T42&gt;0,T42,"")</f>
        <v/>
      </c>
      <c r="G52" s="249"/>
      <c r="H52" s="283" t="str">
        <f>IF(T43&gt;0,T43,"")</f>
        <v/>
      </c>
      <c r="I52" s="272"/>
      <c r="J52" s="272"/>
      <c r="K52" s="272"/>
      <c r="L52" s="272"/>
      <c r="M52" s="272"/>
      <c r="N52" s="273"/>
      <c r="R52" s="124"/>
      <c r="S52" s="124"/>
      <c r="T52" s="124"/>
    </row>
    <row r="53" spans="2:20">
      <c r="B53" s="260"/>
      <c r="C53" s="286"/>
      <c r="D53" s="287"/>
      <c r="E53" s="287"/>
      <c r="F53" s="250"/>
      <c r="G53" s="251"/>
      <c r="H53" s="274" t="str">
        <f>IF(T44&gt;0,T44,"")</f>
        <v/>
      </c>
      <c r="I53" s="275"/>
      <c r="J53" s="275"/>
      <c r="K53" s="275"/>
      <c r="L53" s="275"/>
      <c r="M53" s="275"/>
      <c r="N53" s="276"/>
      <c r="R53" s="124"/>
      <c r="S53" s="124"/>
      <c r="T53" s="124"/>
    </row>
    <row r="54" spans="2:20" ht="14.5" customHeight="1">
      <c r="B54" s="261"/>
      <c r="C54" s="288"/>
      <c r="D54" s="289"/>
      <c r="E54" s="289"/>
      <c r="F54" s="252"/>
      <c r="G54" s="253"/>
      <c r="H54" s="277"/>
      <c r="I54" s="278"/>
      <c r="J54" s="278"/>
      <c r="K54" s="278"/>
      <c r="L54" s="278"/>
      <c r="M54" s="278"/>
      <c r="N54" s="279"/>
      <c r="R54" s="124"/>
      <c r="S54" s="124"/>
      <c r="T54" s="124"/>
    </row>
    <row r="55" spans="2:20" ht="14.5" customHeight="1">
      <c r="B55" s="189"/>
      <c r="C55" s="190"/>
      <c r="D55" s="190"/>
      <c r="E55" s="190"/>
      <c r="F55" s="161"/>
      <c r="G55" s="161"/>
      <c r="H55" s="181"/>
      <c r="I55" s="181"/>
      <c r="J55" s="181"/>
      <c r="K55" s="181"/>
      <c r="L55" s="181"/>
      <c r="M55" s="181"/>
      <c r="N55" s="181"/>
      <c r="R55" s="124"/>
      <c r="S55" s="124"/>
      <c r="T55" s="124"/>
    </row>
    <row r="56" spans="2:20" ht="14.5" customHeight="1">
      <c r="B56" s="189"/>
      <c r="C56" s="190"/>
      <c r="D56" s="190"/>
      <c r="E56" s="190"/>
      <c r="F56" s="161"/>
      <c r="G56" s="161"/>
      <c r="H56" s="181"/>
      <c r="I56" s="181"/>
      <c r="J56" s="181"/>
      <c r="K56" s="181"/>
      <c r="L56" s="181"/>
      <c r="M56" s="181"/>
      <c r="N56" s="181"/>
      <c r="R56" s="124"/>
      <c r="S56" s="124"/>
      <c r="T56" s="124"/>
    </row>
    <row r="57" spans="2:20" ht="18.5">
      <c r="B57" s="295" t="s">
        <v>1777</v>
      </c>
      <c r="C57" s="295"/>
      <c r="D57" s="295"/>
      <c r="E57" s="295"/>
      <c r="F57" s="226"/>
      <c r="G57" s="214"/>
      <c r="H57" s="214"/>
      <c r="R57" s="124"/>
      <c r="S57" s="124"/>
      <c r="T57" s="124"/>
    </row>
    <row r="58" spans="2:20" ht="14.5" customHeight="1">
      <c r="B58" s="188"/>
      <c r="C58" s="188"/>
      <c r="D58" s="188"/>
      <c r="E58" s="188"/>
      <c r="F58" s="188"/>
      <c r="R58" s="124"/>
      <c r="S58" s="124"/>
      <c r="T58" s="124"/>
    </row>
    <row r="59" spans="2:20" ht="14.5" customHeight="1">
      <c r="B59" s="188"/>
      <c r="C59" s="188"/>
      <c r="D59" s="188"/>
      <c r="E59" s="188"/>
      <c r="F59" s="188"/>
      <c r="R59" s="124"/>
      <c r="S59" s="124"/>
      <c r="T59" s="124"/>
    </row>
    <row r="60" spans="2:20" ht="14.5" customHeight="1">
      <c r="B60" s="188"/>
      <c r="C60" s="188"/>
      <c r="D60" s="188"/>
      <c r="E60" s="188"/>
      <c r="F60" s="188"/>
      <c r="R60" s="124"/>
      <c r="S60" s="124"/>
      <c r="T60" s="124"/>
    </row>
    <row r="61" spans="2:20" ht="14.5" customHeight="1">
      <c r="B61" s="188"/>
      <c r="C61" s="188"/>
      <c r="D61" s="188"/>
      <c r="E61" s="188"/>
      <c r="F61" s="188"/>
      <c r="R61" s="124"/>
      <c r="S61" s="124"/>
      <c r="T61" s="124"/>
    </row>
    <row r="62" spans="2:20" ht="14.5" customHeight="1">
      <c r="B62" s="188"/>
      <c r="C62" s="188"/>
      <c r="D62" s="188"/>
      <c r="E62" s="188"/>
      <c r="F62" s="188"/>
      <c r="R62" s="124"/>
      <c r="S62" s="124"/>
      <c r="T62" s="124"/>
    </row>
    <row r="63" spans="2:20" ht="14.5" customHeight="1"/>
    <row r="64" spans="2:20" ht="14.5" customHeight="1"/>
  </sheetData>
  <sheetProtection sheet="1" selectLockedCells="1"/>
  <mergeCells count="48">
    <mergeCell ref="C18:D18"/>
    <mergeCell ref="E17:F17"/>
    <mergeCell ref="C12:D12"/>
    <mergeCell ref="C13:D13"/>
    <mergeCell ref="E12:F12"/>
    <mergeCell ref="E13:F13"/>
    <mergeCell ref="M17:N17"/>
    <mergeCell ref="M18:N18"/>
    <mergeCell ref="B57:E57"/>
    <mergeCell ref="M7:N7"/>
    <mergeCell ref="M9:N9"/>
    <mergeCell ref="M10:N10"/>
    <mergeCell ref="M11:N11"/>
    <mergeCell ref="H31:N33"/>
    <mergeCell ref="C46:N48"/>
    <mergeCell ref="C9:D9"/>
    <mergeCell ref="E9:F9"/>
    <mergeCell ref="G9:H9"/>
    <mergeCell ref="C10:D10"/>
    <mergeCell ref="G10:H10"/>
    <mergeCell ref="E10:F10"/>
    <mergeCell ref="C17:D17"/>
    <mergeCell ref="H36:N38"/>
    <mergeCell ref="B52:B54"/>
    <mergeCell ref="C52:E54"/>
    <mergeCell ref="F52:G54"/>
    <mergeCell ref="H53:N54"/>
    <mergeCell ref="H52:N52"/>
    <mergeCell ref="C36:E38"/>
    <mergeCell ref="B41:B43"/>
    <mergeCell ref="C41:N43"/>
    <mergeCell ref="B46:B48"/>
    <mergeCell ref="B2:N2"/>
    <mergeCell ref="C6:C7"/>
    <mergeCell ref="D6:D7"/>
    <mergeCell ref="F36:G38"/>
    <mergeCell ref="K17:L17"/>
    <mergeCell ref="I17:J17"/>
    <mergeCell ref="G17:H17"/>
    <mergeCell ref="B6:B7"/>
    <mergeCell ref="B31:B33"/>
    <mergeCell ref="B36:B38"/>
    <mergeCell ref="B21:B23"/>
    <mergeCell ref="C21:N23"/>
    <mergeCell ref="B26:B28"/>
    <mergeCell ref="H26:N28"/>
    <mergeCell ref="M6:N6"/>
    <mergeCell ref="K18:L18"/>
  </mergeCells>
  <dataValidations count="2">
    <dataValidation type="whole" operator="greaterThan" allowBlank="1" showInputMessage="1" showErrorMessage="1" sqref="D6" xr:uid="{3FCD7C0A-B4DE-4764-8DF6-2F5B22B29143}">
      <formula1>0</formula1>
    </dataValidation>
    <dataValidation operator="greaterThan" allowBlank="1" showInputMessage="1" showErrorMessage="1" sqref="C6" xr:uid="{89CAF0A8-BEAB-48E3-A6A0-A5852D68588C}"/>
  </dataValidations>
  <pageMargins left="0.25" right="0.25" top="0.75" bottom="0.75" header="0.3" footer="0.3"/>
  <pageSetup paperSize="9" scale="77" fitToHeight="0" orientation="portrait" horizontalDpi="300" verticalDpi="300" r:id="rId1"/>
  <colBreaks count="1" manualBreakCount="1">
    <brk id="17" max="3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NoticeAsPDF">
                <anchor moveWithCells="1" sizeWithCells="1">
                  <from>
                    <xdr:col>14</xdr:col>
                    <xdr:colOff>165100</xdr:colOff>
                    <xdr:row>1</xdr:row>
                    <xdr:rowOff>95250</xdr:rowOff>
                  </from>
                  <to>
                    <xdr:col>16</xdr:col>
                    <xdr:colOff>590550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R524"/>
  <sheetViews>
    <sheetView showGridLines="0" workbookViewId="0">
      <pane xSplit="6" ySplit="15" topLeftCell="R16" activePane="bottomRight" state="frozen"/>
      <selection activeCell="D107" sqref="D107"/>
      <selection pane="topRight" activeCell="D107" sqref="D107"/>
      <selection pane="bottomLeft" activeCell="D107" sqref="D107"/>
      <selection pane="bottomRight" activeCell="BD18" sqref="BD18"/>
    </sheetView>
  </sheetViews>
  <sheetFormatPr defaultColWidth="9.1796875" defaultRowHeight="14.5" outlineLevelCol="1"/>
  <cols>
    <col min="1" max="1" width="10.54296875" style="6" customWidth="1"/>
    <col min="2" max="2" width="16.7265625" style="3" bestFit="1" customWidth="1" collapsed="1"/>
    <col min="3" max="4" width="14.1796875" style="3" hidden="1" customWidth="1" outlineLevel="1"/>
    <col min="5" max="6" width="14.1796875" style="3" customWidth="1"/>
    <col min="7" max="7" width="20.453125" style="3" customWidth="1"/>
    <col min="8" max="8" width="14.1796875" style="3" customWidth="1"/>
    <col min="9" max="9" width="23.1796875" style="3" customWidth="1"/>
    <col min="10" max="10" width="14.1796875" style="3" customWidth="1"/>
    <col min="11" max="11" width="14.1796875" style="3" customWidth="1" collapsed="1"/>
    <col min="12" max="14" width="14.1796875" style="3" hidden="1" customWidth="1" outlineLevel="1"/>
    <col min="15" max="15" width="11" style="3" hidden="1" customWidth="1" outlineLevel="1"/>
    <col min="16" max="16" width="13.54296875" style="3" hidden="1" customWidth="1" outlineLevel="1"/>
    <col min="17" max="17" width="15.1796875" style="3" hidden="1" customWidth="1" outlineLevel="1"/>
    <col min="18" max="18" width="31.1796875" style="3" customWidth="1" collapsed="1"/>
    <col min="19" max="19" width="39.1796875" style="3" hidden="1" customWidth="1" outlineLevel="1"/>
    <col min="20" max="20" width="5.54296875" style="3" customWidth="1" collapsed="1"/>
    <col min="21" max="21" width="68.7265625" style="3" hidden="1" customWidth="1" outlineLevel="1"/>
    <col min="22" max="22" width="5.7265625" style="3" customWidth="1" collapsed="1"/>
    <col min="23" max="23" width="39" style="3" hidden="1" customWidth="1" outlineLevel="1"/>
    <col min="24" max="24" width="5.7265625" style="3" customWidth="1" collapsed="1"/>
    <col min="25" max="25" width="76.26953125" style="3" hidden="1" customWidth="1" outlineLevel="1"/>
    <col min="26" max="26" width="5.7265625" style="3" customWidth="1" collapsed="1"/>
    <col min="27" max="27" width="13.54296875" style="3" hidden="1" customWidth="1" outlineLevel="1"/>
    <col min="28" max="28" width="12.1796875" style="3" hidden="1" customWidth="1" outlineLevel="1"/>
    <col min="29" max="29" width="9.1796875" style="3" hidden="1" customWidth="1" outlineLevel="1"/>
    <col min="30" max="30" width="18.90625" style="3" hidden="1" customWidth="1" outlineLevel="1"/>
    <col min="31" max="31" width="5.7265625" style="3" customWidth="1" collapsed="1"/>
    <col min="32" max="32" width="13.453125" style="3" hidden="1" customWidth="1" outlineLevel="1"/>
    <col min="33" max="33" width="11.36328125" style="3" hidden="1" customWidth="1" outlineLevel="1"/>
    <col min="34" max="34" width="12.90625" style="3" hidden="1" customWidth="1" outlineLevel="1"/>
    <col min="35" max="35" width="65" style="3" hidden="1" customWidth="1" outlineLevel="1"/>
    <col min="36" max="36" width="5.7265625" style="3" customWidth="1" collapsed="1"/>
    <col min="37" max="37" width="12.26953125" style="3" hidden="1" customWidth="1" outlineLevel="1"/>
    <col min="38" max="38" width="87.26953125" style="3" hidden="1" customWidth="1" outlineLevel="1"/>
    <col min="39" max="39" width="7.6328125" style="3" customWidth="1" collapsed="1"/>
    <col min="40" max="40" width="34.1796875" style="3" hidden="1" customWidth="1" outlineLevel="1"/>
    <col min="41" max="41" width="13.7265625" style="3" customWidth="1" collapsed="1"/>
    <col min="42" max="42" width="13.36328125" style="8" hidden="1" customWidth="1" outlineLevel="1"/>
    <col min="43" max="43" width="15.1796875" style="6" hidden="1" customWidth="1" outlineLevel="1"/>
    <col min="44" max="44" width="10.08984375" style="6" customWidth="1"/>
    <col min="45" max="52" width="15.1796875" style="6" hidden="1" customWidth="1" outlineLevel="1"/>
    <col min="53" max="56" width="15.1796875" style="6" customWidth="1" outlineLevel="1"/>
    <col min="57" max="58" width="15.1796875" style="6" customWidth="1"/>
    <col min="59" max="59" width="15.1796875" style="6" customWidth="1" collapsed="1"/>
    <col min="60" max="60" width="48.36328125" style="6" customWidth="1"/>
    <col min="61" max="61" width="15.1796875" style="6" hidden="1" customWidth="1"/>
    <col min="62" max="62" width="46" style="6" hidden="1" customWidth="1"/>
    <col min="63" max="63" width="15.1796875" style="64" hidden="1" customWidth="1"/>
    <col min="64" max="64" width="16.7265625" style="63" hidden="1" customWidth="1"/>
    <col min="65" max="65" width="13.81640625" style="63" hidden="1" customWidth="1"/>
    <col min="66" max="66" width="66.453125" style="63" hidden="1" customWidth="1"/>
    <col min="67" max="85" width="13.81640625" style="3" customWidth="1"/>
    <col min="86" max="86" width="51.1796875" style="5" bestFit="1" customWidth="1"/>
    <col min="87" max="87" width="5.7265625" style="5" customWidth="1"/>
    <col min="88" max="88" width="61.26953125" style="3" customWidth="1"/>
    <col min="89" max="89" width="5.7265625" style="5" customWidth="1" collapsed="1"/>
    <col min="90" max="90" width="18.1796875" style="5" customWidth="1"/>
    <col min="91" max="91" width="58.453125" style="5" customWidth="1"/>
    <col min="92" max="92" width="17" style="5" customWidth="1" collapsed="1"/>
    <col min="93" max="93" width="54.453125" style="5" customWidth="1"/>
    <col min="94" max="94" width="5.7265625" style="3" customWidth="1" collapsed="1"/>
    <col min="95" max="95" width="81.1796875" style="3" customWidth="1"/>
    <col min="96" max="96" width="17" style="5" customWidth="1" collapsed="1"/>
    <col min="97" max="97" width="15.81640625" style="3" customWidth="1"/>
    <col min="98" max="98" width="5.26953125" style="3" customWidth="1"/>
    <col min="99" max="99" width="32" style="3" customWidth="1"/>
    <col min="100" max="100" width="24.1796875" style="3" customWidth="1"/>
    <col min="101" max="101" width="6" style="3" customWidth="1"/>
    <col min="102" max="103" width="24.1796875" style="3" customWidth="1"/>
    <col min="104" max="104" width="5.7265625" style="3" customWidth="1" collapsed="1"/>
    <col min="105" max="105" width="49" style="3" customWidth="1"/>
    <col min="106" max="106" width="5.7265625" style="3" customWidth="1" collapsed="1"/>
    <col min="107" max="107" width="24.1796875" style="3" customWidth="1"/>
    <col min="108" max="108" width="8" style="3" customWidth="1"/>
    <col min="109" max="117" width="38.81640625" style="3" customWidth="1"/>
    <col min="118" max="118" width="24.1796875" style="3" customWidth="1"/>
    <col min="119" max="119" width="35" style="3" customWidth="1"/>
    <col min="120" max="120" width="4.26953125" style="5" customWidth="1" collapsed="1"/>
    <col min="121" max="121" width="31.1796875" style="3" customWidth="1"/>
    <col min="122" max="122" width="4.26953125" style="3" customWidth="1" collapsed="1"/>
    <col min="123" max="123" width="22.1796875" style="3" customWidth="1"/>
    <col min="124" max="124" width="7.7265625" style="3" customWidth="1"/>
    <col min="125" max="127" width="34.81640625" style="3" customWidth="1"/>
    <col min="128" max="128" width="20" style="3" customWidth="1"/>
    <col min="129" max="130" width="22.1796875" style="3" customWidth="1"/>
    <col min="131" max="131" width="13.26953125" style="3" bestFit="1" customWidth="1"/>
    <col min="132" max="132" width="22.1796875" style="3" customWidth="1"/>
    <col min="133" max="133" width="14.1796875" style="3" customWidth="1"/>
    <col min="134" max="137" width="4.26953125" style="7" customWidth="1"/>
    <col min="138" max="138" width="58.453125" style="4" customWidth="1"/>
    <col min="139" max="139" width="10" style="4" customWidth="1"/>
    <col min="140" max="140" width="41.81640625" style="4" customWidth="1"/>
    <col min="141" max="141" width="12.54296875" style="4" customWidth="1"/>
    <col min="142" max="142" width="19.453125" style="4" customWidth="1"/>
    <col min="143" max="143" width="57.453125" style="4" customWidth="1"/>
    <col min="144" max="144" width="22.26953125" style="4" customWidth="1"/>
    <col min="145" max="145" width="30.1796875" style="4" customWidth="1"/>
    <col min="146" max="146" width="47.7265625" style="4" customWidth="1"/>
    <col min="147" max="148" width="9.1796875" style="4"/>
    <col min="149" max="16384" width="9.1796875" style="2"/>
  </cols>
  <sheetData>
    <row r="1" spans="1:148" s="17" customFormat="1" hidden="1">
      <c r="A1" s="9" t="s">
        <v>4</v>
      </c>
      <c r="B1" s="10" t="s">
        <v>75</v>
      </c>
      <c r="C1" s="11"/>
      <c r="D1" s="11"/>
      <c r="E1" s="11"/>
      <c r="F1" s="12"/>
      <c r="G1" s="13"/>
      <c r="H1" s="14"/>
      <c r="I1" s="15"/>
      <c r="J1" s="15"/>
      <c r="K1" s="15"/>
      <c r="L1" s="15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54"/>
      <c r="BL1" s="54"/>
      <c r="BM1" s="54"/>
      <c r="BN1" s="54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6"/>
      <c r="CU1" s="16"/>
      <c r="CV1" s="16"/>
      <c r="CW1" s="16"/>
    </row>
    <row r="2" spans="1:148" s="17" customFormat="1" hidden="1">
      <c r="A2" s="18" t="s">
        <v>7</v>
      </c>
      <c r="B2" s="15"/>
      <c r="C2" s="11"/>
      <c r="D2" s="11"/>
      <c r="E2" s="11"/>
      <c r="F2" s="19"/>
      <c r="G2" s="20"/>
      <c r="H2" s="2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54"/>
      <c r="BL2" s="54"/>
      <c r="BM2" s="54"/>
      <c r="BN2" s="54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6"/>
      <c r="CU2" s="16"/>
      <c r="CV2" s="16"/>
      <c r="CW2" s="16"/>
    </row>
    <row r="3" spans="1:148" s="17" customFormat="1" hidden="1">
      <c r="A3" s="21" t="s">
        <v>2</v>
      </c>
      <c r="B3" s="22"/>
      <c r="C3" s="23"/>
      <c r="D3" s="79"/>
      <c r="E3" s="23"/>
      <c r="F3" s="22"/>
      <c r="G3" s="22"/>
      <c r="H3" s="22"/>
      <c r="I3" s="22"/>
      <c r="J3" s="22"/>
      <c r="K3" s="22"/>
      <c r="L3" s="22"/>
      <c r="M3" s="39"/>
      <c r="N3" s="22"/>
      <c r="O3" s="22"/>
      <c r="P3" s="22"/>
      <c r="Q3" s="11"/>
      <c r="R3" s="11"/>
      <c r="S3" s="39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54"/>
      <c r="BL3" s="54"/>
      <c r="BM3" s="54"/>
      <c r="BN3" s="54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6"/>
      <c r="CR3" s="16"/>
      <c r="CS3" s="16"/>
      <c r="CT3" s="16"/>
    </row>
    <row r="4" spans="1:148" s="25" customFormat="1" hidden="1">
      <c r="A4" s="24">
        <f>MATCH(A3,10:10,0)</f>
        <v>1</v>
      </c>
      <c r="B4" s="24"/>
      <c r="C4" s="24"/>
      <c r="D4" s="80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55"/>
      <c r="BL4" s="55"/>
      <c r="BM4" s="55"/>
      <c r="BN4" s="55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16"/>
      <c r="CR4" s="16"/>
      <c r="CS4" s="16"/>
      <c r="CT4" s="16"/>
    </row>
    <row r="5" spans="1:148" s="25" customFormat="1" hidden="1">
      <c r="A5" s="24">
        <v>22</v>
      </c>
      <c r="B5" s="24"/>
      <c r="C5" s="24"/>
      <c r="D5" s="80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55"/>
      <c r="BL5" s="55"/>
      <c r="BM5" s="55"/>
      <c r="BN5" s="55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16"/>
      <c r="CR5" s="16"/>
      <c r="CS5" s="16"/>
      <c r="CT5" s="16"/>
    </row>
    <row r="6" spans="1:148" s="27" customFormat="1" hidden="1">
      <c r="A6" s="26" t="s">
        <v>5</v>
      </c>
      <c r="F6" s="28"/>
      <c r="G6" s="29"/>
      <c r="H6" s="29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56"/>
      <c r="BL6" s="56"/>
      <c r="BM6" s="56"/>
      <c r="BN6" s="56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1"/>
      <c r="CU6" s="31"/>
      <c r="CV6" s="31"/>
      <c r="CW6" s="31"/>
    </row>
    <row r="7" spans="1:148" s="27" customFormat="1" hidden="1">
      <c r="A7" s="29" t="str">
        <f>IF(A8&lt;&gt;"","Operator","")</f>
        <v/>
      </c>
      <c r="B7" s="29" t="str">
        <f>IF(B8&lt;&gt;"","Status","")</f>
        <v/>
      </c>
      <c r="C7" s="29"/>
      <c r="D7" s="29"/>
      <c r="E7" s="29"/>
      <c r="F7" s="28"/>
      <c r="G7" s="29"/>
      <c r="H7" s="32" t="s">
        <v>24</v>
      </c>
      <c r="I7" s="32" t="s">
        <v>25</v>
      </c>
      <c r="J7" s="32" t="s">
        <v>26</v>
      </c>
      <c r="K7" s="32" t="s">
        <v>27</v>
      </c>
      <c r="L7" s="32"/>
      <c r="M7" s="32"/>
      <c r="N7" s="32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5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56"/>
      <c r="BL7" s="56"/>
      <c r="BM7" s="56"/>
      <c r="BN7" s="56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1"/>
      <c r="CU7" s="31"/>
      <c r="CV7" s="31"/>
      <c r="CW7" s="31"/>
    </row>
    <row r="8" spans="1:148" s="27" customFormat="1" hidden="1">
      <c r="A8" s="33" t="str">
        <f>IF($C$13&lt;&gt;"",$C$13,"")</f>
        <v/>
      </c>
      <c r="B8" s="33" t="str">
        <f>IF($R$13&lt;&gt;"",$R$13,"")</f>
        <v/>
      </c>
      <c r="C8" s="29"/>
      <c r="D8" s="29"/>
      <c r="E8" s="29"/>
      <c r="F8" s="75" t="s">
        <v>38</v>
      </c>
      <c r="G8" s="76" t="s">
        <v>41</v>
      </c>
      <c r="H8" s="76" t="s">
        <v>35</v>
      </c>
      <c r="I8" s="77" t="s">
        <v>34</v>
      </c>
      <c r="J8" s="77" t="s">
        <v>40</v>
      </c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56"/>
      <c r="BL8" s="56"/>
      <c r="BM8" s="56"/>
      <c r="BN8" s="56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1"/>
      <c r="CU8" s="31"/>
      <c r="CV8" s="31"/>
      <c r="CW8" s="31"/>
    </row>
    <row r="9" spans="1:148" s="36" customFormat="1" hidden="1">
      <c r="A9" s="34" t="s">
        <v>6</v>
      </c>
      <c r="B9" s="29"/>
      <c r="C9" s="29"/>
      <c r="D9" s="29"/>
      <c r="E9" s="29"/>
      <c r="F9" s="76" t="str">
        <f ca="1">IFERROR(IF(FIND(F8,CELL("filename"),1)&gt;0,F8,""),"")</f>
        <v>Telenor</v>
      </c>
      <c r="G9" s="76" t="str">
        <f ca="1">IFERROR(IF(FIND(G8,CELL("filename"),1)&gt;0,G8,""),"")</f>
        <v/>
      </c>
      <c r="H9" s="76" t="str">
        <f t="shared" ref="H9:J9" ca="1" si="0">IFERROR(IF(FIND(H8,CELL("filename"),1)&gt;0,H8,""),"")</f>
        <v/>
      </c>
      <c r="I9" s="76" t="str">
        <f t="shared" ca="1" si="0"/>
        <v/>
      </c>
      <c r="J9" s="76" t="str">
        <f t="shared" ca="1" si="0"/>
        <v/>
      </c>
      <c r="K9" s="78" t="str">
        <f ca="1">CONCATENATE(F9,G9,H9,I9,J9)</f>
        <v>Telenor</v>
      </c>
      <c r="L9" s="29"/>
      <c r="M9" s="29"/>
      <c r="N9" s="29"/>
      <c r="O9" s="29"/>
      <c r="P9" s="29"/>
      <c r="Q9" s="29"/>
      <c r="R9" s="29"/>
      <c r="S9" s="29"/>
      <c r="T9" s="35">
        <v>1</v>
      </c>
      <c r="U9" s="29"/>
      <c r="V9" s="35">
        <v>1</v>
      </c>
      <c r="W9" s="29"/>
      <c r="X9" s="35">
        <v>1</v>
      </c>
      <c r="Y9" s="29"/>
      <c r="Z9" s="35">
        <v>1</v>
      </c>
      <c r="AA9" s="29"/>
      <c r="AB9" s="29"/>
      <c r="AC9" s="35">
        <v>1</v>
      </c>
      <c r="AD9" s="29"/>
      <c r="AE9" s="29"/>
      <c r="AF9" s="29"/>
      <c r="AG9" s="29"/>
      <c r="AH9" s="35">
        <v>1</v>
      </c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K9" s="57"/>
      <c r="BL9" s="57"/>
      <c r="BM9" s="57"/>
      <c r="BN9" s="57"/>
      <c r="CW9" s="31"/>
      <c r="CX9" s="31"/>
      <c r="CY9" s="31"/>
      <c r="CZ9" s="31"/>
    </row>
    <row r="10" spans="1:148" s="11" customFormat="1" hidden="1">
      <c r="A10" s="37" t="s">
        <v>2</v>
      </c>
      <c r="B10" s="38" t="s">
        <v>76</v>
      </c>
      <c r="C10" s="39" t="s">
        <v>36</v>
      </c>
      <c r="D10" s="81"/>
      <c r="E10" s="39" t="s">
        <v>74</v>
      </c>
      <c r="F10" s="23" t="s">
        <v>73</v>
      </c>
      <c r="G10" s="23" t="s">
        <v>72</v>
      </c>
      <c r="H10" s="38" t="s">
        <v>37</v>
      </c>
      <c r="I10" s="39" t="s">
        <v>0</v>
      </c>
      <c r="J10" s="39" t="s">
        <v>71</v>
      </c>
      <c r="K10" s="39" t="s">
        <v>1</v>
      </c>
      <c r="L10" s="39" t="s">
        <v>90</v>
      </c>
      <c r="M10" s="39" t="s">
        <v>91</v>
      </c>
      <c r="N10" s="23" t="s">
        <v>70</v>
      </c>
      <c r="O10" s="23" t="s">
        <v>69</v>
      </c>
      <c r="P10" s="39" t="s">
        <v>10</v>
      </c>
      <c r="Q10" s="39" t="s">
        <v>9</v>
      </c>
      <c r="R10" s="39" t="s">
        <v>23</v>
      </c>
      <c r="S10" s="39" t="s">
        <v>32</v>
      </c>
      <c r="T10" s="39" t="s">
        <v>68</v>
      </c>
      <c r="U10" s="39" t="s">
        <v>67</v>
      </c>
      <c r="V10" s="39" t="s">
        <v>20</v>
      </c>
      <c r="W10" s="39" t="s">
        <v>21</v>
      </c>
      <c r="X10" s="39" t="s">
        <v>66</v>
      </c>
      <c r="Y10" s="39" t="s">
        <v>65</v>
      </c>
      <c r="Z10" s="39" t="s">
        <v>15</v>
      </c>
      <c r="AA10" s="23" t="s">
        <v>64</v>
      </c>
      <c r="AB10" s="39" t="s">
        <v>16</v>
      </c>
      <c r="AC10" s="39" t="s">
        <v>11</v>
      </c>
      <c r="AD10" s="65" t="s">
        <v>13</v>
      </c>
      <c r="AE10" s="66" t="s">
        <v>88</v>
      </c>
      <c r="AF10" s="66" t="s">
        <v>89</v>
      </c>
      <c r="AG10" s="67" t="s">
        <v>12</v>
      </c>
      <c r="AH10" s="39" t="s">
        <v>17</v>
      </c>
      <c r="AI10" s="39" t="s">
        <v>63</v>
      </c>
      <c r="AJ10" s="39" t="s">
        <v>18</v>
      </c>
      <c r="AK10" s="39" t="s">
        <v>42</v>
      </c>
      <c r="AL10" s="39" t="s">
        <v>43</v>
      </c>
      <c r="AM10" s="39" t="s">
        <v>44</v>
      </c>
      <c r="AN10" s="39" t="s">
        <v>45</v>
      </c>
      <c r="AO10" s="39" t="s">
        <v>46</v>
      </c>
      <c r="AP10" s="39" t="s">
        <v>47</v>
      </c>
      <c r="AQ10" s="39" t="s">
        <v>48</v>
      </c>
      <c r="AR10" s="68" t="s">
        <v>94</v>
      </c>
      <c r="AS10" s="68" t="s">
        <v>95</v>
      </c>
      <c r="AT10" s="68" t="s">
        <v>96</v>
      </c>
      <c r="AU10" s="68" t="s">
        <v>97</v>
      </c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K10" s="54"/>
      <c r="BL10" s="54"/>
      <c r="BM10" s="54"/>
      <c r="BN10" s="54"/>
      <c r="CT10" s="16"/>
      <c r="CU10" s="16"/>
      <c r="CV10" s="16"/>
      <c r="CW10" s="16"/>
    </row>
    <row r="11" spans="1:148" s="29" customFormat="1" hidden="1">
      <c r="AP11" s="28"/>
      <c r="BK11" s="58"/>
      <c r="BL11" s="58"/>
      <c r="BM11" s="58"/>
      <c r="BN11" s="58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1"/>
      <c r="ED11" s="31"/>
      <c r="EE11" s="31"/>
      <c r="EF11" s="31"/>
    </row>
    <row r="12" spans="1:148" s="41" customFormat="1" hidden="1">
      <c r="A12" s="40"/>
      <c r="C12" s="82"/>
      <c r="D12" s="82"/>
      <c r="AL12" s="43"/>
      <c r="AM12" s="40"/>
      <c r="AN12" s="40"/>
      <c r="BK12" s="59"/>
      <c r="BL12" s="59"/>
      <c r="BM12" s="59"/>
      <c r="BN12" s="59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44"/>
      <c r="DS12" s="44"/>
      <c r="DT12" s="44"/>
      <c r="DU12" s="44"/>
      <c r="DV12" s="44"/>
      <c r="DW12" s="44"/>
      <c r="DX12" s="44"/>
      <c r="DY12" s="45"/>
      <c r="DZ12" s="45"/>
      <c r="EA12" s="45"/>
      <c r="EB12" s="45"/>
    </row>
    <row r="13" spans="1:148" s="41" customFormat="1" ht="21">
      <c r="A13" s="46" t="s">
        <v>1032</v>
      </c>
      <c r="B13" s="47"/>
      <c r="C13" s="83"/>
      <c r="D13" s="83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101"/>
      <c r="R13" s="84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6"/>
      <c r="AP13" s="46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58"/>
      <c r="BL13" s="59"/>
      <c r="BM13" s="59"/>
      <c r="BN13" s="59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9"/>
      <c r="ED13" s="49"/>
      <c r="EE13" s="49"/>
      <c r="EF13" s="49"/>
    </row>
    <row r="14" spans="1:148" s="52" customFormat="1" ht="15" customHeight="1">
      <c r="A14" s="50"/>
      <c r="B14" s="50" t="str">
        <f>IFERROR(IF(HLOOKUP(B10,$3:$3,1,FALSE)&lt;&gt;"",".",""),"")</f>
        <v/>
      </c>
      <c r="C14" s="50" t="str">
        <f>IFERROR(IF(HLOOKUP(C10,$3:$3,1,FALSE)&lt;&gt;"",".",""),"")</f>
        <v/>
      </c>
      <c r="D14" s="50"/>
      <c r="E14" s="50" t="str">
        <f>IFERROR(IF(HLOOKUP(E10,$3:$3,1,FALSE)&lt;&gt;"",".",""),"")</f>
        <v/>
      </c>
      <c r="F14" s="50" t="str">
        <f>IFERROR(IF(HLOOKUP(F10,$3:$3,1,FALSE)&lt;&gt;"",".",""),"")</f>
        <v/>
      </c>
      <c r="G14" s="50" t="str">
        <f>IFERROR(IF(HLOOKUP(G10,$3:$3,1,FALSE)&lt;&gt;"",".",""),"")</f>
        <v/>
      </c>
      <c r="H14" s="50" t="str">
        <f>IFERROR(IF(HLOOKUP(H10,$3:$3,1,FALSE)&lt;&gt;"",".",""),"")</f>
        <v/>
      </c>
      <c r="I14" s="50" t="str">
        <f>IFERROR(IF(HLOOKUP(I10,$3:$3,1,FALSE)&lt;&gt;"",".",""),"")</f>
        <v/>
      </c>
      <c r="J14" s="50" t="str">
        <f>IFERROR(IF(HLOOKUP(J10,$3:$3,1,FALSE)&lt;&gt;"",".",""),"")</f>
        <v/>
      </c>
      <c r="K14" s="50" t="str">
        <f>IFERROR(IF(HLOOKUP(K10,$3:$3,1,FALSE)&lt;&gt;"",".",""),"")</f>
        <v/>
      </c>
      <c r="L14" s="50" t="str">
        <f>IFERROR(IF(HLOOKUP(L10,$3:$3,1,FALSE)&lt;&gt;"",".",""),"")</f>
        <v/>
      </c>
      <c r="M14" s="50" t="str">
        <f>IFERROR(IF(HLOOKUP(M10,$3:$3,1,FALSE)&lt;&gt;"",".",""),"")</f>
        <v/>
      </c>
      <c r="N14" s="50" t="str">
        <f>IFERROR(IF(HLOOKUP(N10,$3:$3,1,FALSE)&lt;&gt;"",".",""),"")</f>
        <v/>
      </c>
      <c r="O14" s="50" t="str">
        <f>IFERROR(IF(HLOOKUP(O10,$3:$3,1,FALSE)&lt;&gt;"",".",""),"")</f>
        <v/>
      </c>
      <c r="P14" s="50" t="str">
        <f>IFERROR(IF(HLOOKUP(P10,$3:$3,1,FALSE)&lt;&gt;"",".",""),"")</f>
        <v/>
      </c>
      <c r="Q14" s="50" t="str">
        <f>IFERROR(IF(HLOOKUP(Q10,$3:$3,1,FALSE)&lt;&gt;"",".",""),"")</f>
        <v/>
      </c>
      <c r="R14" s="50" t="str">
        <f>IFERROR(IF(HLOOKUP(R10,$3:$3,1,FALSE)&lt;&gt;"",".",""),"")</f>
        <v/>
      </c>
      <c r="S14" s="50" t="str">
        <f>IFERROR(IF(HLOOKUP(S10,$3:$3,1,FALSE)&lt;&gt;"",".",""),"")</f>
        <v/>
      </c>
      <c r="T14" s="50" t="str">
        <f>IFERROR(IF(HLOOKUP(T10,$3:$3,1,FALSE)&lt;&gt;"",".",""),"")</f>
        <v/>
      </c>
      <c r="U14" s="50" t="str">
        <f>IFERROR(IF(HLOOKUP(U10,$3:$3,1,FALSE)&lt;&gt;"",".",""),"")</f>
        <v/>
      </c>
      <c r="V14" s="50" t="str">
        <f>IFERROR(IF(HLOOKUP(V10,$3:$3,1,FALSE)&lt;&gt;"",".",""),"")</f>
        <v/>
      </c>
      <c r="W14" s="50" t="str">
        <f>IFERROR(IF(HLOOKUP(W10,$3:$3,1,FALSE)&lt;&gt;"",".",""),"")</f>
        <v/>
      </c>
      <c r="X14" s="50" t="str">
        <f>IFERROR(IF(HLOOKUP(X10,$3:$3,1,FALSE)&lt;&gt;"",".",""),"")</f>
        <v/>
      </c>
      <c r="Y14" s="50" t="str">
        <f>IFERROR(IF(HLOOKUP(Y10,$3:$3,1,FALSE)&lt;&gt;"",".",""),"")</f>
        <v/>
      </c>
      <c r="Z14" s="50" t="str">
        <f>IFERROR(IF(HLOOKUP(Z10,$3:$3,1,FALSE)&lt;&gt;"",".",""),"")</f>
        <v/>
      </c>
      <c r="AA14" s="50" t="str">
        <f>IFERROR(IF(HLOOKUP(AA10,$3:$3,1,FALSE)&lt;&gt;"",".",""),"")</f>
        <v/>
      </c>
      <c r="AB14" s="50" t="str">
        <f>IFERROR(IF(HLOOKUP(AB10,$3:$3,1,FALSE)&lt;&gt;"",".",""),"")</f>
        <v/>
      </c>
      <c r="AC14" s="50" t="str">
        <f>IFERROR(IF(HLOOKUP(AC10,$3:$3,1,FALSE)&lt;&gt;"",".",""),"")</f>
        <v/>
      </c>
      <c r="AD14" s="50" t="str">
        <f>IFERROR(IF(HLOOKUP(AD10,$3:$3,1,FALSE)&lt;&gt;"",".",""),"")</f>
        <v/>
      </c>
      <c r="AE14" s="50" t="str">
        <f>IFERROR(IF(HLOOKUP(AE10,$3:$3,1,FALSE)&lt;&gt;"",".",""),"")</f>
        <v/>
      </c>
      <c r="AF14" s="50" t="str">
        <f>IFERROR(IF(HLOOKUP(AF10,$3:$3,1,FALSE)&lt;&gt;"",".",""),"")</f>
        <v/>
      </c>
      <c r="AG14" s="50" t="str">
        <f>IFERROR(IF(HLOOKUP(AG10,$3:$3,1,FALSE)&lt;&gt;"",".",""),"")</f>
        <v/>
      </c>
      <c r="AH14" s="50" t="str">
        <f>IFERROR(IF(HLOOKUP(AH10,$3:$3,1,FALSE)&lt;&gt;"",".",""),"")</f>
        <v/>
      </c>
      <c r="AI14" s="50" t="str">
        <f>IFERROR(IF(HLOOKUP(AI10,$3:$3,1,FALSE)&lt;&gt;"",".",""),"")</f>
        <v/>
      </c>
      <c r="AJ14" s="50" t="str">
        <f>IFERROR(IF(HLOOKUP(AJ10,$3:$3,1,FALSE)&lt;&gt;"",".",""),"")</f>
        <v/>
      </c>
      <c r="AK14" s="50" t="str">
        <f>IFERROR(IF(HLOOKUP(AK10,$3:$3,1,FALSE)&lt;&gt;"",".",""),"")</f>
        <v/>
      </c>
      <c r="AL14" s="50" t="str">
        <f>IFERROR(IF(HLOOKUP(AL10,$3:$3,1,FALSE)&lt;&gt;"",".",""),"")</f>
        <v/>
      </c>
      <c r="AM14" s="50" t="str">
        <f>IFERROR(IF(HLOOKUP(AM10,$3:$3,1,FALSE)&lt;&gt;"",".",""),"")</f>
        <v/>
      </c>
      <c r="AN14" s="50" t="str">
        <f>IFERROR(IF(HLOOKUP(AN10,$3:$3,1,FALSE)&lt;&gt;"",".",""),"")</f>
        <v/>
      </c>
      <c r="AO14" s="50" t="str">
        <f>IFERROR(IF(HLOOKUP(AO10,$3:$3,1,FALSE)&lt;&gt;"",".",""),"")</f>
        <v/>
      </c>
      <c r="AP14" s="50" t="str">
        <f>IFERROR(IF(HLOOKUP(AP10,$3:$3,1,FALSE)&lt;&gt;"",".",""),"")</f>
        <v/>
      </c>
      <c r="AQ14" s="50" t="str">
        <f>IFERROR(IF(HLOOKUP(AQ10,$3:$3,1,FALSE)&lt;&gt;"",".",""),"")</f>
        <v/>
      </c>
      <c r="AR14" s="50" t="str">
        <f>IFERROR(IF(HLOOKUP(AR10,$3:$3,1,FALSE)&lt;&gt;"",".",""),"")</f>
        <v/>
      </c>
      <c r="AS14" s="50" t="str">
        <f>IFERROR(IF(HLOOKUP(AS10,$3:$3,1,FALSE)&lt;&gt;"",".",""),"")</f>
        <v/>
      </c>
      <c r="AT14" s="50" t="str">
        <f>IFERROR(IF(HLOOKUP(AT10,$3:$3,1,FALSE)&lt;&gt;"",".",""),"")</f>
        <v/>
      </c>
      <c r="AU14" s="50" t="str">
        <f>IFERROR(IF(HLOOKUP(AU10,$3:$3,1,FALSE)&lt;&gt;"",".",""),"")</f>
        <v/>
      </c>
      <c r="AV14" s="50" t="str">
        <f>IFERROR(IF(HLOOKUP(AV10,$3:$3,1,FALSE)&lt;&gt;"",".",""),"")</f>
        <v/>
      </c>
      <c r="AW14" s="50" t="str">
        <f>IFERROR(IF(HLOOKUP(AW10,$3:$3,1,FALSE)&lt;&gt;"",".",""),"")</f>
        <v/>
      </c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60"/>
      <c r="BL14" s="60"/>
      <c r="BM14" s="60"/>
      <c r="BN14" s="6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</row>
    <row r="15" spans="1:148" ht="60.5" customHeight="1">
      <c r="A15" s="85" t="s">
        <v>8</v>
      </c>
      <c r="B15" s="86" t="s">
        <v>39</v>
      </c>
      <c r="C15" s="86" t="s">
        <v>36</v>
      </c>
      <c r="D15" s="86" t="s">
        <v>101</v>
      </c>
      <c r="E15" s="87" t="s">
        <v>102</v>
      </c>
      <c r="F15" s="87" t="s">
        <v>0</v>
      </c>
      <c r="G15" s="87" t="s">
        <v>77</v>
      </c>
      <c r="H15" s="88" t="s">
        <v>78</v>
      </c>
      <c r="I15" s="88" t="s">
        <v>99</v>
      </c>
      <c r="J15" s="88" t="s">
        <v>79</v>
      </c>
      <c r="K15" s="88" t="s">
        <v>3</v>
      </c>
      <c r="L15" s="74" t="s">
        <v>92</v>
      </c>
      <c r="M15" s="74" t="s">
        <v>93</v>
      </c>
      <c r="N15" s="74" t="s">
        <v>49</v>
      </c>
      <c r="O15" s="74" t="s">
        <v>50</v>
      </c>
      <c r="P15" s="74" t="s">
        <v>30</v>
      </c>
      <c r="Q15" s="74" t="s">
        <v>31</v>
      </c>
      <c r="R15" s="74" t="s">
        <v>51</v>
      </c>
      <c r="S15" s="74" t="s">
        <v>52</v>
      </c>
      <c r="T15" s="89" t="s">
        <v>53</v>
      </c>
      <c r="U15" s="90" t="s">
        <v>54</v>
      </c>
      <c r="V15" s="91" t="s">
        <v>55</v>
      </c>
      <c r="W15" s="92" t="s">
        <v>22</v>
      </c>
      <c r="X15" s="93" t="s">
        <v>56</v>
      </c>
      <c r="Y15" s="94" t="s">
        <v>57</v>
      </c>
      <c r="Z15" s="95" t="s">
        <v>58</v>
      </c>
      <c r="AA15" s="96" t="s">
        <v>1722</v>
      </c>
      <c r="AB15" s="96" t="s">
        <v>1723</v>
      </c>
      <c r="AC15" s="96" t="s">
        <v>28</v>
      </c>
      <c r="AD15" s="96" t="s">
        <v>59</v>
      </c>
      <c r="AE15" s="97" t="s">
        <v>19</v>
      </c>
      <c r="AF15" s="98" t="s">
        <v>105</v>
      </c>
      <c r="AG15" s="98" t="s">
        <v>103</v>
      </c>
      <c r="AH15" s="98" t="s">
        <v>104</v>
      </c>
      <c r="AI15" s="98" t="s">
        <v>14</v>
      </c>
      <c r="AJ15" s="99" t="s">
        <v>60</v>
      </c>
      <c r="AK15" s="100" t="s">
        <v>29</v>
      </c>
      <c r="AL15" s="100" t="s">
        <v>61</v>
      </c>
      <c r="AM15" s="86" t="s">
        <v>106</v>
      </c>
      <c r="AN15" s="86" t="s">
        <v>62</v>
      </c>
      <c r="AO15" s="86" t="s">
        <v>108</v>
      </c>
      <c r="AP15" s="86" t="s">
        <v>107</v>
      </c>
      <c r="AQ15" s="86" t="s">
        <v>33</v>
      </c>
      <c r="AR15" s="86" t="s">
        <v>109</v>
      </c>
      <c r="AS15" s="86" t="s">
        <v>84</v>
      </c>
      <c r="AT15" s="69" t="s">
        <v>110</v>
      </c>
      <c r="AU15" s="70" t="s">
        <v>111</v>
      </c>
      <c r="AV15" s="71" t="s">
        <v>112</v>
      </c>
      <c r="AW15" s="72" t="s">
        <v>113</v>
      </c>
      <c r="AX15" s="73" t="s">
        <v>114</v>
      </c>
      <c r="AY15" s="106" t="s">
        <v>115</v>
      </c>
      <c r="AZ15" s="108" t="s">
        <v>1258</v>
      </c>
      <c r="BA15" t="s">
        <v>7680</v>
      </c>
      <c r="BB15" t="s">
        <v>7681</v>
      </c>
      <c r="BC15" t="s">
        <v>7682</v>
      </c>
      <c r="BD15" t="s">
        <v>7683</v>
      </c>
      <c r="BE15" s="107" t="s">
        <v>98</v>
      </c>
      <c r="BF15" s="74" t="s">
        <v>1033</v>
      </c>
      <c r="BG15" s="53" t="s">
        <v>80</v>
      </c>
      <c r="BH15" s="103" t="s">
        <v>85</v>
      </c>
      <c r="BI15" s="102" t="s">
        <v>87</v>
      </c>
      <c r="BJ15" s="61" t="s">
        <v>81</v>
      </c>
      <c r="BK15" s="62" t="s">
        <v>82</v>
      </c>
      <c r="BL15" s="62" t="s">
        <v>83</v>
      </c>
      <c r="BM15" s="62" t="s">
        <v>86</v>
      </c>
      <c r="BN15" s="74" t="s">
        <v>100</v>
      </c>
      <c r="CF15" s="5"/>
      <c r="CG15" s="5"/>
      <c r="CH15" s="3"/>
      <c r="CJ15" s="5"/>
      <c r="CN15" s="3"/>
      <c r="CO15" s="3"/>
      <c r="CP15" s="5"/>
      <c r="CR15" s="3"/>
      <c r="DN15" s="5"/>
      <c r="DP15" s="3"/>
      <c r="EB15" s="7"/>
      <c r="EC15" s="7"/>
      <c r="EF15" s="4"/>
      <c r="EG15" s="4"/>
      <c r="EQ15" s="2"/>
      <c r="ER15" s="2"/>
    </row>
    <row r="16" spans="1:148">
      <c r="A16" s="105">
        <v>3677</v>
      </c>
      <c r="B16" s="109" t="s">
        <v>691</v>
      </c>
      <c r="C16" s="109" t="s">
        <v>278</v>
      </c>
      <c r="D16" s="109" t="s">
        <v>117</v>
      </c>
      <c r="E16" s="109" t="s">
        <v>4286</v>
      </c>
      <c r="F16" s="109" t="s">
        <v>38</v>
      </c>
      <c r="G16" s="109" t="s">
        <v>1295</v>
      </c>
      <c r="H16" s="109" t="s">
        <v>1285</v>
      </c>
      <c r="I16" s="109" t="s">
        <v>970</v>
      </c>
      <c r="J16" s="109" t="s">
        <v>686</v>
      </c>
      <c r="K16" s="110">
        <v>43494</v>
      </c>
      <c r="L16" s="111"/>
      <c r="M16" s="111"/>
      <c r="N16" s="109"/>
      <c r="O16" s="109" t="s">
        <v>687</v>
      </c>
      <c r="P16" s="112" t="s">
        <v>765</v>
      </c>
      <c r="Q16" s="112" t="s">
        <v>766</v>
      </c>
      <c r="R16" s="109" t="s">
        <v>24</v>
      </c>
      <c r="S16" s="109"/>
      <c r="T16" s="113" t="s">
        <v>615</v>
      </c>
      <c r="U16" s="109"/>
      <c r="V16" s="113" t="s">
        <v>120</v>
      </c>
      <c r="W16" s="109"/>
      <c r="X16" s="113" t="s">
        <v>615</v>
      </c>
      <c r="Y16" s="109"/>
      <c r="Z16" s="114" t="s">
        <v>615</v>
      </c>
      <c r="AA16" s="115"/>
      <c r="AB16" s="115"/>
      <c r="AC16" s="116"/>
      <c r="AD16" s="109"/>
      <c r="AE16" s="113" t="s">
        <v>615</v>
      </c>
      <c r="AF16" s="110"/>
      <c r="AG16" s="117"/>
      <c r="AH16" s="117"/>
      <c r="AI16" s="109"/>
      <c r="AJ16" s="113" t="s">
        <v>120</v>
      </c>
      <c r="AK16" s="109" t="s">
        <v>123</v>
      </c>
      <c r="AL16" s="109" t="s">
        <v>935</v>
      </c>
      <c r="AM16" s="113"/>
      <c r="AN16" s="109"/>
      <c r="AO16" s="109"/>
      <c r="AP16" s="118"/>
      <c r="AQ16" s="109"/>
      <c r="AR16" s="113"/>
      <c r="AS16" s="109"/>
      <c r="AT16" s="110"/>
      <c r="AU16" s="110"/>
      <c r="AV16" s="110"/>
      <c r="AW16" s="110">
        <v>43494.601051967598</v>
      </c>
      <c r="AX16" s="110"/>
      <c r="AY16" s="110">
        <v>43494.481270370401</v>
      </c>
      <c r="AZ16" s="119">
        <v>43494.610661226798</v>
      </c>
      <c r="BA16" s="1" t="s">
        <v>7684</v>
      </c>
      <c r="BB16">
        <v>130</v>
      </c>
      <c r="BC16">
        <v>60</v>
      </c>
      <c r="BD16">
        <v>3085</v>
      </c>
      <c r="BE16" s="120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0.61066122679767432</v>
      </c>
      <c r="BF16" s="121">
        <f>COUNTIFS(_05preva_view43[Site ID],_05preva_view43[[#This Row],[Site ID]],_05preva_view43[Prevalidation Status],"Under Prevalidation")</f>
        <v>0</v>
      </c>
      <c r="BG16" s="122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" s="123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(SH1131) Application Rev 2.xlsx</v>
      </c>
      <c r="BI16" s="64" t="e">
        <f t="shared" ref="BI16:BI79" ca="1" si="1">FIND("Process &amp; Database\",CELL("filename",$A$1))</f>
        <v>#VALUE!</v>
      </c>
      <c r="BJ16" s="104" t="e">
        <f ca="1">LEFT(CELL("filename",A1),_05preva_view43[[#This Row],[Find Process &amp; Database]]-1)</f>
        <v>#VALUE!</v>
      </c>
      <c r="BK16" s="104" t="e">
        <f ca="1">_05preva_view43[Folder Path1]&amp;"Process &amp; Database\Documentation\Colo Applications"</f>
        <v>#VALUE!</v>
      </c>
      <c r="BL16" s="104" t="e">
        <f ca="1">_05preva_view43[Folder Path2]&amp;"\Colo App "&amp;_05preva_view43[[#This Row],[Operator]]&amp;"\"</f>
        <v>#VALUE!</v>
      </c>
      <c r="BM16" s="63" t="e">
        <f ca="1">_05preva_view43[[#This Row],[Folder Path3]]&amp;_05preva_view43[[#This Row],[File Name]]</f>
        <v>#VALUE!</v>
      </c>
      <c r="BN16" s="104"/>
      <c r="CF16" s="5"/>
      <c r="CG16" s="5"/>
      <c r="CH16" s="3"/>
      <c r="CJ16" s="5"/>
      <c r="CN16" s="3"/>
      <c r="CO16" s="3"/>
      <c r="CP16" s="5"/>
      <c r="CR16" s="3"/>
      <c r="DN16" s="5"/>
      <c r="DP16" s="3"/>
      <c r="EB16" s="7"/>
      <c r="EC16" s="7"/>
      <c r="EF16" s="4"/>
      <c r="EG16" s="4"/>
      <c r="EQ16" s="2"/>
      <c r="ER16" s="2"/>
    </row>
    <row r="17" spans="1:148">
      <c r="A17" s="227">
        <v>3678</v>
      </c>
      <c r="B17" s="228" t="s">
        <v>1000</v>
      </c>
      <c r="C17" s="228" t="s">
        <v>278</v>
      </c>
      <c r="D17" s="228" t="s">
        <v>127</v>
      </c>
      <c r="E17" s="228" t="s">
        <v>4289</v>
      </c>
      <c r="F17" s="228" t="s">
        <v>38</v>
      </c>
      <c r="G17" s="228" t="s">
        <v>1295</v>
      </c>
      <c r="H17" s="228" t="s">
        <v>1285</v>
      </c>
      <c r="I17" s="228" t="s">
        <v>970</v>
      </c>
      <c r="J17" s="228" t="s">
        <v>668</v>
      </c>
      <c r="K17" s="229">
        <v>43494</v>
      </c>
      <c r="L17" s="230"/>
      <c r="M17" s="230"/>
      <c r="N17" s="228"/>
      <c r="O17" s="228" t="s">
        <v>687</v>
      </c>
      <c r="P17" s="231" t="s">
        <v>705</v>
      </c>
      <c r="Q17" s="231" t="s">
        <v>706</v>
      </c>
      <c r="R17" s="228" t="s">
        <v>24</v>
      </c>
      <c r="S17" s="228"/>
      <c r="T17" s="232" t="s">
        <v>615</v>
      </c>
      <c r="U17" s="228"/>
      <c r="V17" s="232" t="s">
        <v>120</v>
      </c>
      <c r="W17" s="228"/>
      <c r="X17" s="232" t="s">
        <v>615</v>
      </c>
      <c r="Y17" s="228"/>
      <c r="Z17" s="233" t="s">
        <v>615</v>
      </c>
      <c r="AA17" s="234"/>
      <c r="AB17" s="234"/>
      <c r="AC17" s="235"/>
      <c r="AD17" s="228"/>
      <c r="AE17" s="232" t="s">
        <v>615</v>
      </c>
      <c r="AF17" s="229"/>
      <c r="AG17" s="236"/>
      <c r="AH17" s="236"/>
      <c r="AI17" s="228"/>
      <c r="AJ17" s="232" t="s">
        <v>120</v>
      </c>
      <c r="AK17" s="228" t="s">
        <v>123</v>
      </c>
      <c r="AL17" s="228" t="s">
        <v>935</v>
      </c>
      <c r="AM17" s="232"/>
      <c r="AN17" s="228"/>
      <c r="AO17" s="228"/>
      <c r="AP17" s="237"/>
      <c r="AQ17" s="228"/>
      <c r="AR17" s="232"/>
      <c r="AS17" s="228"/>
      <c r="AT17" s="229"/>
      <c r="AU17" s="229"/>
      <c r="AV17" s="229"/>
      <c r="AW17" s="229">
        <v>43494.601060648201</v>
      </c>
      <c r="AX17" s="229"/>
      <c r="AY17" s="229">
        <v>43494.481271064797</v>
      </c>
      <c r="AZ17" s="238">
        <v>43494.610662500003</v>
      </c>
      <c r="BA17" s="1" t="s">
        <v>7684</v>
      </c>
      <c r="BB17">
        <v>130</v>
      </c>
      <c r="BC17">
        <v>60</v>
      </c>
      <c r="BD17">
        <v>3124</v>
      </c>
      <c r="BE1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0.61066250000294531</v>
      </c>
      <c r="BF17" s="240">
        <f>COUNTIFS(_05preva_view43[Site ID],_05preva_view43[[#This Row],[Site ID]],_05preva_view43[Prevalidation Status],"Under Prevalidation")</f>
        <v>0</v>
      </c>
      <c r="BG1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(SH1088) Application Rev 1.xlsx</v>
      </c>
      <c r="BI17" s="64" t="e">
        <f t="shared" ca="1" si="1"/>
        <v>#VALUE!</v>
      </c>
      <c r="BJ17" s="104" t="e">
        <f ca="1">LEFT(CELL("filename",A2),_05preva_view43[[#This Row],[Find Process &amp; Database]]-1)</f>
        <v>#VALUE!</v>
      </c>
      <c r="BK17" s="104" t="e">
        <f ca="1">_05preva_view43[Folder Path1]&amp;"Process &amp; Database\Documentation\Colo Applications"</f>
        <v>#VALUE!</v>
      </c>
      <c r="BL17" s="104" t="e">
        <f ca="1">_05preva_view43[Folder Path2]&amp;"\Colo App "&amp;_05preva_view43[[#This Row],[Operator]]&amp;"\"</f>
        <v>#VALUE!</v>
      </c>
      <c r="BM17" s="63" t="e">
        <f ca="1">_05preva_view43[[#This Row],[Folder Path3]]&amp;_05preva_view43[[#This Row],[File Name]]</f>
        <v>#VALUE!</v>
      </c>
      <c r="BN17" s="104"/>
      <c r="CF17" s="5"/>
      <c r="CG17" s="5"/>
      <c r="CH17" s="3"/>
      <c r="CJ17" s="5"/>
      <c r="CN17" s="3"/>
      <c r="CO17" s="3"/>
      <c r="CP17" s="5"/>
      <c r="CR17" s="3"/>
      <c r="DN17" s="5"/>
      <c r="DP17" s="3"/>
      <c r="EB17" s="7"/>
      <c r="EC17" s="7"/>
      <c r="EF17" s="4"/>
      <c r="EG17" s="4"/>
      <c r="EQ17" s="2"/>
      <c r="ER17" s="2"/>
    </row>
    <row r="18" spans="1:148">
      <c r="A18" s="227">
        <v>3670</v>
      </c>
      <c r="B18" s="228" t="s">
        <v>3676</v>
      </c>
      <c r="C18" s="228" t="s">
        <v>278</v>
      </c>
      <c r="D18" s="228" t="s">
        <v>127</v>
      </c>
      <c r="E18" s="228" t="s">
        <v>7685</v>
      </c>
      <c r="F18" s="228" t="s">
        <v>35</v>
      </c>
      <c r="G18" s="228" t="s">
        <v>1292</v>
      </c>
      <c r="H18" s="228" t="s">
        <v>1285</v>
      </c>
      <c r="I18" s="228" t="s">
        <v>790</v>
      </c>
      <c r="J18" s="228" t="s">
        <v>727</v>
      </c>
      <c r="K18" s="229">
        <v>43493</v>
      </c>
      <c r="L18" s="230">
        <v>1.9890000000000001</v>
      </c>
      <c r="M18" s="230">
        <v>3.5489999999999999</v>
      </c>
      <c r="N18" s="228">
        <v>5</v>
      </c>
      <c r="O18" s="228" t="s">
        <v>687</v>
      </c>
      <c r="P18" s="231" t="s">
        <v>292</v>
      </c>
      <c r="Q18" s="231" t="s">
        <v>234</v>
      </c>
      <c r="R18" s="228" t="s">
        <v>24</v>
      </c>
      <c r="S18" s="228"/>
      <c r="T18" s="232" t="s">
        <v>615</v>
      </c>
      <c r="U18" s="228"/>
      <c r="V18" s="232" t="s">
        <v>120</v>
      </c>
      <c r="W18" s="228"/>
      <c r="X18" s="232" t="s">
        <v>120</v>
      </c>
      <c r="Y18" s="228" t="s">
        <v>7686</v>
      </c>
      <c r="Z18" s="233" t="s">
        <v>229</v>
      </c>
      <c r="AA18" s="234" t="s">
        <v>1724</v>
      </c>
      <c r="AB18" s="234" t="s">
        <v>1725</v>
      </c>
      <c r="AC18" s="235" t="s">
        <v>123</v>
      </c>
      <c r="AD18" s="228" t="s">
        <v>7687</v>
      </c>
      <c r="AE18" s="232" t="s">
        <v>120</v>
      </c>
      <c r="AF18" s="229" t="s">
        <v>7688</v>
      </c>
      <c r="AG18" s="236"/>
      <c r="AH18" s="236"/>
      <c r="AI18" s="228" t="s">
        <v>7689</v>
      </c>
      <c r="AJ18" s="232" t="s">
        <v>120</v>
      </c>
      <c r="AK18" s="228" t="s">
        <v>123</v>
      </c>
      <c r="AL18" s="228" t="s">
        <v>935</v>
      </c>
      <c r="AM18" s="232"/>
      <c r="AN18" s="228"/>
      <c r="AO18" s="228"/>
      <c r="AP18" s="237"/>
      <c r="AQ18" s="228"/>
      <c r="AR18" s="232"/>
      <c r="AS18" s="228"/>
      <c r="AT18" s="229">
        <v>43494.617923032398</v>
      </c>
      <c r="AU18" s="229">
        <v>43496.756868171302</v>
      </c>
      <c r="AV18" s="229">
        <v>43495.733928935202</v>
      </c>
      <c r="AW18" s="229">
        <v>43494.617923032398</v>
      </c>
      <c r="AX18" s="229"/>
      <c r="AY18" s="229">
        <v>43493.670273148098</v>
      </c>
      <c r="AZ18" s="238">
        <v>43497.421374884303</v>
      </c>
      <c r="BA18" s="1" t="s">
        <v>7684</v>
      </c>
      <c r="BB18">
        <v>130</v>
      </c>
      <c r="BC18">
        <v>32</v>
      </c>
      <c r="BD18">
        <v>3430</v>
      </c>
      <c r="BE1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4.4213748843030771</v>
      </c>
      <c r="BF18" s="240">
        <f>COUNTIFS(_05preva_view43[Site ID],_05preva_view43[[#This Row],[Site ID]],_05preva_view43[Prevalidation Status],"Under Prevalidation")</f>
        <v>0</v>
      </c>
      <c r="BG1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1-01-01010-009 (KCN00369) Application Rev 3.xlsx</v>
      </c>
      <c r="BI18" s="64" t="e">
        <f t="shared" ca="1" si="1"/>
        <v>#VALUE!</v>
      </c>
      <c r="BJ18" s="104" t="e">
        <f ca="1">LEFT(CELL("filename",A3),_05preva_view43[[#This Row],[Find Process &amp; Database]]-1)</f>
        <v>#VALUE!</v>
      </c>
      <c r="BK18" s="104" t="e">
        <f ca="1">_05preva_view43[Folder Path1]&amp;"Process &amp; Database\Documentation\Colo Applications"</f>
        <v>#VALUE!</v>
      </c>
      <c r="BL18" s="104" t="e">
        <f ca="1">_05preva_view43[Folder Path2]&amp;"\Colo App "&amp;_05preva_view43[[#This Row],[Operator]]&amp;"\"</f>
        <v>#VALUE!</v>
      </c>
      <c r="BM18" s="63" t="e">
        <f ca="1">_05preva_view43[[#This Row],[Folder Path3]]&amp;_05preva_view43[[#This Row],[File Name]]</f>
        <v>#VALUE!</v>
      </c>
      <c r="BN18" s="104"/>
      <c r="CF18" s="5"/>
      <c r="CG18" s="5"/>
      <c r="CH18" s="3"/>
      <c r="CJ18" s="5"/>
      <c r="CN18" s="3"/>
      <c r="CO18" s="3"/>
      <c r="CP18" s="5"/>
      <c r="CR18" s="3"/>
      <c r="DN18" s="5"/>
      <c r="DP18" s="3"/>
      <c r="EB18" s="7"/>
      <c r="EC18" s="7"/>
      <c r="EF18" s="4"/>
      <c r="EG18" s="4"/>
      <c r="EQ18" s="2"/>
      <c r="ER18" s="2"/>
    </row>
    <row r="19" spans="1:148">
      <c r="A19" s="227">
        <v>3663</v>
      </c>
      <c r="B19" s="228" t="s">
        <v>5939</v>
      </c>
      <c r="C19" s="228" t="s">
        <v>116</v>
      </c>
      <c r="D19" s="228" t="s">
        <v>117</v>
      </c>
      <c r="E19" s="228" t="s">
        <v>7668</v>
      </c>
      <c r="F19" s="228" t="s">
        <v>35</v>
      </c>
      <c r="G19" s="228" t="s">
        <v>1287</v>
      </c>
      <c r="H19" s="228" t="s">
        <v>1285</v>
      </c>
      <c r="I19" s="228" t="s">
        <v>790</v>
      </c>
      <c r="J19" s="228" t="s">
        <v>686</v>
      </c>
      <c r="K19" s="229">
        <v>43490</v>
      </c>
      <c r="L19" s="230">
        <v>1.9890000000000001</v>
      </c>
      <c r="M19" s="230">
        <v>3.5489999999999999</v>
      </c>
      <c r="N19" s="228">
        <v>6</v>
      </c>
      <c r="O19" s="228" t="s">
        <v>119</v>
      </c>
      <c r="P19" s="231" t="s">
        <v>695</v>
      </c>
      <c r="Q19" s="231" t="s">
        <v>696</v>
      </c>
      <c r="R19" s="228" t="s">
        <v>24</v>
      </c>
      <c r="S19" s="228"/>
      <c r="T19" s="232" t="s">
        <v>615</v>
      </c>
      <c r="U19" s="228"/>
      <c r="V19" s="232" t="s">
        <v>120</v>
      </c>
      <c r="W19" s="228"/>
      <c r="X19" s="232" t="s">
        <v>120</v>
      </c>
      <c r="Y19" s="228" t="s">
        <v>7669</v>
      </c>
      <c r="Z19" s="233" t="s">
        <v>120</v>
      </c>
      <c r="AA19" s="234" t="s">
        <v>1724</v>
      </c>
      <c r="AB19" s="234" t="s">
        <v>1725</v>
      </c>
      <c r="AC19" s="235" t="s">
        <v>123</v>
      </c>
      <c r="AD19" s="228" t="s">
        <v>7670</v>
      </c>
      <c r="AE19" s="232" t="s">
        <v>120</v>
      </c>
      <c r="AF19" s="229"/>
      <c r="AG19" s="236"/>
      <c r="AH19" s="236"/>
      <c r="AI19" s="228"/>
      <c r="AJ19" s="232" t="s">
        <v>120</v>
      </c>
      <c r="AK19" s="228" t="s">
        <v>123</v>
      </c>
      <c r="AL19" s="228" t="s">
        <v>935</v>
      </c>
      <c r="AM19" s="232"/>
      <c r="AN19" s="228"/>
      <c r="AO19" s="228"/>
      <c r="AP19" s="237"/>
      <c r="AQ19" s="228"/>
      <c r="AR19" s="232"/>
      <c r="AS19" s="228"/>
      <c r="AT19" s="229">
        <v>43493.387814930597</v>
      </c>
      <c r="AU19" s="229">
        <v>43493.390372222202</v>
      </c>
      <c r="AV19" s="229">
        <v>43494.665626620401</v>
      </c>
      <c r="AW19" s="229">
        <v>43494.617911342597</v>
      </c>
      <c r="AX19" s="229"/>
      <c r="AY19" s="229">
        <v>43490.680298263898</v>
      </c>
      <c r="AZ19" s="238">
        <v>43494.703250231498</v>
      </c>
      <c r="BA19" s="1" t="s">
        <v>7684</v>
      </c>
      <c r="BB19"/>
      <c r="BC19">
        <v>60</v>
      </c>
      <c r="BD19">
        <v>1146</v>
      </c>
      <c r="BE1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4.7032502314978046</v>
      </c>
      <c r="BF19" s="240">
        <f>COUNTIFS(_05preva_view43[Site ID],_05preva_view43[[#This Row],[Site ID]],_05preva_view43[Prevalidation Status],"Under Prevalidation")</f>
        <v>0</v>
      </c>
      <c r="BG1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" s="242" t="str">
        <f>CONCATENATE(_05preva_view43[[#This Row],[Site ID]]," (",_05preva_view43[[#This Row],[tenant id]],") Application",IF(_05preva_view43[[#This Row],[Colo Rev]]&gt;0," Rev "&amp;_05preva_view43[[#This Row],[Colo Rev]],""),".xlsx")</f>
        <v>ANMG_0056 (MGW00405) Application Rev 2.xlsx</v>
      </c>
      <c r="BI19" s="64" t="e">
        <f t="shared" ca="1" si="1"/>
        <v>#VALUE!</v>
      </c>
      <c r="BJ19" s="104" t="e">
        <f ca="1">LEFT(CELL("filename",A4),_05preva_view43[[#This Row],[Find Process &amp; Database]]-1)</f>
        <v>#VALUE!</v>
      </c>
      <c r="BK19" s="104" t="e">
        <f ca="1">_05preva_view43[Folder Path1]&amp;"Process &amp; Database\Documentation\Colo Applications"</f>
        <v>#VALUE!</v>
      </c>
      <c r="BL19" s="104" t="e">
        <f ca="1">_05preva_view43[Folder Path2]&amp;"\Colo App "&amp;_05preva_view43[[#This Row],[Operator]]&amp;"\"</f>
        <v>#VALUE!</v>
      </c>
      <c r="BM19" s="63" t="e">
        <f ca="1">_05preva_view43[[#This Row],[Folder Path3]]&amp;_05preva_view43[[#This Row],[File Name]]</f>
        <v>#VALUE!</v>
      </c>
      <c r="BN19" s="104"/>
      <c r="CF19" s="5"/>
      <c r="CG19" s="5"/>
      <c r="CH19" s="3"/>
      <c r="CJ19" s="5"/>
      <c r="CN19" s="3"/>
      <c r="CO19" s="3"/>
      <c r="CP19" s="5"/>
      <c r="CR19" s="3"/>
      <c r="DN19" s="5"/>
      <c r="DP19" s="3"/>
      <c r="EB19" s="7"/>
      <c r="EC19" s="7"/>
      <c r="EF19" s="4"/>
      <c r="EG19" s="4"/>
      <c r="EQ19" s="2"/>
      <c r="ER19" s="2"/>
    </row>
    <row r="20" spans="1:148">
      <c r="A20" s="227">
        <v>3650</v>
      </c>
      <c r="B20" s="228" t="s">
        <v>1744</v>
      </c>
      <c r="C20" s="228" t="s">
        <v>278</v>
      </c>
      <c r="D20" s="228" t="s">
        <v>117</v>
      </c>
      <c r="E20" s="228" t="s">
        <v>1745</v>
      </c>
      <c r="F20" s="228" t="s">
        <v>38</v>
      </c>
      <c r="G20" s="228" t="s">
        <v>1295</v>
      </c>
      <c r="H20" s="228" t="s">
        <v>1285</v>
      </c>
      <c r="I20" s="228" t="s">
        <v>1227</v>
      </c>
      <c r="J20" s="228" t="s">
        <v>727</v>
      </c>
      <c r="K20" s="229">
        <v>43489</v>
      </c>
      <c r="L20" s="230"/>
      <c r="M20" s="230"/>
      <c r="N20" s="228">
        <v>7.11</v>
      </c>
      <c r="O20" s="228" t="s">
        <v>687</v>
      </c>
      <c r="P20" s="231" t="s">
        <v>695</v>
      </c>
      <c r="Q20" s="231" t="s">
        <v>696</v>
      </c>
      <c r="R20" s="228" t="s">
        <v>24</v>
      </c>
      <c r="S20" s="228"/>
      <c r="T20" s="232" t="s">
        <v>615</v>
      </c>
      <c r="U20" s="228"/>
      <c r="V20" s="232" t="s">
        <v>615</v>
      </c>
      <c r="W20" s="228"/>
      <c r="X20" s="232" t="s">
        <v>120</v>
      </c>
      <c r="Y20" s="228" t="s">
        <v>1746</v>
      </c>
      <c r="Z20" s="233" t="s">
        <v>120</v>
      </c>
      <c r="AA20" s="234" t="s">
        <v>1724</v>
      </c>
      <c r="AB20" s="234" t="s">
        <v>1725</v>
      </c>
      <c r="AC20" s="235" t="s">
        <v>123</v>
      </c>
      <c r="AD20" s="228" t="s">
        <v>1747</v>
      </c>
      <c r="AE20" s="232" t="s">
        <v>615</v>
      </c>
      <c r="AF20" s="229"/>
      <c r="AG20" s="236"/>
      <c r="AH20" s="236"/>
      <c r="AI20" s="228"/>
      <c r="AJ20" s="232" t="s">
        <v>120</v>
      </c>
      <c r="AK20" s="228" t="s">
        <v>123</v>
      </c>
      <c r="AL20" s="228" t="s">
        <v>935</v>
      </c>
      <c r="AM20" s="232"/>
      <c r="AN20" s="228"/>
      <c r="AO20" s="228"/>
      <c r="AP20" s="237"/>
      <c r="AQ20" s="228"/>
      <c r="AR20" s="232"/>
      <c r="AS20" s="228"/>
      <c r="AT20" s="229">
        <v>43489.494934722199</v>
      </c>
      <c r="AU20" s="229"/>
      <c r="AV20" s="229">
        <v>43490.451861574104</v>
      </c>
      <c r="AW20" s="229">
        <v>43489.494934722199</v>
      </c>
      <c r="AX20" s="229"/>
      <c r="AY20" s="229"/>
      <c r="AZ20" s="238">
        <v>43490.4564209491</v>
      </c>
      <c r="BA20" s="1" t="s">
        <v>7684</v>
      </c>
      <c r="BB20">
        <v>130</v>
      </c>
      <c r="BC20">
        <v>60</v>
      </c>
      <c r="BD20">
        <v>3010</v>
      </c>
      <c r="BE2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1.4564209490999929</v>
      </c>
      <c r="BF20" s="240">
        <f>COUNTIFS(_05preva_view43[Site ID],_05preva_view43[[#This Row],[Site ID]],_05preva_view43[Prevalidation Status],"Under Prevalidation")</f>
        <v>0</v>
      </c>
      <c r="BG2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" s="242" t="str">
        <f>CONCATENATE(_05preva_view43[[#This Row],[Site ID]]," (",_05preva_view43[[#This Row],[tenant id]],") Application",IF(_05preva_view43[[#This Row],[Colo Rev]]&gt;0," Rev "&amp;_05preva_view43[[#This Row],[Colo Rev]],""),".xlsx")</f>
        <v>1-01-09016-007 (MG0458) Application Rev 3.xlsx</v>
      </c>
      <c r="BI20" s="64" t="e">
        <f t="shared" ca="1" si="1"/>
        <v>#VALUE!</v>
      </c>
      <c r="BJ20" s="104" t="e">
        <f ca="1">LEFT(CELL("filename",A5),_05preva_view43[[#This Row],[Find Process &amp; Database]]-1)</f>
        <v>#VALUE!</v>
      </c>
      <c r="BK20" s="104" t="e">
        <f ca="1">_05preva_view43[Folder Path1]&amp;"Process &amp; Database\Documentation\Colo Applications"</f>
        <v>#VALUE!</v>
      </c>
      <c r="BL20" s="104" t="e">
        <f ca="1">_05preva_view43[Folder Path2]&amp;"\Colo App "&amp;_05preva_view43[[#This Row],[Operator]]&amp;"\"</f>
        <v>#VALUE!</v>
      </c>
      <c r="BM20" s="63" t="e">
        <f ca="1">_05preva_view43[[#This Row],[Folder Path3]]&amp;_05preva_view43[[#This Row],[File Name]]</f>
        <v>#VALUE!</v>
      </c>
      <c r="BN20" s="104"/>
      <c r="CF20" s="5"/>
      <c r="CG20" s="5"/>
      <c r="CH20" s="3"/>
      <c r="CJ20" s="5"/>
      <c r="CN20" s="3"/>
      <c r="CO20" s="3"/>
      <c r="CP20" s="5"/>
      <c r="CR20" s="3"/>
      <c r="DN20" s="5"/>
      <c r="DP20" s="3"/>
      <c r="EB20" s="7"/>
      <c r="EC20" s="7"/>
      <c r="EF20" s="4"/>
      <c r="EG20" s="4"/>
      <c r="EQ20" s="2"/>
      <c r="ER20" s="2"/>
    </row>
    <row r="21" spans="1:148">
      <c r="A21" s="227">
        <v>3651</v>
      </c>
      <c r="B21" s="228" t="s">
        <v>6519</v>
      </c>
      <c r="C21" s="228" t="s">
        <v>116</v>
      </c>
      <c r="D21" s="228" t="s">
        <v>127</v>
      </c>
      <c r="E21" s="228" t="s">
        <v>6604</v>
      </c>
      <c r="F21" s="228" t="s">
        <v>35</v>
      </c>
      <c r="G21" s="228" t="s">
        <v>1287</v>
      </c>
      <c r="H21" s="228" t="s">
        <v>1285</v>
      </c>
      <c r="I21" s="228" t="s">
        <v>7656</v>
      </c>
      <c r="J21" s="228" t="s">
        <v>686</v>
      </c>
      <c r="K21" s="229">
        <v>43489</v>
      </c>
      <c r="L21" s="230">
        <v>2.75</v>
      </c>
      <c r="M21" s="230">
        <v>3.9279999999999999</v>
      </c>
      <c r="N21" s="228">
        <v>6</v>
      </c>
      <c r="O21" s="228" t="s">
        <v>119</v>
      </c>
      <c r="P21" s="231" t="s">
        <v>7657</v>
      </c>
      <c r="Q21" s="231" t="s">
        <v>7658</v>
      </c>
      <c r="R21" s="228" t="s">
        <v>24</v>
      </c>
      <c r="S21" s="228"/>
      <c r="T21" s="232" t="s">
        <v>615</v>
      </c>
      <c r="U21" s="228"/>
      <c r="V21" s="232" t="s">
        <v>120</v>
      </c>
      <c r="W21" s="228"/>
      <c r="X21" s="232" t="s">
        <v>120</v>
      </c>
      <c r="Y21" s="228" t="s">
        <v>7659</v>
      </c>
      <c r="Z21" s="233" t="s">
        <v>120</v>
      </c>
      <c r="AA21" s="234" t="s">
        <v>1724</v>
      </c>
      <c r="AB21" s="234" t="s">
        <v>1725</v>
      </c>
      <c r="AC21" s="235" t="s">
        <v>206</v>
      </c>
      <c r="AD21" s="228" t="s">
        <v>7660</v>
      </c>
      <c r="AE21" s="232" t="s">
        <v>120</v>
      </c>
      <c r="AF21" s="229"/>
      <c r="AG21" s="236"/>
      <c r="AH21" s="236"/>
      <c r="AI21" s="228"/>
      <c r="AJ21" s="232" t="s">
        <v>120</v>
      </c>
      <c r="AK21" s="228" t="s">
        <v>123</v>
      </c>
      <c r="AL21" s="228" t="s">
        <v>935</v>
      </c>
      <c r="AM21" s="232"/>
      <c r="AN21" s="228"/>
      <c r="AO21" s="228"/>
      <c r="AP21" s="237"/>
      <c r="AQ21" s="228"/>
      <c r="AR21" s="232"/>
      <c r="AS21" s="228"/>
      <c r="AT21" s="229">
        <v>43493.3877790509</v>
      </c>
      <c r="AU21" s="229">
        <v>43490.655113078697</v>
      </c>
      <c r="AV21" s="229">
        <v>43494.482370138903</v>
      </c>
      <c r="AW21" s="229">
        <v>43493.3877790509</v>
      </c>
      <c r="AX21" s="229"/>
      <c r="AY21" s="229">
        <v>43489.721243981498</v>
      </c>
      <c r="AZ21" s="238">
        <v>43494.586512037</v>
      </c>
      <c r="BA21" s="1" t="s">
        <v>7684</v>
      </c>
      <c r="BB21">
        <v>160</v>
      </c>
      <c r="BC21">
        <v>35</v>
      </c>
      <c r="BD21">
        <v>1910</v>
      </c>
      <c r="BE2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5.5865120369999204</v>
      </c>
      <c r="BF21" s="240">
        <f>COUNTIFS(_05preva_view43[Site ID],_05preva_view43[[#This Row],[Site ID]],_05preva_view43[Prevalidation Status],"Under Prevalidation")</f>
        <v>0</v>
      </c>
      <c r="BG2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" s="242" t="str">
        <f>CONCATENATE(_05preva_view43[[#This Row],[Site ID]]," (",_05preva_view43[[#This Row],[tenant id]],") Application",IF(_05preva_view43[[#This Row],[Colo Rev]]&gt;0," Rev "&amp;_05preva_view43[[#This Row],[Colo Rev]],""),".xlsx")</f>
        <v>ANMD_0094 (MDY00273) Application Rev 2.xlsx</v>
      </c>
      <c r="BI21" s="64" t="e">
        <f t="shared" ca="1" si="1"/>
        <v>#VALUE!</v>
      </c>
      <c r="BJ21" s="104" t="e">
        <f ca="1">LEFT(CELL("filename",A6),_05preva_view43[[#This Row],[Find Process &amp; Database]]-1)</f>
        <v>#VALUE!</v>
      </c>
      <c r="BK21" s="104" t="e">
        <f ca="1">_05preva_view43[Folder Path1]&amp;"Process &amp; Database\Documentation\Colo Applications"</f>
        <v>#VALUE!</v>
      </c>
      <c r="BL21" s="104" t="e">
        <f ca="1">_05preva_view43[Folder Path2]&amp;"\Colo App "&amp;_05preva_view43[[#This Row],[Operator]]&amp;"\"</f>
        <v>#VALUE!</v>
      </c>
      <c r="BM21" s="63" t="e">
        <f ca="1">_05preva_view43[[#This Row],[Folder Path3]]&amp;_05preva_view43[[#This Row],[File Name]]</f>
        <v>#VALUE!</v>
      </c>
      <c r="BN21" s="104"/>
      <c r="CF21" s="5"/>
      <c r="CG21" s="5"/>
      <c r="CH21" s="3"/>
      <c r="CJ21" s="5"/>
      <c r="CN21" s="3"/>
      <c r="CO21" s="3"/>
      <c r="CP21" s="5"/>
      <c r="CR21" s="3"/>
      <c r="DN21" s="5"/>
      <c r="DP21" s="3"/>
      <c r="EB21" s="7"/>
      <c r="EC21" s="7"/>
      <c r="EF21" s="4"/>
      <c r="EG21" s="4"/>
      <c r="EQ21" s="2"/>
      <c r="ER21" s="2"/>
    </row>
    <row r="22" spans="1:148">
      <c r="A22" s="227">
        <v>3652</v>
      </c>
      <c r="B22" s="228" t="s">
        <v>6568</v>
      </c>
      <c r="C22" s="228" t="s">
        <v>116</v>
      </c>
      <c r="D22" s="228" t="s">
        <v>127</v>
      </c>
      <c r="E22" s="228" t="s">
        <v>6600</v>
      </c>
      <c r="F22" s="228" t="s">
        <v>35</v>
      </c>
      <c r="G22" s="228" t="s">
        <v>1287</v>
      </c>
      <c r="H22" s="228" t="s">
        <v>1285</v>
      </c>
      <c r="I22" s="228" t="s">
        <v>981</v>
      </c>
      <c r="J22" s="228" t="s">
        <v>686</v>
      </c>
      <c r="K22" s="229">
        <v>43489</v>
      </c>
      <c r="L22" s="230">
        <v>1</v>
      </c>
      <c r="M22" s="230">
        <v>1.4</v>
      </c>
      <c r="N22" s="228">
        <v>6</v>
      </c>
      <c r="O22" s="228" t="s">
        <v>119</v>
      </c>
      <c r="P22" s="231" t="s">
        <v>629</v>
      </c>
      <c r="Q22" s="231" t="s">
        <v>652</v>
      </c>
      <c r="R22" s="228" t="s">
        <v>24</v>
      </c>
      <c r="S22" s="228"/>
      <c r="T22" s="232" t="s">
        <v>615</v>
      </c>
      <c r="U22" s="228"/>
      <c r="V22" s="232" t="s">
        <v>120</v>
      </c>
      <c r="W22" s="228"/>
      <c r="X22" s="232" t="s">
        <v>120</v>
      </c>
      <c r="Y22" s="228" t="s">
        <v>7661</v>
      </c>
      <c r="Z22" s="233" t="s">
        <v>120</v>
      </c>
      <c r="AA22" s="234" t="s">
        <v>1724</v>
      </c>
      <c r="AB22" s="234" t="s">
        <v>1725</v>
      </c>
      <c r="AC22" s="235" t="s">
        <v>206</v>
      </c>
      <c r="AD22" s="228" t="s">
        <v>7662</v>
      </c>
      <c r="AE22" s="232" t="s">
        <v>120</v>
      </c>
      <c r="AF22" s="229"/>
      <c r="AG22" s="236"/>
      <c r="AH22" s="236"/>
      <c r="AI22" s="228"/>
      <c r="AJ22" s="232" t="s">
        <v>120</v>
      </c>
      <c r="AK22" s="228" t="s">
        <v>123</v>
      </c>
      <c r="AL22" s="228" t="s">
        <v>935</v>
      </c>
      <c r="AM22" s="232"/>
      <c r="AN22" s="228"/>
      <c r="AO22" s="228"/>
      <c r="AP22" s="237"/>
      <c r="AQ22" s="228"/>
      <c r="AR22" s="232"/>
      <c r="AS22" s="228"/>
      <c r="AT22" s="229">
        <v>43493.387783796301</v>
      </c>
      <c r="AU22" s="229">
        <v>43490.655117824099</v>
      </c>
      <c r="AV22" s="229">
        <v>43494.502849768498</v>
      </c>
      <c r="AW22" s="229">
        <v>43493.387783796301</v>
      </c>
      <c r="AX22" s="229"/>
      <c r="AY22" s="229">
        <v>43489.7212449074</v>
      </c>
      <c r="AZ22" s="238">
        <v>43494.586512731497</v>
      </c>
      <c r="BA22" s="1" t="s">
        <v>7684</v>
      </c>
      <c r="BB22">
        <v>160</v>
      </c>
      <c r="BC22">
        <v>45</v>
      </c>
      <c r="BD22">
        <v>2131</v>
      </c>
      <c r="BE2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5.5865127314973506</v>
      </c>
      <c r="BF22" s="240">
        <f>COUNTIFS(_05preva_view43[Site ID],_05preva_view43[[#This Row],[Site ID]],_05preva_view43[Prevalidation Status],"Under Prevalidation")</f>
        <v>0</v>
      </c>
      <c r="BG2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" s="242" t="str">
        <f>CONCATENATE(_05preva_view43[[#This Row],[Site ID]]," (",_05preva_view43[[#This Row],[tenant id]],") Application",IF(_05preva_view43[[#This Row],[Colo Rev]]&gt;0," Rev "&amp;_05preva_view43[[#This Row],[Colo Rev]],""),".xlsx")</f>
        <v>ANMD_0112 (MDY00594) Application Rev 2.xlsx</v>
      </c>
      <c r="BI22" s="64" t="e">
        <f t="shared" ca="1" si="1"/>
        <v>#VALUE!</v>
      </c>
      <c r="BJ22" s="104" t="e">
        <f ca="1">LEFT(CELL("filename",A7),_05preva_view43[[#This Row],[Find Process &amp; Database]]-1)</f>
        <v>#VALUE!</v>
      </c>
      <c r="BK22" s="104" t="e">
        <f ca="1">_05preva_view43[Folder Path1]&amp;"Process &amp; Database\Documentation\Colo Applications"</f>
        <v>#VALUE!</v>
      </c>
      <c r="BL22" s="104" t="e">
        <f ca="1">_05preva_view43[Folder Path2]&amp;"\Colo App "&amp;_05preva_view43[[#This Row],[Operator]]&amp;"\"</f>
        <v>#VALUE!</v>
      </c>
      <c r="BM22" s="63" t="e">
        <f ca="1">_05preva_view43[[#This Row],[Folder Path3]]&amp;_05preva_view43[[#This Row],[File Name]]</f>
        <v>#VALUE!</v>
      </c>
      <c r="BN22" s="104"/>
      <c r="CF22" s="5"/>
      <c r="CG22" s="5"/>
      <c r="CH22" s="3"/>
      <c r="CJ22" s="5"/>
      <c r="CN22" s="3"/>
      <c r="CO22" s="3"/>
      <c r="CP22" s="5"/>
      <c r="CR22" s="3"/>
      <c r="DN22" s="5"/>
      <c r="DP22" s="3"/>
      <c r="EB22" s="7"/>
      <c r="EC22" s="7"/>
      <c r="EF22" s="4"/>
      <c r="EG22" s="4"/>
      <c r="EQ22" s="2"/>
      <c r="ER22" s="2"/>
    </row>
    <row r="23" spans="1:148">
      <c r="A23" s="227">
        <v>3653</v>
      </c>
      <c r="B23" s="228" t="s">
        <v>252</v>
      </c>
      <c r="C23" s="228" t="s">
        <v>116</v>
      </c>
      <c r="D23" s="228" t="s">
        <v>127</v>
      </c>
      <c r="E23" s="228" t="s">
        <v>1653</v>
      </c>
      <c r="F23" s="228" t="s">
        <v>35</v>
      </c>
      <c r="G23" s="228" t="s">
        <v>1287</v>
      </c>
      <c r="H23" s="228" t="s">
        <v>1285</v>
      </c>
      <c r="I23" s="228" t="s">
        <v>1006</v>
      </c>
      <c r="J23" s="228" t="s">
        <v>727</v>
      </c>
      <c r="K23" s="229">
        <v>43489</v>
      </c>
      <c r="L23" s="230">
        <v>2.5950000000000002</v>
      </c>
      <c r="M23" s="230">
        <v>3.7069999999999999</v>
      </c>
      <c r="N23" s="228">
        <v>6</v>
      </c>
      <c r="O23" s="228" t="s">
        <v>119</v>
      </c>
      <c r="P23" s="231" t="s">
        <v>246</v>
      </c>
      <c r="Q23" s="231" t="s">
        <v>247</v>
      </c>
      <c r="R23" s="228" t="s">
        <v>24</v>
      </c>
      <c r="S23" s="228"/>
      <c r="T23" s="232" t="s">
        <v>615</v>
      </c>
      <c r="U23" s="228"/>
      <c r="V23" s="232" t="s">
        <v>120</v>
      </c>
      <c r="W23" s="228"/>
      <c r="X23" s="232" t="s">
        <v>120</v>
      </c>
      <c r="Y23" s="228" t="s">
        <v>7663</v>
      </c>
      <c r="Z23" s="233" t="s">
        <v>120</v>
      </c>
      <c r="AA23" s="234" t="s">
        <v>1724</v>
      </c>
      <c r="AB23" s="234" t="s">
        <v>1725</v>
      </c>
      <c r="AC23" s="235" t="s">
        <v>123</v>
      </c>
      <c r="AD23" s="228" t="s">
        <v>1656</v>
      </c>
      <c r="AE23" s="232" t="s">
        <v>120</v>
      </c>
      <c r="AF23" s="229"/>
      <c r="AG23" s="236"/>
      <c r="AH23" s="236"/>
      <c r="AI23" s="228"/>
      <c r="AJ23" s="232" t="s">
        <v>120</v>
      </c>
      <c r="AK23" s="228" t="s">
        <v>123</v>
      </c>
      <c r="AL23" s="228" t="s">
        <v>935</v>
      </c>
      <c r="AM23" s="232"/>
      <c r="AN23" s="228"/>
      <c r="AO23" s="228"/>
      <c r="AP23" s="237"/>
      <c r="AQ23" s="228"/>
      <c r="AR23" s="232"/>
      <c r="AS23" s="228"/>
      <c r="AT23" s="229">
        <v>43493.387786226798</v>
      </c>
      <c r="AU23" s="229">
        <v>43490.655122569398</v>
      </c>
      <c r="AV23" s="229">
        <v>43494.560525347202</v>
      </c>
      <c r="AW23" s="229">
        <v>43493.387786226798</v>
      </c>
      <c r="AX23" s="229"/>
      <c r="AY23" s="229">
        <v>43489.7212462963</v>
      </c>
      <c r="AZ23" s="238">
        <v>43494.586514004601</v>
      </c>
      <c r="BA23" s="1" t="s">
        <v>7690</v>
      </c>
      <c r="BB23"/>
      <c r="BC23">
        <v>30</v>
      </c>
      <c r="BD23">
        <v>564</v>
      </c>
      <c r="BE2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5.5865140046007582</v>
      </c>
      <c r="BF23" s="240">
        <f>COUNTIFS(_05preva_view43[Site ID],_05preva_view43[[#This Row],[Site ID]],_05preva_view43[Prevalidation Status],"Under Prevalidation")</f>
        <v>0</v>
      </c>
      <c r="BG2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" s="242" t="str">
        <f>CONCATENATE(_05preva_view43[[#This Row],[Site ID]]," (",_05preva_view43[[#This Row],[tenant id]],") Application",IF(_05preva_view43[[#This Row],[Colo Rev]]&gt;0," Rev "&amp;_05preva_view43[[#This Row],[Colo Rev]],""),".xlsx")</f>
        <v>ANSH_0034 (SHN00207) Application Rev 3.xlsx</v>
      </c>
      <c r="BI23" s="64" t="e">
        <f t="shared" ca="1" si="1"/>
        <v>#VALUE!</v>
      </c>
      <c r="BJ23" s="104" t="e">
        <f ca="1">LEFT(CELL("filename",A8),_05preva_view43[[#This Row],[Find Process &amp; Database]]-1)</f>
        <v>#VALUE!</v>
      </c>
      <c r="BK23" s="104" t="e">
        <f ca="1">_05preva_view43[Folder Path1]&amp;"Process &amp; Database\Documentation\Colo Applications"</f>
        <v>#VALUE!</v>
      </c>
      <c r="BL23" s="104" t="e">
        <f ca="1">_05preva_view43[Folder Path2]&amp;"\Colo App "&amp;_05preva_view43[[#This Row],[Operator]]&amp;"\"</f>
        <v>#VALUE!</v>
      </c>
      <c r="BM23" s="63" t="e">
        <f ca="1">_05preva_view43[[#This Row],[Folder Path3]]&amp;_05preva_view43[[#This Row],[File Name]]</f>
        <v>#VALUE!</v>
      </c>
      <c r="BN23" s="104"/>
      <c r="CF23" s="5"/>
      <c r="CG23" s="5"/>
      <c r="CH23" s="3"/>
      <c r="CJ23" s="5"/>
      <c r="CN23" s="3"/>
      <c r="CO23" s="3"/>
      <c r="CP23" s="5"/>
      <c r="CR23" s="3"/>
      <c r="DN23" s="5"/>
      <c r="DP23" s="3"/>
      <c r="EB23" s="7"/>
      <c r="EC23" s="7"/>
      <c r="EF23" s="4"/>
      <c r="EG23" s="4"/>
      <c r="EQ23" s="2"/>
      <c r="ER23" s="2"/>
    </row>
    <row r="24" spans="1:148">
      <c r="A24" s="227">
        <v>3654</v>
      </c>
      <c r="B24" s="228" t="s">
        <v>3048</v>
      </c>
      <c r="C24" s="228" t="s">
        <v>278</v>
      </c>
      <c r="D24" s="228" t="s">
        <v>127</v>
      </c>
      <c r="E24" s="228" t="s">
        <v>4285</v>
      </c>
      <c r="F24" s="228" t="s">
        <v>35</v>
      </c>
      <c r="G24" s="228" t="s">
        <v>1292</v>
      </c>
      <c r="H24" s="228" t="s">
        <v>1285</v>
      </c>
      <c r="I24" s="228" t="s">
        <v>785</v>
      </c>
      <c r="J24" s="228" t="s">
        <v>686</v>
      </c>
      <c r="K24" s="229">
        <v>43489</v>
      </c>
      <c r="L24" s="230">
        <v>3.548</v>
      </c>
      <c r="M24" s="230">
        <v>5.5259999999999998</v>
      </c>
      <c r="N24" s="228">
        <v>5</v>
      </c>
      <c r="O24" s="228" t="s">
        <v>687</v>
      </c>
      <c r="P24" s="231" t="s">
        <v>247</v>
      </c>
      <c r="Q24" s="231" t="s">
        <v>227</v>
      </c>
      <c r="R24" s="228" t="s">
        <v>24</v>
      </c>
      <c r="S24" s="228"/>
      <c r="T24" s="232" t="s">
        <v>615</v>
      </c>
      <c r="U24" s="228"/>
      <c r="V24" s="232" t="s">
        <v>120</v>
      </c>
      <c r="W24" s="228"/>
      <c r="X24" s="232" t="s">
        <v>120</v>
      </c>
      <c r="Y24" s="228" t="s">
        <v>7664</v>
      </c>
      <c r="Z24" s="233" t="s">
        <v>120</v>
      </c>
      <c r="AA24" s="234" t="s">
        <v>1724</v>
      </c>
      <c r="AB24" s="234" t="s">
        <v>1725</v>
      </c>
      <c r="AC24" s="235" t="s">
        <v>123</v>
      </c>
      <c r="AD24" s="228" t="s">
        <v>7665</v>
      </c>
      <c r="AE24" s="232" t="s">
        <v>120</v>
      </c>
      <c r="AF24" s="229" t="s">
        <v>7666</v>
      </c>
      <c r="AG24" s="236"/>
      <c r="AH24" s="236"/>
      <c r="AI24" s="228" t="s">
        <v>7667</v>
      </c>
      <c r="AJ24" s="232" t="s">
        <v>120</v>
      </c>
      <c r="AK24" s="228" t="s">
        <v>123</v>
      </c>
      <c r="AL24" s="228" t="s">
        <v>935</v>
      </c>
      <c r="AM24" s="232"/>
      <c r="AN24" s="228"/>
      <c r="AO24" s="228"/>
      <c r="AP24" s="237"/>
      <c r="AQ24" s="228"/>
      <c r="AR24" s="232"/>
      <c r="AS24" s="228"/>
      <c r="AT24" s="229">
        <v>43493.387788888896</v>
      </c>
      <c r="AU24" s="229">
        <v>43490.655125231497</v>
      </c>
      <c r="AV24" s="229"/>
      <c r="AW24" s="229">
        <v>43493.387788888896</v>
      </c>
      <c r="AX24" s="229"/>
      <c r="AY24" s="229">
        <v>43489.8745627315</v>
      </c>
      <c r="AZ24" s="238">
        <v>43494.586515277799</v>
      </c>
      <c r="BA24" s="1" t="s">
        <v>7684</v>
      </c>
      <c r="BB24">
        <v>130</v>
      </c>
      <c r="BC24">
        <v>37</v>
      </c>
      <c r="BD24">
        <v>3094</v>
      </c>
      <c r="BE2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5.5865152777987532</v>
      </c>
      <c r="BF24" s="240">
        <f>COUNTIFS(_05preva_view43[Site ID],_05preva_view43[[#This Row],[Site ID]],_05preva_view43[Prevalidation Status],"Under Prevalidation")</f>
        <v>0</v>
      </c>
      <c r="BG2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1-01-01001-002 (KCN00109) Application Rev 2.xlsx</v>
      </c>
      <c r="BI24" s="64" t="e">
        <f t="shared" ca="1" si="1"/>
        <v>#VALUE!</v>
      </c>
      <c r="BJ24" s="104" t="e">
        <f ca="1">LEFT(CELL("filename",A9),_05preva_view43[[#This Row],[Find Process &amp; Database]]-1)</f>
        <v>#VALUE!</v>
      </c>
      <c r="BK24" s="104" t="e">
        <f ca="1">_05preva_view43[Folder Path1]&amp;"Process &amp; Database\Documentation\Colo Applications"</f>
        <v>#VALUE!</v>
      </c>
      <c r="BL24" s="104" t="e">
        <f ca="1">_05preva_view43[Folder Path2]&amp;"\Colo App "&amp;_05preva_view43[[#This Row],[Operator]]&amp;"\"</f>
        <v>#VALUE!</v>
      </c>
      <c r="BM24" s="63" t="e">
        <f ca="1">_05preva_view43[[#This Row],[Folder Path3]]&amp;_05preva_view43[[#This Row],[File Name]]</f>
        <v>#VALUE!</v>
      </c>
      <c r="BN24" s="104"/>
      <c r="CF24" s="5"/>
      <c r="CG24" s="5"/>
      <c r="CH24" s="3"/>
      <c r="CJ24" s="5"/>
      <c r="CN24" s="3"/>
      <c r="CO24" s="3"/>
      <c r="CP24" s="5"/>
      <c r="CR24" s="3"/>
      <c r="DN24" s="5"/>
      <c r="DP24" s="3"/>
      <c r="EB24" s="7"/>
      <c r="EC24" s="7"/>
      <c r="EF24" s="4"/>
      <c r="EG24" s="4"/>
      <c r="EQ24" s="2"/>
      <c r="ER24" s="2"/>
    </row>
    <row r="25" spans="1:148">
      <c r="A25" s="227">
        <v>3656</v>
      </c>
      <c r="B25" s="228" t="s">
        <v>3342</v>
      </c>
      <c r="C25" s="228" t="s">
        <v>278</v>
      </c>
      <c r="D25" s="228" t="s">
        <v>127</v>
      </c>
      <c r="E25" s="228" t="s">
        <v>7671</v>
      </c>
      <c r="F25" s="228" t="s">
        <v>35</v>
      </c>
      <c r="G25" s="228" t="s">
        <v>1292</v>
      </c>
      <c r="H25" s="228" t="s">
        <v>1285</v>
      </c>
      <c r="I25" s="228" t="s">
        <v>981</v>
      </c>
      <c r="J25" s="228" t="s">
        <v>668</v>
      </c>
      <c r="K25" s="229">
        <v>43489</v>
      </c>
      <c r="L25" s="230">
        <v>1</v>
      </c>
      <c r="M25" s="230">
        <v>1.4</v>
      </c>
      <c r="N25" s="228">
        <v>5</v>
      </c>
      <c r="O25" s="228" t="s">
        <v>687</v>
      </c>
      <c r="P25" s="231" t="s">
        <v>647</v>
      </c>
      <c r="Q25" s="231" t="s">
        <v>508</v>
      </c>
      <c r="R25" s="228" t="s">
        <v>24</v>
      </c>
      <c r="S25" s="228"/>
      <c r="T25" s="232" t="s">
        <v>615</v>
      </c>
      <c r="U25" s="228"/>
      <c r="V25" s="232" t="s">
        <v>120</v>
      </c>
      <c r="W25" s="228"/>
      <c r="X25" s="232" t="s">
        <v>120</v>
      </c>
      <c r="Y25" s="228" t="s">
        <v>7672</v>
      </c>
      <c r="Z25" s="233" t="s">
        <v>120</v>
      </c>
      <c r="AA25" s="234" t="s">
        <v>1724</v>
      </c>
      <c r="AB25" s="234" t="s">
        <v>1725</v>
      </c>
      <c r="AC25" s="235" t="s">
        <v>123</v>
      </c>
      <c r="AD25" s="228" t="s">
        <v>7673</v>
      </c>
      <c r="AE25" s="232" t="s">
        <v>120</v>
      </c>
      <c r="AF25" s="229" t="s">
        <v>7674</v>
      </c>
      <c r="AG25" s="236"/>
      <c r="AH25" s="236"/>
      <c r="AI25" s="228" t="s">
        <v>7675</v>
      </c>
      <c r="AJ25" s="232" t="s">
        <v>120</v>
      </c>
      <c r="AK25" s="228" t="s">
        <v>123</v>
      </c>
      <c r="AL25" s="228" t="s">
        <v>935</v>
      </c>
      <c r="AM25" s="232"/>
      <c r="AN25" s="228"/>
      <c r="AO25" s="228"/>
      <c r="AP25" s="237"/>
      <c r="AQ25" s="228"/>
      <c r="AR25" s="232"/>
      <c r="AS25" s="228"/>
      <c r="AT25" s="229">
        <v>43493.387794328701</v>
      </c>
      <c r="AU25" s="229">
        <v>43493.349567708297</v>
      </c>
      <c r="AV25" s="229"/>
      <c r="AW25" s="229">
        <v>43493.387794328701</v>
      </c>
      <c r="AX25" s="229"/>
      <c r="AY25" s="229">
        <v>43489.874572106499</v>
      </c>
      <c r="AZ25" s="238">
        <v>43494.703245717603</v>
      </c>
      <c r="BA25" s="1" t="s">
        <v>7684</v>
      </c>
      <c r="BB25">
        <v>130</v>
      </c>
      <c r="BC25">
        <v>45</v>
      </c>
      <c r="BD25">
        <v>3253</v>
      </c>
      <c r="BE2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5.7032457176028402</v>
      </c>
      <c r="BF25" s="240">
        <f>COUNTIFS(_05preva_view43[Site ID],_05preva_view43[[#This Row],[Site ID]],_05preva_view43[Prevalidation Status],"Under Prevalidation")</f>
        <v>0</v>
      </c>
      <c r="BG2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" s="242" t="str">
        <f>CONCATENATE(_05preva_view43[[#This Row],[Site ID]]," (",_05preva_view43[[#This Row],[tenant id]],") Application",IF(_05preva_view43[[#This Row],[Colo Rev]]&gt;0," Rev "&amp;_05preva_view43[[#This Row],[Colo Rev]],""),".xlsx")</f>
        <v>1-01-10013-001 (MDY00348) Application Rev 1.xlsx</v>
      </c>
      <c r="BI25" s="64" t="e">
        <f t="shared" ca="1" si="1"/>
        <v>#VALUE!</v>
      </c>
      <c r="BJ25" s="104" t="e">
        <f ca="1">LEFT(CELL("filename",A10),_05preva_view43[[#This Row],[Find Process &amp; Database]]-1)</f>
        <v>#VALUE!</v>
      </c>
      <c r="BK25" s="104" t="e">
        <f ca="1">_05preva_view43[Folder Path1]&amp;"Process &amp; Database\Documentation\Colo Applications"</f>
        <v>#VALUE!</v>
      </c>
      <c r="BL25" s="104" t="e">
        <f ca="1">_05preva_view43[Folder Path2]&amp;"\Colo App "&amp;_05preva_view43[[#This Row],[Operator]]&amp;"\"</f>
        <v>#VALUE!</v>
      </c>
      <c r="BM25" s="63" t="e">
        <f ca="1">_05preva_view43[[#This Row],[Folder Path3]]&amp;_05preva_view43[[#This Row],[File Name]]</f>
        <v>#VALUE!</v>
      </c>
      <c r="BN25" s="104"/>
      <c r="CF25" s="5"/>
      <c r="CG25" s="5"/>
      <c r="CH25" s="3"/>
      <c r="CJ25" s="5"/>
      <c r="CN25" s="3"/>
      <c r="CO25" s="3"/>
      <c r="CP25" s="5"/>
      <c r="CR25" s="3"/>
      <c r="DN25" s="5"/>
      <c r="DP25" s="3"/>
      <c r="EB25" s="7"/>
      <c r="EC25" s="7"/>
      <c r="EF25" s="4"/>
      <c r="EG25" s="4"/>
      <c r="EQ25" s="2"/>
      <c r="ER25" s="2"/>
    </row>
    <row r="26" spans="1:148">
      <c r="A26" s="227">
        <v>3626</v>
      </c>
      <c r="B26" s="228" t="s">
        <v>1548</v>
      </c>
      <c r="C26" s="228" t="s">
        <v>278</v>
      </c>
      <c r="D26" s="228" t="s">
        <v>127</v>
      </c>
      <c r="E26" s="228" t="s">
        <v>1549</v>
      </c>
      <c r="F26" s="228" t="s">
        <v>35</v>
      </c>
      <c r="G26" s="228" t="s">
        <v>1292</v>
      </c>
      <c r="H26" s="228" t="s">
        <v>1285</v>
      </c>
      <c r="I26" s="228" t="s">
        <v>1006</v>
      </c>
      <c r="J26" s="228" t="s">
        <v>727</v>
      </c>
      <c r="K26" s="229">
        <v>43486</v>
      </c>
      <c r="L26" s="230">
        <v>1.399</v>
      </c>
      <c r="M26" s="230">
        <v>2.1989999999999998</v>
      </c>
      <c r="N26" s="228">
        <v>3.25</v>
      </c>
      <c r="O26" s="228" t="s">
        <v>687</v>
      </c>
      <c r="P26" s="231" t="s">
        <v>695</v>
      </c>
      <c r="Q26" s="231" t="s">
        <v>696</v>
      </c>
      <c r="R26" s="228" t="s">
        <v>24</v>
      </c>
      <c r="S26" s="228"/>
      <c r="T26" s="232" t="s">
        <v>615</v>
      </c>
      <c r="U26" s="228"/>
      <c r="V26" s="232" t="s">
        <v>120</v>
      </c>
      <c r="W26" s="228"/>
      <c r="X26" s="232" t="s">
        <v>120</v>
      </c>
      <c r="Y26" s="228" t="s">
        <v>1583</v>
      </c>
      <c r="Z26" s="233" t="s">
        <v>120</v>
      </c>
      <c r="AA26" s="234" t="s">
        <v>1724</v>
      </c>
      <c r="AB26" s="234" t="s">
        <v>1725</v>
      </c>
      <c r="AC26" s="235" t="s">
        <v>123</v>
      </c>
      <c r="AD26" s="228" t="s">
        <v>1726</v>
      </c>
      <c r="AE26" s="232" t="s">
        <v>120</v>
      </c>
      <c r="AF26" s="229" t="s">
        <v>1748</v>
      </c>
      <c r="AG26" s="236"/>
      <c r="AH26" s="236"/>
      <c r="AI26" s="228" t="s">
        <v>1749</v>
      </c>
      <c r="AJ26" s="232" t="s">
        <v>120</v>
      </c>
      <c r="AK26" s="228" t="s">
        <v>123</v>
      </c>
      <c r="AL26" s="228" t="s">
        <v>935</v>
      </c>
      <c r="AM26" s="232"/>
      <c r="AN26" s="228"/>
      <c r="AO26" s="228"/>
      <c r="AP26" s="237"/>
      <c r="AQ26" s="228"/>
      <c r="AR26" s="232"/>
      <c r="AS26" s="228"/>
      <c r="AT26" s="229">
        <v>43487.3767881944</v>
      </c>
      <c r="AU26" s="229">
        <v>43489.664874768503</v>
      </c>
      <c r="AV26" s="229">
        <v>43488.585188078701</v>
      </c>
      <c r="AW26" s="229">
        <v>43487.3767881944</v>
      </c>
      <c r="AX26" s="229"/>
      <c r="AY26" s="229">
        <v>43486.643537615702</v>
      </c>
      <c r="AZ26" s="238">
        <v>43489.677555208298</v>
      </c>
      <c r="BA26" s="1" t="s">
        <v>7684</v>
      </c>
      <c r="BB26">
        <v>130</v>
      </c>
      <c r="BC26">
        <v>60</v>
      </c>
      <c r="BD26">
        <v>2951</v>
      </c>
      <c r="BE2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3.6775552082981449</v>
      </c>
      <c r="BF26" s="240">
        <f>COUNTIFS(_05preva_view43[Site ID],_05preva_view43[[#This Row],[Site ID]],_05preva_view43[Prevalidation Status],"Under Prevalidation")</f>
        <v>0</v>
      </c>
      <c r="BG2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" s="242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3.xlsx</v>
      </c>
      <c r="BI26" s="64" t="e">
        <f t="shared" ca="1" si="1"/>
        <v>#VALUE!</v>
      </c>
      <c r="BJ26" s="104" t="e">
        <f ca="1">LEFT(CELL("filename",A11),_05preva_view43[[#This Row],[Find Process &amp; Database]]-1)</f>
        <v>#VALUE!</v>
      </c>
      <c r="BK26" s="104" t="e">
        <f ca="1">_05preva_view43[Folder Path1]&amp;"Process &amp; Database\Documentation\Colo Applications"</f>
        <v>#VALUE!</v>
      </c>
      <c r="BL26" s="104" t="e">
        <f ca="1">_05preva_view43[Folder Path2]&amp;"\Colo App "&amp;_05preva_view43[[#This Row],[Operator]]&amp;"\"</f>
        <v>#VALUE!</v>
      </c>
      <c r="BM26" s="63" t="e">
        <f ca="1">_05preva_view43[[#This Row],[Folder Path3]]&amp;_05preva_view43[[#This Row],[File Name]]</f>
        <v>#VALUE!</v>
      </c>
      <c r="BN26" s="104"/>
      <c r="CF26" s="5"/>
      <c r="CG26" s="5"/>
      <c r="CH26" s="3"/>
      <c r="CJ26" s="5"/>
      <c r="CN26" s="3"/>
      <c r="CO26" s="3"/>
      <c r="CP26" s="5"/>
      <c r="CR26" s="3"/>
      <c r="DN26" s="5"/>
      <c r="DP26" s="3"/>
      <c r="EB26" s="7"/>
      <c r="EC26" s="7"/>
      <c r="EF26" s="4"/>
      <c r="EG26" s="4"/>
      <c r="EQ26" s="2"/>
      <c r="ER26" s="2"/>
    </row>
    <row r="27" spans="1:148">
      <c r="A27" s="227">
        <v>3627</v>
      </c>
      <c r="B27" s="228" t="s">
        <v>1584</v>
      </c>
      <c r="C27" s="228" t="s">
        <v>278</v>
      </c>
      <c r="D27" s="228" t="s">
        <v>127</v>
      </c>
      <c r="E27" s="228" t="s">
        <v>1585</v>
      </c>
      <c r="F27" s="228" t="s">
        <v>35</v>
      </c>
      <c r="G27" s="228" t="s">
        <v>1292</v>
      </c>
      <c r="H27" s="228" t="s">
        <v>1285</v>
      </c>
      <c r="I27" s="228" t="s">
        <v>1006</v>
      </c>
      <c r="J27" s="228" t="s">
        <v>668</v>
      </c>
      <c r="K27" s="229">
        <v>43486</v>
      </c>
      <c r="L27" s="230">
        <v>1.399</v>
      </c>
      <c r="M27" s="230">
        <v>2.1989999999999998</v>
      </c>
      <c r="N27" s="228">
        <v>5.13</v>
      </c>
      <c r="O27" s="228" t="s">
        <v>687</v>
      </c>
      <c r="P27" s="231" t="s">
        <v>695</v>
      </c>
      <c r="Q27" s="231" t="s">
        <v>696</v>
      </c>
      <c r="R27" s="228" t="s">
        <v>24</v>
      </c>
      <c r="S27" s="228"/>
      <c r="T27" s="232" t="s">
        <v>615</v>
      </c>
      <c r="U27" s="228"/>
      <c r="V27" s="232" t="s">
        <v>120</v>
      </c>
      <c r="W27" s="228"/>
      <c r="X27" s="232" t="s">
        <v>120</v>
      </c>
      <c r="Y27" s="228" t="s">
        <v>1586</v>
      </c>
      <c r="Z27" s="233" t="s">
        <v>120</v>
      </c>
      <c r="AA27" s="234" t="s">
        <v>1724</v>
      </c>
      <c r="AB27" s="234" t="s">
        <v>1725</v>
      </c>
      <c r="AC27" s="235" t="s">
        <v>123</v>
      </c>
      <c r="AD27" s="228" t="s">
        <v>1727</v>
      </c>
      <c r="AE27" s="232" t="s">
        <v>120</v>
      </c>
      <c r="AF27" s="229" t="s">
        <v>1587</v>
      </c>
      <c r="AG27" s="236"/>
      <c r="AH27" s="236"/>
      <c r="AI27" s="228" t="s">
        <v>1588</v>
      </c>
      <c r="AJ27" s="232" t="s">
        <v>120</v>
      </c>
      <c r="AK27" s="228" t="s">
        <v>123</v>
      </c>
      <c r="AL27" s="228" t="s">
        <v>935</v>
      </c>
      <c r="AM27" s="232"/>
      <c r="AN27" s="228"/>
      <c r="AO27" s="228"/>
      <c r="AP27" s="237"/>
      <c r="AQ27" s="228"/>
      <c r="AR27" s="232"/>
      <c r="AS27" s="228"/>
      <c r="AT27" s="229">
        <v>43487.376791666698</v>
      </c>
      <c r="AU27" s="229">
        <v>43486.753532754599</v>
      </c>
      <c r="AV27" s="229">
        <v>43488.650206481499</v>
      </c>
      <c r="AW27" s="229">
        <v>43487.376791666698</v>
      </c>
      <c r="AX27" s="229"/>
      <c r="AY27" s="229">
        <v>43486.643538194403</v>
      </c>
      <c r="AZ27" s="238">
        <v>43488.749118749998</v>
      </c>
      <c r="BA27" s="1" t="s">
        <v>7684</v>
      </c>
      <c r="BB27">
        <v>130</v>
      </c>
      <c r="BC27">
        <v>60</v>
      </c>
      <c r="BD27">
        <v>2950</v>
      </c>
      <c r="BE2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2.7491187499981606</v>
      </c>
      <c r="BF27" s="240">
        <f>COUNTIFS(_05preva_view43[Site ID],_05preva_view43[[#This Row],[Site ID]],_05preva_view43[Prevalidation Status],"Under Prevalidation")</f>
        <v>0</v>
      </c>
      <c r="BG2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" s="242" t="str">
        <f>CONCATENATE(_05preva_view43[[#This Row],[Site ID]]," (",_05preva_view43[[#This Row],[tenant id]],") Application",IF(_05preva_view43[[#This Row],[Colo Rev]]&gt;0," Rev "&amp;_05preva_view43[[#This Row],[Colo Rev]],""),".xlsx")</f>
        <v>1-01-10029-006 (MDY00358) Application Rev 1.xlsx</v>
      </c>
      <c r="BI27" s="64" t="e">
        <f t="shared" ca="1" si="1"/>
        <v>#VALUE!</v>
      </c>
      <c r="BJ27" s="104" t="e">
        <f ca="1">LEFT(CELL("filename",A12),_05preva_view43[[#This Row],[Find Process &amp; Database]]-1)</f>
        <v>#VALUE!</v>
      </c>
      <c r="BK27" s="104" t="e">
        <f ca="1">_05preva_view43[Folder Path1]&amp;"Process &amp; Database\Documentation\Colo Applications"</f>
        <v>#VALUE!</v>
      </c>
      <c r="BL27" s="104" t="e">
        <f ca="1">_05preva_view43[Folder Path2]&amp;"\Colo App "&amp;_05preva_view43[[#This Row],[Operator]]&amp;"\"</f>
        <v>#VALUE!</v>
      </c>
      <c r="BM27" s="63" t="e">
        <f ca="1">_05preva_view43[[#This Row],[Folder Path3]]&amp;_05preva_view43[[#This Row],[File Name]]</f>
        <v>#VALUE!</v>
      </c>
      <c r="BN27" s="104"/>
      <c r="CF27" s="5"/>
      <c r="CG27" s="5"/>
      <c r="CH27" s="3"/>
      <c r="CJ27" s="5"/>
      <c r="CN27" s="3"/>
      <c r="CO27" s="3"/>
      <c r="CP27" s="5"/>
      <c r="CR27" s="3"/>
      <c r="DN27" s="5"/>
      <c r="DP27" s="3"/>
      <c r="EB27" s="7"/>
      <c r="EC27" s="7"/>
      <c r="EF27" s="4"/>
      <c r="EG27" s="4"/>
      <c r="EQ27" s="2"/>
      <c r="ER27" s="2"/>
    </row>
    <row r="28" spans="1:148">
      <c r="A28" s="227">
        <v>3628</v>
      </c>
      <c r="B28" s="228" t="s">
        <v>1589</v>
      </c>
      <c r="C28" s="228" t="s">
        <v>278</v>
      </c>
      <c r="D28" s="228" t="s">
        <v>117</v>
      </c>
      <c r="E28" s="228" t="s">
        <v>1590</v>
      </c>
      <c r="F28" s="228" t="s">
        <v>35</v>
      </c>
      <c r="G28" s="228" t="s">
        <v>1292</v>
      </c>
      <c r="H28" s="228" t="s">
        <v>1285</v>
      </c>
      <c r="I28" s="228" t="s">
        <v>1006</v>
      </c>
      <c r="J28" s="228" t="s">
        <v>668</v>
      </c>
      <c r="K28" s="229">
        <v>43486</v>
      </c>
      <c r="L28" s="230">
        <v>1.399</v>
      </c>
      <c r="M28" s="230">
        <v>2.1989999999999998</v>
      </c>
      <c r="N28" s="228">
        <v>4.3600000000000003</v>
      </c>
      <c r="O28" s="228" t="s">
        <v>687</v>
      </c>
      <c r="P28" s="231" t="s">
        <v>695</v>
      </c>
      <c r="Q28" s="231" t="s">
        <v>696</v>
      </c>
      <c r="R28" s="228" t="s">
        <v>24</v>
      </c>
      <c r="S28" s="228"/>
      <c r="T28" s="232" t="s">
        <v>615</v>
      </c>
      <c r="U28" s="228"/>
      <c r="V28" s="232" t="s">
        <v>120</v>
      </c>
      <c r="W28" s="228" t="s">
        <v>1591</v>
      </c>
      <c r="X28" s="232" t="s">
        <v>120</v>
      </c>
      <c r="Y28" s="228" t="s">
        <v>1592</v>
      </c>
      <c r="Z28" s="233" t="s">
        <v>120</v>
      </c>
      <c r="AA28" s="234" t="s">
        <v>1724</v>
      </c>
      <c r="AB28" s="234" t="s">
        <v>1725</v>
      </c>
      <c r="AC28" s="235" t="s">
        <v>123</v>
      </c>
      <c r="AD28" s="228" t="s">
        <v>1750</v>
      </c>
      <c r="AE28" s="232" t="s">
        <v>120</v>
      </c>
      <c r="AF28" s="229" t="s">
        <v>1587</v>
      </c>
      <c r="AG28" s="236"/>
      <c r="AH28" s="236"/>
      <c r="AI28" s="228" t="s">
        <v>1588</v>
      </c>
      <c r="AJ28" s="232" t="s">
        <v>120</v>
      </c>
      <c r="AK28" s="228" t="s">
        <v>123</v>
      </c>
      <c r="AL28" s="228" t="s">
        <v>935</v>
      </c>
      <c r="AM28" s="232"/>
      <c r="AN28" s="228"/>
      <c r="AO28" s="228"/>
      <c r="AP28" s="237"/>
      <c r="AQ28" s="228"/>
      <c r="AR28" s="232"/>
      <c r="AS28" s="228"/>
      <c r="AT28" s="229">
        <v>43487.376794907403</v>
      </c>
      <c r="AU28" s="229">
        <v>43486.753536574099</v>
      </c>
      <c r="AV28" s="229">
        <v>43488.731594675897</v>
      </c>
      <c r="AW28" s="229">
        <v>43487.376794907403</v>
      </c>
      <c r="AX28" s="229"/>
      <c r="AY28" s="229">
        <v>43486.6435391204</v>
      </c>
      <c r="AZ28" s="238">
        <v>43488.754418865698</v>
      </c>
      <c r="BA28" s="1" t="s">
        <v>7684</v>
      </c>
      <c r="BB28">
        <v>130</v>
      </c>
      <c r="BC28">
        <v>60</v>
      </c>
      <c r="BD28">
        <v>2833</v>
      </c>
      <c r="BE2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2.7544188656975166</v>
      </c>
      <c r="BF28" s="240">
        <f>COUNTIFS(_05preva_view43[Site ID],_05preva_view43[[#This Row],[Site ID]],_05preva_view43[Prevalidation Status],"Under Prevalidation")</f>
        <v>0</v>
      </c>
      <c r="BG2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" s="242" t="str">
        <f>CONCATENATE(_05preva_view43[[#This Row],[Site ID]]," (",_05preva_view43[[#This Row],[tenant id]],") Application",IF(_05preva_view43[[#This Row],[Colo Rev]]&gt;0," Rev "&amp;_05preva_view43[[#This Row],[Colo Rev]],""),".xlsx")</f>
        <v>1-01-09022-002 (MGW00204) Application Rev 1.xlsx</v>
      </c>
      <c r="BI28" s="64" t="e">
        <f t="shared" ca="1" si="1"/>
        <v>#VALUE!</v>
      </c>
      <c r="BJ28" s="104" t="e">
        <f ca="1">LEFT(CELL("filename",A13),_05preva_view43[[#This Row],[Find Process &amp; Database]]-1)</f>
        <v>#VALUE!</v>
      </c>
      <c r="BK28" s="104" t="e">
        <f ca="1">_05preva_view43[Folder Path1]&amp;"Process &amp; Database\Documentation\Colo Applications"</f>
        <v>#VALUE!</v>
      </c>
      <c r="BL28" s="104" t="e">
        <f ca="1">_05preva_view43[Folder Path2]&amp;"\Colo App "&amp;_05preva_view43[[#This Row],[Operator]]&amp;"\"</f>
        <v>#VALUE!</v>
      </c>
      <c r="BM28" s="63" t="e">
        <f ca="1">_05preva_view43[[#This Row],[Folder Path3]]&amp;_05preva_view43[[#This Row],[File Name]]</f>
        <v>#VALUE!</v>
      </c>
      <c r="BN28" s="104"/>
      <c r="CF28" s="5"/>
      <c r="CG28" s="5"/>
      <c r="CH28" s="3"/>
      <c r="CJ28" s="5"/>
      <c r="CN28" s="3"/>
      <c r="CO28" s="3"/>
      <c r="CP28" s="5"/>
      <c r="CR28" s="3"/>
      <c r="DN28" s="5"/>
      <c r="DP28" s="3"/>
      <c r="EB28" s="7"/>
      <c r="EC28" s="7"/>
      <c r="EF28" s="4"/>
      <c r="EG28" s="4"/>
      <c r="EQ28" s="2"/>
      <c r="ER28" s="2"/>
    </row>
    <row r="29" spans="1:148">
      <c r="A29" s="227">
        <v>3629</v>
      </c>
      <c r="B29" s="228" t="s">
        <v>1340</v>
      </c>
      <c r="C29" s="228" t="s">
        <v>278</v>
      </c>
      <c r="D29" s="228" t="s">
        <v>127</v>
      </c>
      <c r="E29" s="228" t="s">
        <v>1341</v>
      </c>
      <c r="F29" s="228" t="s">
        <v>35</v>
      </c>
      <c r="G29" s="228" t="s">
        <v>1292</v>
      </c>
      <c r="H29" s="228" t="s">
        <v>1285</v>
      </c>
      <c r="I29" s="228" t="s">
        <v>1006</v>
      </c>
      <c r="J29" s="228" t="s">
        <v>668</v>
      </c>
      <c r="K29" s="229">
        <v>43486</v>
      </c>
      <c r="L29" s="230">
        <v>1.399</v>
      </c>
      <c r="M29" s="230">
        <v>2.1989999999999998</v>
      </c>
      <c r="N29" s="228">
        <v>3.12</v>
      </c>
      <c r="O29" s="228" t="s">
        <v>687</v>
      </c>
      <c r="P29" s="231" t="s">
        <v>799</v>
      </c>
      <c r="Q29" s="231" t="s">
        <v>695</v>
      </c>
      <c r="R29" s="228" t="s">
        <v>24</v>
      </c>
      <c r="S29" s="228"/>
      <c r="T29" s="232" t="s">
        <v>615</v>
      </c>
      <c r="U29" s="228"/>
      <c r="V29" s="232" t="s">
        <v>120</v>
      </c>
      <c r="W29" s="228"/>
      <c r="X29" s="232" t="s">
        <v>120</v>
      </c>
      <c r="Y29" s="228" t="s">
        <v>1593</v>
      </c>
      <c r="Z29" s="233" t="s">
        <v>120</v>
      </c>
      <c r="AA29" s="234" t="s">
        <v>1724</v>
      </c>
      <c r="AB29" s="234" t="s">
        <v>1725</v>
      </c>
      <c r="AC29" s="235" t="s">
        <v>123</v>
      </c>
      <c r="AD29" s="228" t="s">
        <v>1728</v>
      </c>
      <c r="AE29" s="232" t="s">
        <v>120</v>
      </c>
      <c r="AF29" s="229" t="s">
        <v>1594</v>
      </c>
      <c r="AG29" s="236"/>
      <c r="AH29" s="236"/>
      <c r="AI29" s="228" t="s">
        <v>1588</v>
      </c>
      <c r="AJ29" s="232" t="s">
        <v>120</v>
      </c>
      <c r="AK29" s="228" t="s">
        <v>123</v>
      </c>
      <c r="AL29" s="228" t="s">
        <v>935</v>
      </c>
      <c r="AM29" s="232"/>
      <c r="AN29" s="228"/>
      <c r="AO29" s="228"/>
      <c r="AP29" s="237"/>
      <c r="AQ29" s="228"/>
      <c r="AR29" s="232"/>
      <c r="AS29" s="228"/>
      <c r="AT29" s="229">
        <v>43487.376798495403</v>
      </c>
      <c r="AU29" s="229">
        <v>43486.753538773097</v>
      </c>
      <c r="AV29" s="229">
        <v>43488.5851899306</v>
      </c>
      <c r="AW29" s="229">
        <v>43487.376798495403</v>
      </c>
      <c r="AX29" s="229"/>
      <c r="AY29" s="229">
        <v>43486.643539583303</v>
      </c>
      <c r="AZ29" s="238">
        <v>43488.593204166697</v>
      </c>
      <c r="BA29" s="1" t="s">
        <v>7684</v>
      </c>
      <c r="BB29">
        <v>130</v>
      </c>
      <c r="BC29">
        <v>60</v>
      </c>
      <c r="BD29">
        <v>2948</v>
      </c>
      <c r="BE2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2.5932041666965233</v>
      </c>
      <c r="BF29" s="240">
        <f>COUNTIFS(_05preva_view43[Site ID],_05preva_view43[[#This Row],[Site ID]],_05preva_view43[Prevalidation Status],"Under Prevalidation")</f>
        <v>0</v>
      </c>
      <c r="BG2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1.xlsx</v>
      </c>
      <c r="BI29" s="64" t="e">
        <f t="shared" ca="1" si="1"/>
        <v>#VALUE!</v>
      </c>
      <c r="BJ29" s="104" t="e">
        <f ca="1">LEFT(CELL("filename",A14),_05preva_view43[[#This Row],[Find Process &amp; Database]]-1)</f>
        <v>#VALUE!</v>
      </c>
      <c r="BK29" s="104" t="e">
        <f ca="1">_05preva_view43[Folder Path1]&amp;"Process &amp; Database\Documentation\Colo Applications"</f>
        <v>#VALUE!</v>
      </c>
      <c r="BL29" s="104" t="e">
        <f ca="1">_05preva_view43[Folder Path2]&amp;"\Colo App "&amp;_05preva_view43[[#This Row],[Operator]]&amp;"\"</f>
        <v>#VALUE!</v>
      </c>
      <c r="BM29" s="63" t="e">
        <f ca="1">_05preva_view43[[#This Row],[Folder Path3]]&amp;_05preva_view43[[#This Row],[File Name]]</f>
        <v>#VALUE!</v>
      </c>
      <c r="BN29" s="104"/>
      <c r="CF29" s="5"/>
      <c r="CG29" s="5"/>
      <c r="CH29" s="3"/>
      <c r="CJ29" s="5"/>
      <c r="CN29" s="3"/>
      <c r="CO29" s="3"/>
      <c r="CP29" s="5"/>
      <c r="CR29" s="3"/>
      <c r="DN29" s="5"/>
      <c r="DP29" s="3"/>
      <c r="EB29" s="7"/>
      <c r="EC29" s="7"/>
      <c r="EF29" s="4"/>
      <c r="EG29" s="4"/>
      <c r="EQ29" s="2"/>
      <c r="ER29" s="2"/>
    </row>
    <row r="30" spans="1:148">
      <c r="A30" s="227">
        <v>3630</v>
      </c>
      <c r="B30" s="228" t="s">
        <v>1550</v>
      </c>
      <c r="C30" s="228" t="s">
        <v>278</v>
      </c>
      <c r="D30" s="228" t="s">
        <v>127</v>
      </c>
      <c r="E30" s="228" t="s">
        <v>1551</v>
      </c>
      <c r="F30" s="228" t="s">
        <v>35</v>
      </c>
      <c r="G30" s="228" t="s">
        <v>1292</v>
      </c>
      <c r="H30" s="228" t="s">
        <v>1285</v>
      </c>
      <c r="I30" s="228" t="s">
        <v>1006</v>
      </c>
      <c r="J30" s="228" t="s">
        <v>686</v>
      </c>
      <c r="K30" s="229">
        <v>43486</v>
      </c>
      <c r="L30" s="230">
        <v>1.399</v>
      </c>
      <c r="M30" s="230">
        <v>2.2610000000000001</v>
      </c>
      <c r="N30" s="228">
        <v>4.04</v>
      </c>
      <c r="O30" s="228" t="s">
        <v>687</v>
      </c>
      <c r="P30" s="231" t="s">
        <v>695</v>
      </c>
      <c r="Q30" s="231" t="s">
        <v>696</v>
      </c>
      <c r="R30" s="228" t="s">
        <v>24</v>
      </c>
      <c r="S30" s="228"/>
      <c r="T30" s="232" t="s">
        <v>615</v>
      </c>
      <c r="U30" s="228"/>
      <c r="V30" s="232" t="s">
        <v>120</v>
      </c>
      <c r="W30" s="228"/>
      <c r="X30" s="232" t="s">
        <v>120</v>
      </c>
      <c r="Y30" s="228" t="s">
        <v>1729</v>
      </c>
      <c r="Z30" s="233" t="s">
        <v>120</v>
      </c>
      <c r="AA30" s="234" t="s">
        <v>1724</v>
      </c>
      <c r="AB30" s="234" t="s">
        <v>1725</v>
      </c>
      <c r="AC30" s="235" t="s">
        <v>123</v>
      </c>
      <c r="AD30" s="228" t="s">
        <v>1730</v>
      </c>
      <c r="AE30" s="232" t="s">
        <v>120</v>
      </c>
      <c r="AF30" s="229" t="s">
        <v>1595</v>
      </c>
      <c r="AG30" s="236"/>
      <c r="AH30" s="236"/>
      <c r="AI30" s="228" t="s">
        <v>1596</v>
      </c>
      <c r="AJ30" s="232" t="s">
        <v>120</v>
      </c>
      <c r="AK30" s="228" t="s">
        <v>123</v>
      </c>
      <c r="AL30" s="228" t="s">
        <v>935</v>
      </c>
      <c r="AM30" s="232"/>
      <c r="AN30" s="228"/>
      <c r="AO30" s="228"/>
      <c r="AP30" s="237"/>
      <c r="AQ30" s="228"/>
      <c r="AR30" s="232"/>
      <c r="AS30" s="228"/>
      <c r="AT30" s="229">
        <v>43487.500028935203</v>
      </c>
      <c r="AU30" s="229">
        <v>43486.753542592603</v>
      </c>
      <c r="AV30" s="229">
        <v>43488.585190856502</v>
      </c>
      <c r="AW30" s="229">
        <v>43487.500028935203</v>
      </c>
      <c r="AX30" s="229"/>
      <c r="AY30" s="229">
        <v>43486.643540972203</v>
      </c>
      <c r="AZ30" s="238">
        <v>43488.593205092599</v>
      </c>
      <c r="BA30" s="1" t="s">
        <v>7684</v>
      </c>
      <c r="BB30">
        <v>130</v>
      </c>
      <c r="BC30">
        <v>60</v>
      </c>
      <c r="BD30">
        <v>3566</v>
      </c>
      <c r="BE3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2.5932050925985095</v>
      </c>
      <c r="BF30" s="240">
        <f>COUNTIFS(_05preva_view43[Site ID],_05preva_view43[[#This Row],[Site ID]],_05preva_view43[Prevalidation Status],"Under Prevalidation")</f>
        <v>0</v>
      </c>
      <c r="BG3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2.xlsx</v>
      </c>
      <c r="BI30" s="64" t="e">
        <f t="shared" ca="1" si="1"/>
        <v>#VALUE!</v>
      </c>
      <c r="BJ30" s="104" t="e">
        <f ca="1">LEFT(CELL("filename",A15),_05preva_view43[[#This Row],[Find Process &amp; Database]]-1)</f>
        <v>#VALUE!</v>
      </c>
      <c r="BK30" s="104" t="e">
        <f ca="1">_05preva_view43[Folder Path1]&amp;"Process &amp; Database\Documentation\Colo Applications"</f>
        <v>#VALUE!</v>
      </c>
      <c r="BL30" s="104" t="e">
        <f ca="1">_05preva_view43[Folder Path2]&amp;"\Colo App "&amp;_05preva_view43[[#This Row],[Operator]]&amp;"\"</f>
        <v>#VALUE!</v>
      </c>
      <c r="BM30" s="63" t="e">
        <f ca="1">_05preva_view43[[#This Row],[Folder Path3]]&amp;_05preva_view43[[#This Row],[File Name]]</f>
        <v>#VALUE!</v>
      </c>
      <c r="BN30" s="104"/>
      <c r="CF30" s="5"/>
      <c r="CG30" s="5"/>
      <c r="CH30" s="3"/>
      <c r="CJ30" s="5"/>
      <c r="CN30" s="3"/>
      <c r="CO30" s="3"/>
      <c r="CP30" s="5"/>
      <c r="CR30" s="3"/>
      <c r="DN30" s="5"/>
      <c r="DP30" s="3"/>
      <c r="EB30" s="7"/>
      <c r="EC30" s="7"/>
      <c r="EF30" s="4"/>
      <c r="EG30" s="4"/>
      <c r="EQ30" s="2"/>
      <c r="ER30" s="2"/>
    </row>
    <row r="31" spans="1:148">
      <c r="A31" s="227">
        <v>3631</v>
      </c>
      <c r="B31" s="228" t="s">
        <v>1597</v>
      </c>
      <c r="C31" s="228" t="s">
        <v>278</v>
      </c>
      <c r="D31" s="228" t="s">
        <v>127</v>
      </c>
      <c r="E31" s="228" t="s">
        <v>1598</v>
      </c>
      <c r="F31" s="228" t="s">
        <v>35</v>
      </c>
      <c r="G31" s="228" t="s">
        <v>1292</v>
      </c>
      <c r="H31" s="228" t="s">
        <v>1285</v>
      </c>
      <c r="I31" s="228" t="s">
        <v>1006</v>
      </c>
      <c r="J31" s="228" t="s">
        <v>727</v>
      </c>
      <c r="K31" s="229">
        <v>43486</v>
      </c>
      <c r="L31" s="230">
        <v>1.399</v>
      </c>
      <c r="M31" s="230">
        <v>2.2610000000000001</v>
      </c>
      <c r="N31" s="228">
        <v>6.63</v>
      </c>
      <c r="O31" s="228" t="s">
        <v>687</v>
      </c>
      <c r="P31" s="231" t="s">
        <v>695</v>
      </c>
      <c r="Q31" s="231" t="s">
        <v>696</v>
      </c>
      <c r="R31" s="228" t="s">
        <v>24</v>
      </c>
      <c r="S31" s="228"/>
      <c r="T31" s="232" t="s">
        <v>615</v>
      </c>
      <c r="U31" s="228"/>
      <c r="V31" s="232" t="s">
        <v>120</v>
      </c>
      <c r="W31" s="228"/>
      <c r="X31" s="232" t="s">
        <v>120</v>
      </c>
      <c r="Y31" s="228" t="s">
        <v>1731</v>
      </c>
      <c r="Z31" s="233" t="s">
        <v>120</v>
      </c>
      <c r="AA31" s="234" t="s">
        <v>1724</v>
      </c>
      <c r="AB31" s="234" t="s">
        <v>1725</v>
      </c>
      <c r="AC31" s="235" t="s">
        <v>206</v>
      </c>
      <c r="AD31" s="228" t="s">
        <v>1732</v>
      </c>
      <c r="AE31" s="232" t="s">
        <v>120</v>
      </c>
      <c r="AF31" s="229" t="s">
        <v>1594</v>
      </c>
      <c r="AG31" s="236"/>
      <c r="AH31" s="236"/>
      <c r="AI31" s="228" t="s">
        <v>1588</v>
      </c>
      <c r="AJ31" s="232" t="s">
        <v>120</v>
      </c>
      <c r="AK31" s="228" t="s">
        <v>123</v>
      </c>
      <c r="AL31" s="228" t="s">
        <v>935</v>
      </c>
      <c r="AM31" s="232"/>
      <c r="AN31" s="228"/>
      <c r="AO31" s="228"/>
      <c r="AP31" s="237"/>
      <c r="AQ31" s="228"/>
      <c r="AR31" s="232"/>
      <c r="AS31" s="228"/>
      <c r="AT31" s="229">
        <v>43487.500029745403</v>
      </c>
      <c r="AU31" s="229">
        <v>43486.753544791703</v>
      </c>
      <c r="AV31" s="229"/>
      <c r="AW31" s="229">
        <v>43487.500029745403</v>
      </c>
      <c r="AX31" s="229"/>
      <c r="AY31" s="229">
        <v>43486.643543634302</v>
      </c>
      <c r="AZ31" s="238">
        <v>43488.593206365702</v>
      </c>
      <c r="BA31" s="1" t="s">
        <v>7684</v>
      </c>
      <c r="BB31">
        <v>130</v>
      </c>
      <c r="BC31">
        <v>60</v>
      </c>
      <c r="BD31">
        <v>3312</v>
      </c>
      <c r="BE3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2.5932063657019171</v>
      </c>
      <c r="BF31" s="240">
        <f>COUNTIFS(_05preva_view43[Site ID],_05preva_view43[[#This Row],[Site ID]],_05preva_view43[Prevalidation Status],"Under Prevalidation")</f>
        <v>0</v>
      </c>
      <c r="BG3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1-01-15018-003 (SHN00063) Application Rev 3.xlsx</v>
      </c>
      <c r="BI31" s="64" t="e">
        <f t="shared" ca="1" si="1"/>
        <v>#VALUE!</v>
      </c>
      <c r="BJ31" s="104" t="e">
        <f ca="1">LEFT(CELL("filename",A16),_05preva_view43[[#This Row],[Find Process &amp; Database]]-1)</f>
        <v>#VALUE!</v>
      </c>
      <c r="BK31" s="104" t="e">
        <f ca="1">_05preva_view43[Folder Path1]&amp;"Process &amp; Database\Documentation\Colo Applications"</f>
        <v>#VALUE!</v>
      </c>
      <c r="BL31" s="104" t="e">
        <f ca="1">_05preva_view43[Folder Path2]&amp;"\Colo App "&amp;_05preva_view43[[#This Row],[Operator]]&amp;"\"</f>
        <v>#VALUE!</v>
      </c>
      <c r="BM31" s="63" t="e">
        <f ca="1">_05preva_view43[[#This Row],[Folder Path3]]&amp;_05preva_view43[[#This Row],[File Name]]</f>
        <v>#VALUE!</v>
      </c>
      <c r="BN31" s="104"/>
      <c r="CF31" s="5"/>
      <c r="CG31" s="5"/>
      <c r="CH31" s="3"/>
      <c r="CJ31" s="5"/>
      <c r="CN31" s="3"/>
      <c r="CO31" s="3"/>
      <c r="CP31" s="5"/>
      <c r="CR31" s="3"/>
      <c r="DN31" s="5"/>
      <c r="DP31" s="3"/>
      <c r="EB31" s="7"/>
      <c r="EC31" s="7"/>
      <c r="EF31" s="4"/>
      <c r="EG31" s="4"/>
      <c r="EQ31" s="2"/>
      <c r="ER31" s="2"/>
    </row>
    <row r="32" spans="1:148">
      <c r="A32" s="227">
        <v>3633</v>
      </c>
      <c r="B32" s="228" t="s">
        <v>1599</v>
      </c>
      <c r="C32" s="228" t="s">
        <v>278</v>
      </c>
      <c r="D32" s="228" t="s">
        <v>117</v>
      </c>
      <c r="E32" s="228" t="s">
        <v>1600</v>
      </c>
      <c r="F32" s="228" t="s">
        <v>35</v>
      </c>
      <c r="G32" s="228" t="s">
        <v>1292</v>
      </c>
      <c r="H32" s="228" t="s">
        <v>1285</v>
      </c>
      <c r="I32" s="228" t="s">
        <v>785</v>
      </c>
      <c r="J32" s="228" t="s">
        <v>727</v>
      </c>
      <c r="K32" s="229">
        <v>43486</v>
      </c>
      <c r="L32" s="230">
        <v>3.548</v>
      </c>
      <c r="M32" s="230">
        <v>5.5259999999999998</v>
      </c>
      <c r="N32" s="228">
        <v>4.6219999999999999</v>
      </c>
      <c r="O32" s="228" t="s">
        <v>687</v>
      </c>
      <c r="P32" s="231" t="s">
        <v>1601</v>
      </c>
      <c r="Q32" s="231" t="s">
        <v>1602</v>
      </c>
      <c r="R32" s="228" t="s">
        <v>24</v>
      </c>
      <c r="S32" s="228"/>
      <c r="T32" s="232" t="s">
        <v>615</v>
      </c>
      <c r="U32" s="228"/>
      <c r="V32" s="232" t="s">
        <v>120</v>
      </c>
      <c r="W32" s="228"/>
      <c r="X32" s="232" t="s">
        <v>120</v>
      </c>
      <c r="Y32" s="228" t="s">
        <v>1733</v>
      </c>
      <c r="Z32" s="233" t="s">
        <v>1734</v>
      </c>
      <c r="AA32" s="234" t="s">
        <v>1735</v>
      </c>
      <c r="AB32" s="234" t="s">
        <v>1725</v>
      </c>
      <c r="AC32" s="235" t="s">
        <v>123</v>
      </c>
      <c r="AD32" s="228" t="s">
        <v>1736</v>
      </c>
      <c r="AE32" s="232" t="s">
        <v>120</v>
      </c>
      <c r="AF32" s="229"/>
      <c r="AG32" s="236"/>
      <c r="AH32" s="236"/>
      <c r="AI32" s="228"/>
      <c r="AJ32" s="232" t="s">
        <v>120</v>
      </c>
      <c r="AK32" s="228" t="s">
        <v>123</v>
      </c>
      <c r="AL32" s="228" t="s">
        <v>935</v>
      </c>
      <c r="AM32" s="232"/>
      <c r="AN32" s="228"/>
      <c r="AO32" s="228"/>
      <c r="AP32" s="237"/>
      <c r="AQ32" s="228"/>
      <c r="AR32" s="232"/>
      <c r="AS32" s="228"/>
      <c r="AT32" s="229">
        <v>43487.500030787</v>
      </c>
      <c r="AU32" s="229">
        <v>43486.753550694397</v>
      </c>
      <c r="AV32" s="229">
        <v>43488.690378587999</v>
      </c>
      <c r="AW32" s="229">
        <v>43487.500030787</v>
      </c>
      <c r="AX32" s="229"/>
      <c r="AY32" s="229">
        <v>43486.643544907398</v>
      </c>
      <c r="AZ32" s="238">
        <v>43488.762617013897</v>
      </c>
      <c r="BA32" s="1" t="s">
        <v>7684</v>
      </c>
      <c r="BB32">
        <v>130</v>
      </c>
      <c r="BC32">
        <v>45</v>
      </c>
      <c r="BD32">
        <v>3391</v>
      </c>
      <c r="BE3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2.7626170138973976</v>
      </c>
      <c r="BF32" s="240">
        <f>COUNTIFS(_05preva_view43[Site ID],_05preva_view43[[#This Row],[Site ID]],_05preva_view43[Prevalidation Status],"Under Prevalidation")</f>
        <v>0</v>
      </c>
      <c r="BG3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" s="242" t="str">
        <f>CONCATENATE(_05preva_view43[[#This Row],[Site ID]]," (",_05preva_view43[[#This Row],[tenant id]],") Application",IF(_05preva_view43[[#This Row],[Colo Rev]]&gt;0," Rev "&amp;_05preva_view43[[#This Row],[Colo Rev]],""),".xlsx")</f>
        <v>1-01-04002-007 (CHN00140) Application Rev 3.xlsx</v>
      </c>
      <c r="BI32" s="64" t="e">
        <f t="shared" ca="1" si="1"/>
        <v>#VALUE!</v>
      </c>
      <c r="BJ32" s="104" t="e">
        <f ca="1">LEFT(CELL("filename",A17),_05preva_view43[[#This Row],[Find Process &amp; Database]]-1)</f>
        <v>#VALUE!</v>
      </c>
      <c r="BK32" s="104" t="e">
        <f ca="1">_05preva_view43[Folder Path1]&amp;"Process &amp; Database\Documentation\Colo Applications"</f>
        <v>#VALUE!</v>
      </c>
      <c r="BL32" s="104" t="e">
        <f ca="1">_05preva_view43[Folder Path2]&amp;"\Colo App "&amp;_05preva_view43[[#This Row],[Operator]]&amp;"\"</f>
        <v>#VALUE!</v>
      </c>
      <c r="BM32" s="63" t="e">
        <f ca="1">_05preva_view43[[#This Row],[Folder Path3]]&amp;_05preva_view43[[#This Row],[File Name]]</f>
        <v>#VALUE!</v>
      </c>
      <c r="BN32" s="104"/>
      <c r="CF32" s="5"/>
      <c r="CG32" s="5"/>
      <c r="CH32" s="3"/>
      <c r="CJ32" s="5"/>
      <c r="CN32" s="3"/>
      <c r="CO32" s="3"/>
      <c r="CP32" s="5"/>
      <c r="CR32" s="3"/>
      <c r="DN32" s="5"/>
      <c r="DP32" s="3"/>
      <c r="EB32" s="7"/>
      <c r="EC32" s="7"/>
      <c r="EF32" s="4"/>
      <c r="EG32" s="4"/>
      <c r="EQ32" s="2"/>
      <c r="ER32" s="2"/>
    </row>
    <row r="33" spans="1:148">
      <c r="A33" s="227">
        <v>3634</v>
      </c>
      <c r="B33" s="228" t="s">
        <v>1603</v>
      </c>
      <c r="C33" s="228" t="s">
        <v>278</v>
      </c>
      <c r="D33" s="228" t="s">
        <v>117</v>
      </c>
      <c r="E33" s="228" t="s">
        <v>1604</v>
      </c>
      <c r="F33" s="228" t="s">
        <v>35</v>
      </c>
      <c r="G33" s="228" t="s">
        <v>1292</v>
      </c>
      <c r="H33" s="228" t="s">
        <v>1285</v>
      </c>
      <c r="I33" s="228" t="s">
        <v>790</v>
      </c>
      <c r="J33" s="228" t="s">
        <v>668</v>
      </c>
      <c r="K33" s="229">
        <v>43486</v>
      </c>
      <c r="L33" s="230">
        <v>2.0590000000000002</v>
      </c>
      <c r="M33" s="230">
        <v>3.5489999999999999</v>
      </c>
      <c r="N33" s="228">
        <v>4.0999999999999996</v>
      </c>
      <c r="O33" s="228" t="s">
        <v>687</v>
      </c>
      <c r="P33" s="231" t="s">
        <v>695</v>
      </c>
      <c r="Q33" s="231" t="s">
        <v>696</v>
      </c>
      <c r="R33" s="228" t="s">
        <v>24</v>
      </c>
      <c r="S33" s="228"/>
      <c r="T33" s="232" t="s">
        <v>615</v>
      </c>
      <c r="U33" s="228"/>
      <c r="V33" s="232" t="s">
        <v>120</v>
      </c>
      <c r="W33" s="228"/>
      <c r="X33" s="232" t="s">
        <v>120</v>
      </c>
      <c r="Y33" s="228" t="s">
        <v>1737</v>
      </c>
      <c r="Z33" s="233" t="s">
        <v>120</v>
      </c>
      <c r="AA33" s="234" t="s">
        <v>1724</v>
      </c>
      <c r="AB33" s="234" t="s">
        <v>1725</v>
      </c>
      <c r="AC33" s="235" t="s">
        <v>123</v>
      </c>
      <c r="AD33" s="228" t="s">
        <v>1751</v>
      </c>
      <c r="AE33" s="232" t="s">
        <v>120</v>
      </c>
      <c r="AF33" s="229" t="s">
        <v>1605</v>
      </c>
      <c r="AG33" s="236"/>
      <c r="AH33" s="236"/>
      <c r="AI33" s="228" t="s">
        <v>1606</v>
      </c>
      <c r="AJ33" s="232" t="s">
        <v>120</v>
      </c>
      <c r="AK33" s="228" t="s">
        <v>123</v>
      </c>
      <c r="AL33" s="228" t="s">
        <v>935</v>
      </c>
      <c r="AM33" s="232"/>
      <c r="AN33" s="228"/>
      <c r="AO33" s="228"/>
      <c r="AP33" s="237"/>
      <c r="AQ33" s="228"/>
      <c r="AR33" s="232"/>
      <c r="AS33" s="228"/>
      <c r="AT33" s="229">
        <v>43487.500031249998</v>
      </c>
      <c r="AU33" s="229">
        <v>43486.753554513904</v>
      </c>
      <c r="AV33" s="229">
        <v>43488.725009143498</v>
      </c>
      <c r="AW33" s="229">
        <v>43487.500031249998</v>
      </c>
      <c r="AX33" s="229"/>
      <c r="AY33" s="229">
        <v>43486.643545370403</v>
      </c>
      <c r="AZ33" s="238">
        <v>43488.754427546301</v>
      </c>
      <c r="BA33" s="1" t="s">
        <v>7684</v>
      </c>
      <c r="BB33">
        <v>130</v>
      </c>
      <c r="BC33">
        <v>60</v>
      </c>
      <c r="BD33">
        <v>2830</v>
      </c>
      <c r="BE3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2.7544275463005761</v>
      </c>
      <c r="BF33" s="240">
        <f>COUNTIFS(_05preva_view43[Site ID],_05preva_view43[[#This Row],[Site ID]],_05preva_view43[Prevalidation Status],"Under Prevalidation")</f>
        <v>0</v>
      </c>
      <c r="BG3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" s="242" t="str">
        <f>CONCATENATE(_05preva_view43[[#This Row],[Site ID]]," (",_05preva_view43[[#This Row],[tenant id]],") Application",IF(_05preva_view43[[#This Row],[Colo Rev]]&gt;0," Rev "&amp;_05preva_view43[[#This Row],[Colo Rev]],""),".xlsx")</f>
        <v>1-01-09021-002 (MGW00156) Application Rev 1.xlsx</v>
      </c>
      <c r="BI33" s="64" t="e">
        <f t="shared" ca="1" si="1"/>
        <v>#VALUE!</v>
      </c>
      <c r="BJ33" s="104" t="e">
        <f ca="1">LEFT(CELL("filename",A18),_05preva_view43[[#This Row],[Find Process &amp; Database]]-1)</f>
        <v>#VALUE!</v>
      </c>
      <c r="BK33" s="104" t="e">
        <f ca="1">_05preva_view43[Folder Path1]&amp;"Process &amp; Database\Documentation\Colo Applications"</f>
        <v>#VALUE!</v>
      </c>
      <c r="BL33" s="104" t="e">
        <f ca="1">_05preva_view43[Folder Path2]&amp;"\Colo App "&amp;_05preva_view43[[#This Row],[Operator]]&amp;"\"</f>
        <v>#VALUE!</v>
      </c>
      <c r="BM33" s="63" t="e">
        <f ca="1">_05preva_view43[[#This Row],[Folder Path3]]&amp;_05preva_view43[[#This Row],[File Name]]</f>
        <v>#VALUE!</v>
      </c>
      <c r="BN33" s="104"/>
      <c r="CF33" s="5"/>
      <c r="CG33" s="5"/>
      <c r="CH33" s="3"/>
      <c r="CJ33" s="5"/>
      <c r="CN33" s="3"/>
      <c r="CO33" s="3"/>
      <c r="CP33" s="5"/>
      <c r="CR33" s="3"/>
      <c r="DN33" s="5"/>
      <c r="DP33" s="3"/>
      <c r="EB33" s="7"/>
      <c r="EC33" s="7"/>
      <c r="EF33" s="4"/>
      <c r="EG33" s="4"/>
      <c r="EQ33" s="2"/>
      <c r="ER33" s="2"/>
    </row>
    <row r="34" spans="1:148">
      <c r="A34" s="227">
        <v>3635</v>
      </c>
      <c r="B34" s="228" t="s">
        <v>1607</v>
      </c>
      <c r="C34" s="228" t="s">
        <v>278</v>
      </c>
      <c r="D34" s="228" t="s">
        <v>127</v>
      </c>
      <c r="E34" s="228" t="s">
        <v>1608</v>
      </c>
      <c r="F34" s="228" t="s">
        <v>35</v>
      </c>
      <c r="G34" s="228" t="s">
        <v>1292</v>
      </c>
      <c r="H34" s="228" t="s">
        <v>1285</v>
      </c>
      <c r="I34" s="228" t="s">
        <v>785</v>
      </c>
      <c r="J34" s="228" t="s">
        <v>668</v>
      </c>
      <c r="K34" s="229">
        <v>43486</v>
      </c>
      <c r="L34" s="230">
        <v>2.1970000000000001</v>
      </c>
      <c r="M34" s="230">
        <v>3.7970000000000002</v>
      </c>
      <c r="N34" s="228">
        <v>3.3519999999999999</v>
      </c>
      <c r="O34" s="228" t="s">
        <v>687</v>
      </c>
      <c r="P34" s="231" t="s">
        <v>799</v>
      </c>
      <c r="Q34" s="231" t="s">
        <v>695</v>
      </c>
      <c r="R34" s="228" t="s">
        <v>24</v>
      </c>
      <c r="S34" s="228"/>
      <c r="T34" s="232" t="s">
        <v>615</v>
      </c>
      <c r="U34" s="228"/>
      <c r="V34" s="232" t="s">
        <v>120</v>
      </c>
      <c r="W34" s="228"/>
      <c r="X34" s="232" t="s">
        <v>120</v>
      </c>
      <c r="Y34" s="228" t="s">
        <v>1738</v>
      </c>
      <c r="Z34" s="233" t="s">
        <v>120</v>
      </c>
      <c r="AA34" s="234" t="s">
        <v>1724</v>
      </c>
      <c r="AB34" s="234" t="s">
        <v>1725</v>
      </c>
      <c r="AC34" s="235" t="s">
        <v>123</v>
      </c>
      <c r="AD34" s="228" t="s">
        <v>1752</v>
      </c>
      <c r="AE34" s="232" t="s">
        <v>120</v>
      </c>
      <c r="AF34" s="229" t="s">
        <v>1609</v>
      </c>
      <c r="AG34" s="236"/>
      <c r="AH34" s="236"/>
      <c r="AI34" s="228" t="s">
        <v>1610</v>
      </c>
      <c r="AJ34" s="232" t="s">
        <v>120</v>
      </c>
      <c r="AK34" s="228" t="s">
        <v>123</v>
      </c>
      <c r="AL34" s="228" t="s">
        <v>935</v>
      </c>
      <c r="AM34" s="232"/>
      <c r="AN34" s="228"/>
      <c r="AO34" s="228"/>
      <c r="AP34" s="237"/>
      <c r="AQ34" s="228"/>
      <c r="AR34" s="232"/>
      <c r="AS34" s="228"/>
      <c r="AT34" s="229">
        <v>43487.500031828698</v>
      </c>
      <c r="AU34" s="229">
        <v>43486.753556713003</v>
      </c>
      <c r="AV34" s="229">
        <v>43488.731595601901</v>
      </c>
      <c r="AW34" s="229">
        <v>43487.500031828698</v>
      </c>
      <c r="AX34" s="229"/>
      <c r="AY34" s="229">
        <v>43486.643546296298</v>
      </c>
      <c r="AZ34" s="238">
        <v>43488.754432175898</v>
      </c>
      <c r="BA34" s="1" t="s">
        <v>7684</v>
      </c>
      <c r="BB34">
        <v>130</v>
      </c>
      <c r="BC34">
        <v>53.5</v>
      </c>
      <c r="BD34">
        <v>3028</v>
      </c>
      <c r="BE3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2.7544321758978185</v>
      </c>
      <c r="BF34" s="240">
        <f>COUNTIFS(_05preva_view43[Site ID],_05preva_view43[[#This Row],[Site ID]],_05preva_view43[Prevalidation Status],"Under Prevalidation")</f>
        <v>0</v>
      </c>
      <c r="BG3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1-01-05027-007 (SGG00242) Application Rev 1.xlsx</v>
      </c>
      <c r="BI34" s="64" t="e">
        <f t="shared" ca="1" si="1"/>
        <v>#VALUE!</v>
      </c>
      <c r="BJ34" s="104" t="e">
        <f ca="1">LEFT(CELL("filename",A19),_05preva_view43[[#This Row],[Find Process &amp; Database]]-1)</f>
        <v>#VALUE!</v>
      </c>
      <c r="BK34" s="104" t="e">
        <f ca="1">_05preva_view43[Folder Path1]&amp;"Process &amp; Database\Documentation\Colo Applications"</f>
        <v>#VALUE!</v>
      </c>
      <c r="BL34" s="104" t="e">
        <f ca="1">_05preva_view43[Folder Path2]&amp;"\Colo App "&amp;_05preva_view43[[#This Row],[Operator]]&amp;"\"</f>
        <v>#VALUE!</v>
      </c>
      <c r="BM34" s="63" t="e">
        <f ca="1">_05preva_view43[[#This Row],[Folder Path3]]&amp;_05preva_view43[[#This Row],[File Name]]</f>
        <v>#VALUE!</v>
      </c>
      <c r="BN34" s="104"/>
      <c r="CF34" s="5"/>
      <c r="CG34" s="5"/>
      <c r="CH34" s="3"/>
      <c r="CJ34" s="5"/>
      <c r="CN34" s="3"/>
      <c r="CO34" s="3"/>
      <c r="CP34" s="5"/>
      <c r="CR34" s="3"/>
      <c r="DN34" s="5"/>
      <c r="DP34" s="3"/>
      <c r="EB34" s="7"/>
      <c r="EC34" s="7"/>
      <c r="EF34" s="4"/>
      <c r="EG34" s="4"/>
      <c r="EQ34" s="2"/>
      <c r="ER34" s="2"/>
    </row>
    <row r="35" spans="1:148">
      <c r="A35" s="227">
        <v>3636</v>
      </c>
      <c r="B35" s="228" t="s">
        <v>1080</v>
      </c>
      <c r="C35" s="228" t="s">
        <v>278</v>
      </c>
      <c r="D35" s="228" t="s">
        <v>153</v>
      </c>
      <c r="E35" s="228" t="s">
        <v>1081</v>
      </c>
      <c r="F35" s="228" t="s">
        <v>35</v>
      </c>
      <c r="G35" s="228" t="s">
        <v>1292</v>
      </c>
      <c r="H35" s="228" t="s">
        <v>1285</v>
      </c>
      <c r="I35" s="228" t="s">
        <v>1611</v>
      </c>
      <c r="J35" s="228" t="s">
        <v>1022</v>
      </c>
      <c r="K35" s="229">
        <v>43486</v>
      </c>
      <c r="L35" s="230">
        <v>1.92</v>
      </c>
      <c r="M35" s="230">
        <v>4</v>
      </c>
      <c r="N35" s="228">
        <v>4.4400000000000004</v>
      </c>
      <c r="O35" s="228" t="s">
        <v>687</v>
      </c>
      <c r="P35" s="231" t="s">
        <v>526</v>
      </c>
      <c r="Q35" s="231" t="s">
        <v>629</v>
      </c>
      <c r="R35" s="228" t="s">
        <v>24</v>
      </c>
      <c r="S35" s="228"/>
      <c r="T35" s="232" t="s">
        <v>615</v>
      </c>
      <c r="U35" s="228"/>
      <c r="V35" s="232" t="s">
        <v>120</v>
      </c>
      <c r="W35" s="228"/>
      <c r="X35" s="232" t="s">
        <v>120</v>
      </c>
      <c r="Y35" s="228" t="s">
        <v>1739</v>
      </c>
      <c r="Z35" s="233" t="s">
        <v>120</v>
      </c>
      <c r="AA35" s="234" t="s">
        <v>1724</v>
      </c>
      <c r="AB35" s="234" t="s">
        <v>1725</v>
      </c>
      <c r="AC35" s="235" t="s">
        <v>123</v>
      </c>
      <c r="AD35" s="228" t="s">
        <v>1753</v>
      </c>
      <c r="AE35" s="232" t="s">
        <v>120</v>
      </c>
      <c r="AF35" s="229" t="s">
        <v>1612</v>
      </c>
      <c r="AG35" s="236"/>
      <c r="AH35" s="236"/>
      <c r="AI35" s="228" t="s">
        <v>1610</v>
      </c>
      <c r="AJ35" s="232" t="s">
        <v>120</v>
      </c>
      <c r="AK35" s="228" t="s">
        <v>123</v>
      </c>
      <c r="AL35" s="228" t="s">
        <v>935</v>
      </c>
      <c r="AM35" s="232"/>
      <c r="AN35" s="228"/>
      <c r="AO35" s="228"/>
      <c r="AP35" s="237"/>
      <c r="AQ35" s="228"/>
      <c r="AR35" s="232"/>
      <c r="AS35" s="228"/>
      <c r="AT35" s="229">
        <v>43487.500032523101</v>
      </c>
      <c r="AU35" s="229">
        <v>43486.753560532401</v>
      </c>
      <c r="AV35" s="229">
        <v>43489.405415277797</v>
      </c>
      <c r="AW35" s="229">
        <v>43487.500032523101</v>
      </c>
      <c r="AX35" s="229"/>
      <c r="AY35" s="229">
        <v>43486.643546874999</v>
      </c>
      <c r="AZ35" s="238">
        <v>43489.445720023097</v>
      </c>
      <c r="BA35" s="1" t="s">
        <v>7684</v>
      </c>
      <c r="BB35">
        <v>160</v>
      </c>
      <c r="BC35">
        <v>35</v>
      </c>
      <c r="BD35">
        <v>3140</v>
      </c>
      <c r="BE3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3.4457200230972376</v>
      </c>
      <c r="BF35" s="240">
        <f>COUNTIFS(_05preva_view43[Site ID],_05preva_view43[[#This Row],[Site ID]],_05preva_view43[Prevalidation Status],"Under Prevalidation")</f>
        <v>0</v>
      </c>
      <c r="BG3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" s="242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5.xlsx</v>
      </c>
      <c r="BI35" s="64" t="e">
        <f t="shared" ca="1" si="1"/>
        <v>#VALUE!</v>
      </c>
      <c r="BJ35" s="104" t="e">
        <f ca="1">LEFT(CELL("filename",A20),_05preva_view43[[#This Row],[Find Process &amp; Database]]-1)</f>
        <v>#VALUE!</v>
      </c>
      <c r="BK35" s="104" t="e">
        <f ca="1">_05preva_view43[Folder Path1]&amp;"Process &amp; Database\Documentation\Colo Applications"</f>
        <v>#VALUE!</v>
      </c>
      <c r="BL35" s="104" t="e">
        <f ca="1">_05preva_view43[Folder Path2]&amp;"\Colo App "&amp;_05preva_view43[[#This Row],[Operator]]&amp;"\"</f>
        <v>#VALUE!</v>
      </c>
      <c r="BM35" s="63" t="e">
        <f ca="1">_05preva_view43[[#This Row],[Folder Path3]]&amp;_05preva_view43[[#This Row],[File Name]]</f>
        <v>#VALUE!</v>
      </c>
      <c r="BN35" s="104"/>
      <c r="CF35" s="5"/>
      <c r="CG35" s="5"/>
      <c r="CH35" s="3"/>
      <c r="CJ35" s="5"/>
      <c r="CN35" s="3"/>
      <c r="CO35" s="3"/>
      <c r="CP35" s="5"/>
      <c r="CR35" s="3"/>
      <c r="DN35" s="5"/>
      <c r="DP35" s="3"/>
      <c r="EB35" s="7"/>
      <c r="EC35" s="7"/>
      <c r="EF35" s="4"/>
      <c r="EG35" s="4"/>
      <c r="EQ35" s="2"/>
      <c r="ER35" s="2"/>
    </row>
    <row r="36" spans="1:148">
      <c r="A36" s="227">
        <v>3638</v>
      </c>
      <c r="B36" s="228" t="s">
        <v>1613</v>
      </c>
      <c r="C36" s="228" t="s">
        <v>278</v>
      </c>
      <c r="D36" s="228" t="s">
        <v>127</v>
      </c>
      <c r="E36" s="228" t="s">
        <v>1614</v>
      </c>
      <c r="F36" s="228" t="s">
        <v>35</v>
      </c>
      <c r="G36" s="228" t="s">
        <v>1292</v>
      </c>
      <c r="H36" s="228" t="s">
        <v>1285</v>
      </c>
      <c r="I36" s="228" t="s">
        <v>1006</v>
      </c>
      <c r="J36" s="228" t="s">
        <v>686</v>
      </c>
      <c r="K36" s="229">
        <v>43486</v>
      </c>
      <c r="L36" s="230">
        <v>1.399</v>
      </c>
      <c r="M36" s="230">
        <v>2.2989999999999999</v>
      </c>
      <c r="N36" s="228">
        <v>3.72</v>
      </c>
      <c r="O36" s="228" t="s">
        <v>687</v>
      </c>
      <c r="P36" s="231" t="s">
        <v>695</v>
      </c>
      <c r="Q36" s="231" t="s">
        <v>696</v>
      </c>
      <c r="R36" s="228" t="s">
        <v>24</v>
      </c>
      <c r="S36" s="228"/>
      <c r="T36" s="232" t="s">
        <v>615</v>
      </c>
      <c r="U36" s="228"/>
      <c r="V36" s="232" t="s">
        <v>120</v>
      </c>
      <c r="W36" s="228"/>
      <c r="X36" s="232" t="s">
        <v>120</v>
      </c>
      <c r="Y36" s="228" t="s">
        <v>1740</v>
      </c>
      <c r="Z36" s="233" t="s">
        <v>120</v>
      </c>
      <c r="AA36" s="234" t="s">
        <v>1724</v>
      </c>
      <c r="AB36" s="234" t="s">
        <v>1725</v>
      </c>
      <c r="AC36" s="235" t="s">
        <v>123</v>
      </c>
      <c r="AD36" s="228" t="s">
        <v>1754</v>
      </c>
      <c r="AE36" s="232" t="s">
        <v>120</v>
      </c>
      <c r="AF36" s="229" t="s">
        <v>1615</v>
      </c>
      <c r="AG36" s="236"/>
      <c r="AH36" s="236"/>
      <c r="AI36" s="228" t="s">
        <v>1588</v>
      </c>
      <c r="AJ36" s="232" t="s">
        <v>120</v>
      </c>
      <c r="AK36" s="228" t="s">
        <v>123</v>
      </c>
      <c r="AL36" s="228" t="s">
        <v>935</v>
      </c>
      <c r="AM36" s="232"/>
      <c r="AN36" s="228"/>
      <c r="AO36" s="228"/>
      <c r="AP36" s="237"/>
      <c r="AQ36" s="228"/>
      <c r="AR36" s="232"/>
      <c r="AS36" s="228"/>
      <c r="AT36" s="229">
        <v>43487.500033333301</v>
      </c>
      <c r="AU36" s="229">
        <v>43486.753575000002</v>
      </c>
      <c r="AV36" s="229"/>
      <c r="AW36" s="229">
        <v>43487.500033333301</v>
      </c>
      <c r="AX36" s="229"/>
      <c r="AY36" s="229">
        <v>43486.717576967603</v>
      </c>
      <c r="AZ36" s="238">
        <v>43489.445722338001</v>
      </c>
      <c r="BA36" s="1" t="s">
        <v>7684</v>
      </c>
      <c r="BB36">
        <v>130</v>
      </c>
      <c r="BC36">
        <v>60</v>
      </c>
      <c r="BD36">
        <v>3036</v>
      </c>
      <c r="BE3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3.4457223380013602</v>
      </c>
      <c r="BF36" s="240">
        <f>COUNTIFS(_05preva_view43[Site ID],_05preva_view43[[#This Row],[Site ID]],_05preva_view43[Prevalidation Status],"Under Prevalidation")</f>
        <v>0</v>
      </c>
      <c r="BG3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1-01-05027-016 (SGG00226) Application Rev 2.xlsx</v>
      </c>
      <c r="BI36" s="64" t="e">
        <f t="shared" ca="1" si="1"/>
        <v>#VALUE!</v>
      </c>
      <c r="BJ36" s="104" t="e">
        <f ca="1">LEFT(CELL("filename",A21),_05preva_view43[[#This Row],[Find Process &amp; Database]]-1)</f>
        <v>#VALUE!</v>
      </c>
      <c r="BK36" s="104" t="e">
        <f ca="1">_05preva_view43[Folder Path1]&amp;"Process &amp; Database\Documentation\Colo Applications"</f>
        <v>#VALUE!</v>
      </c>
      <c r="BL36" s="104" t="e">
        <f ca="1">_05preva_view43[Folder Path2]&amp;"\Colo App "&amp;_05preva_view43[[#This Row],[Operator]]&amp;"\"</f>
        <v>#VALUE!</v>
      </c>
      <c r="BM36" s="63" t="e">
        <f ca="1">_05preva_view43[[#This Row],[Folder Path3]]&amp;_05preva_view43[[#This Row],[File Name]]</f>
        <v>#VALUE!</v>
      </c>
      <c r="BN36" s="104"/>
      <c r="CF36" s="5"/>
      <c r="CG36" s="5"/>
      <c r="CH36" s="3"/>
      <c r="CJ36" s="5"/>
      <c r="CN36" s="3"/>
      <c r="CO36" s="3"/>
      <c r="CP36" s="5"/>
      <c r="CR36" s="3"/>
      <c r="DN36" s="5"/>
      <c r="DP36" s="3"/>
      <c r="EB36" s="7"/>
      <c r="EC36" s="7"/>
      <c r="EF36" s="4"/>
      <c r="EG36" s="4"/>
      <c r="EQ36" s="2"/>
      <c r="ER36" s="2"/>
    </row>
    <row r="37" spans="1:148">
      <c r="A37" s="227">
        <v>3639</v>
      </c>
      <c r="B37" s="228" t="s">
        <v>1278</v>
      </c>
      <c r="C37" s="228" t="s">
        <v>278</v>
      </c>
      <c r="D37" s="228" t="s">
        <v>127</v>
      </c>
      <c r="E37" s="228" t="s">
        <v>1279</v>
      </c>
      <c r="F37" s="228" t="s">
        <v>35</v>
      </c>
      <c r="G37" s="228" t="s">
        <v>1292</v>
      </c>
      <c r="H37" s="228" t="s">
        <v>1285</v>
      </c>
      <c r="I37" s="228" t="s">
        <v>1280</v>
      </c>
      <c r="J37" s="228" t="s">
        <v>1022</v>
      </c>
      <c r="K37" s="229">
        <v>43486</v>
      </c>
      <c r="L37" s="230">
        <v>1.399</v>
      </c>
      <c r="M37" s="230">
        <v>2.1989999999999998</v>
      </c>
      <c r="N37" s="228"/>
      <c r="O37" s="228" t="s">
        <v>687</v>
      </c>
      <c r="P37" s="231" t="s">
        <v>695</v>
      </c>
      <c r="Q37" s="231" t="s">
        <v>696</v>
      </c>
      <c r="R37" s="228" t="s">
        <v>24</v>
      </c>
      <c r="S37" s="228"/>
      <c r="T37" s="232" t="s">
        <v>615</v>
      </c>
      <c r="U37" s="228"/>
      <c r="V37" s="232" t="s">
        <v>615</v>
      </c>
      <c r="W37" s="228"/>
      <c r="X37" s="232" t="s">
        <v>615</v>
      </c>
      <c r="Y37" s="228"/>
      <c r="Z37" s="233" t="s">
        <v>615</v>
      </c>
      <c r="AA37" s="234"/>
      <c r="AB37" s="234"/>
      <c r="AC37" s="235"/>
      <c r="AD37" s="228"/>
      <c r="AE37" s="232" t="s">
        <v>120</v>
      </c>
      <c r="AF37" s="229" t="s">
        <v>1616</v>
      </c>
      <c r="AG37" s="236"/>
      <c r="AH37" s="236"/>
      <c r="AI37" s="228" t="s">
        <v>1596</v>
      </c>
      <c r="AJ37" s="232" t="s">
        <v>615</v>
      </c>
      <c r="AK37" s="228"/>
      <c r="AL37" s="228"/>
      <c r="AM37" s="232"/>
      <c r="AN37" s="228"/>
      <c r="AO37" s="228"/>
      <c r="AP37" s="237"/>
      <c r="AQ37" s="228"/>
      <c r="AR37" s="232"/>
      <c r="AS37" s="228"/>
      <c r="AT37" s="229"/>
      <c r="AU37" s="229">
        <v>43486.753569212997</v>
      </c>
      <c r="AV37" s="229"/>
      <c r="AW37" s="229"/>
      <c r="AX37" s="229"/>
      <c r="AY37" s="229"/>
      <c r="AZ37" s="238">
        <v>43487.432190972198</v>
      </c>
      <c r="BA37" s="1" t="s">
        <v>7684</v>
      </c>
      <c r="BB37">
        <v>130</v>
      </c>
      <c r="BC37">
        <v>60</v>
      </c>
      <c r="BD37">
        <v>3447</v>
      </c>
      <c r="BE3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1.4321909721984412</v>
      </c>
      <c r="BF37" s="240">
        <f>COUNTIFS(_05preva_view43[Site ID],_05preva_view43[[#This Row],[Site ID]],_05preva_view43[Prevalidation Status],"Under Prevalidation")</f>
        <v>0</v>
      </c>
      <c r="BG3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I37" s="64" t="e">
        <f t="shared" ca="1" si="1"/>
        <v>#VALUE!</v>
      </c>
      <c r="BJ37" s="104" t="e">
        <f ca="1">LEFT(CELL("filename",A22),_05preva_view43[[#This Row],[Find Process &amp; Database]]-1)</f>
        <v>#VALUE!</v>
      </c>
      <c r="BK37" s="104" t="e">
        <f ca="1">_05preva_view43[Folder Path1]&amp;"Process &amp; Database\Documentation\Colo Applications"</f>
        <v>#VALUE!</v>
      </c>
      <c r="BL37" s="104" t="e">
        <f ca="1">_05preva_view43[Folder Path2]&amp;"\Colo App "&amp;_05preva_view43[[#This Row],[Operator]]&amp;"\"</f>
        <v>#VALUE!</v>
      </c>
      <c r="BM37" s="63" t="e">
        <f ca="1">_05preva_view43[[#This Row],[Folder Path3]]&amp;_05preva_view43[[#This Row],[File Name]]</f>
        <v>#VALUE!</v>
      </c>
      <c r="BN37" s="104"/>
      <c r="CF37" s="5"/>
      <c r="CG37" s="5"/>
      <c r="CH37" s="3"/>
      <c r="CJ37" s="5"/>
      <c r="CN37" s="3"/>
      <c r="CO37" s="3"/>
      <c r="CP37" s="5"/>
      <c r="CR37" s="3"/>
      <c r="DN37" s="5"/>
      <c r="DP37" s="3"/>
      <c r="EB37" s="7"/>
      <c r="EC37" s="7"/>
      <c r="EF37" s="4"/>
      <c r="EG37" s="4"/>
      <c r="EQ37" s="2"/>
      <c r="ER37" s="2"/>
    </row>
    <row r="38" spans="1:148">
      <c r="A38" s="227">
        <v>3619</v>
      </c>
      <c r="B38" s="228" t="s">
        <v>1136</v>
      </c>
      <c r="C38" s="228" t="s">
        <v>116</v>
      </c>
      <c r="D38" s="228" t="s">
        <v>127</v>
      </c>
      <c r="E38" s="228" t="s">
        <v>1137</v>
      </c>
      <c r="F38" s="228" t="s">
        <v>41</v>
      </c>
      <c r="G38" s="228" t="s">
        <v>1129</v>
      </c>
      <c r="H38" s="228" t="s">
        <v>1037</v>
      </c>
      <c r="I38" s="228" t="s">
        <v>970</v>
      </c>
      <c r="J38" s="228" t="s">
        <v>668</v>
      </c>
      <c r="K38" s="229">
        <v>43483</v>
      </c>
      <c r="L38" s="230"/>
      <c r="M38" s="230">
        <v>1.9</v>
      </c>
      <c r="N38" s="228">
        <v>3</v>
      </c>
      <c r="O38" s="228" t="s">
        <v>119</v>
      </c>
      <c r="P38" s="231" t="s">
        <v>246</v>
      </c>
      <c r="Q38" s="231" t="s">
        <v>247</v>
      </c>
      <c r="R38" s="228" t="s">
        <v>24</v>
      </c>
      <c r="S38" s="228"/>
      <c r="T38" s="232" t="s">
        <v>615</v>
      </c>
      <c r="U38" s="228"/>
      <c r="V38" s="232" t="s">
        <v>615</v>
      </c>
      <c r="W38" s="228"/>
      <c r="X38" s="232" t="s">
        <v>120</v>
      </c>
      <c r="Y38" s="228" t="s">
        <v>1617</v>
      </c>
      <c r="Z38" s="233" t="s">
        <v>615</v>
      </c>
      <c r="AA38" s="234"/>
      <c r="AB38" s="234"/>
      <c r="AC38" s="235"/>
      <c r="AD38" s="228"/>
      <c r="AE38" s="232" t="s">
        <v>615</v>
      </c>
      <c r="AF38" s="229"/>
      <c r="AG38" s="236"/>
      <c r="AH38" s="236"/>
      <c r="AI38" s="228"/>
      <c r="AJ38" s="232" t="s">
        <v>615</v>
      </c>
      <c r="AK38" s="228"/>
      <c r="AL38" s="228"/>
      <c r="AM38" s="232"/>
      <c r="AN38" s="228"/>
      <c r="AO38" s="228"/>
      <c r="AP38" s="237"/>
      <c r="AQ38" s="228"/>
      <c r="AR38" s="232"/>
      <c r="AS38" s="228"/>
      <c r="AT38" s="229">
        <v>43486.724100115702</v>
      </c>
      <c r="AU38" s="229"/>
      <c r="AV38" s="229"/>
      <c r="AW38" s="229"/>
      <c r="AX38" s="229"/>
      <c r="AY38" s="229"/>
      <c r="AZ38" s="238">
        <v>43486.939399189803</v>
      </c>
      <c r="BA38" s="1" t="s">
        <v>7684</v>
      </c>
      <c r="BB38"/>
      <c r="BC38">
        <v>40</v>
      </c>
      <c r="BD38">
        <v>242</v>
      </c>
      <c r="BE3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3.9393991898032255</v>
      </c>
      <c r="BF38" s="240">
        <f>COUNTIFS(_05preva_view43[Site ID],_05preva_view43[[#This Row],[Site ID]],_05preva_view43[Prevalidation Status],"Under Prevalidation")</f>
        <v>0</v>
      </c>
      <c r="BG3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" s="242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1.xlsx</v>
      </c>
      <c r="BI38" s="64" t="e">
        <f t="shared" ca="1" si="1"/>
        <v>#VALUE!</v>
      </c>
      <c r="BJ38" s="104" t="e">
        <f ca="1">LEFT(CELL("filename",A23),_05preva_view43[[#This Row],[Find Process &amp; Database]]-1)</f>
        <v>#VALUE!</v>
      </c>
      <c r="BK38" s="104" t="e">
        <f ca="1">_05preva_view43[Folder Path1]&amp;"Process &amp; Database\Documentation\Colo Applications"</f>
        <v>#VALUE!</v>
      </c>
      <c r="BL38" s="104" t="e">
        <f ca="1">_05preva_view43[Folder Path2]&amp;"\Colo App "&amp;_05preva_view43[[#This Row],[Operator]]&amp;"\"</f>
        <v>#VALUE!</v>
      </c>
      <c r="BM38" s="63" t="e">
        <f ca="1">_05preva_view43[[#This Row],[Folder Path3]]&amp;_05preva_view43[[#This Row],[File Name]]</f>
        <v>#VALUE!</v>
      </c>
      <c r="BN38" s="104"/>
      <c r="CF38" s="5"/>
      <c r="CG38" s="5"/>
      <c r="CH38" s="3"/>
      <c r="CJ38" s="5"/>
      <c r="CN38" s="3"/>
      <c r="CO38" s="3"/>
      <c r="CP38" s="5"/>
      <c r="CR38" s="3"/>
      <c r="DN38" s="5"/>
      <c r="DP38" s="3"/>
      <c r="EB38" s="7"/>
      <c r="EC38" s="7"/>
      <c r="EF38" s="4"/>
      <c r="EG38" s="4"/>
      <c r="EQ38" s="2"/>
      <c r="ER38" s="2"/>
    </row>
    <row r="39" spans="1:148">
      <c r="A39" s="227">
        <v>3620</v>
      </c>
      <c r="B39" s="228" t="s">
        <v>1140</v>
      </c>
      <c r="C39" s="228" t="s">
        <v>116</v>
      </c>
      <c r="D39" s="228" t="s">
        <v>127</v>
      </c>
      <c r="E39" s="228" t="s">
        <v>1141</v>
      </c>
      <c r="F39" s="228" t="s">
        <v>41</v>
      </c>
      <c r="G39" s="228" t="s">
        <v>1129</v>
      </c>
      <c r="H39" s="228" t="s">
        <v>1037</v>
      </c>
      <c r="I39" s="228" t="s">
        <v>970</v>
      </c>
      <c r="J39" s="228" t="s">
        <v>668</v>
      </c>
      <c r="K39" s="229">
        <v>43483</v>
      </c>
      <c r="L39" s="230"/>
      <c r="M39" s="230">
        <v>2</v>
      </c>
      <c r="N39" s="228">
        <v>3</v>
      </c>
      <c r="O39" s="228" t="s">
        <v>119</v>
      </c>
      <c r="P39" s="231" t="s">
        <v>246</v>
      </c>
      <c r="Q39" s="231" t="s">
        <v>247</v>
      </c>
      <c r="R39" s="228" t="s">
        <v>24</v>
      </c>
      <c r="S39" s="228"/>
      <c r="T39" s="232" t="s">
        <v>615</v>
      </c>
      <c r="U39" s="228"/>
      <c r="V39" s="232" t="s">
        <v>615</v>
      </c>
      <c r="W39" s="228"/>
      <c r="X39" s="232" t="s">
        <v>120</v>
      </c>
      <c r="Y39" s="228" t="s">
        <v>1618</v>
      </c>
      <c r="Z39" s="233" t="s">
        <v>615</v>
      </c>
      <c r="AA39" s="234"/>
      <c r="AB39" s="234"/>
      <c r="AC39" s="235"/>
      <c r="AD39" s="228"/>
      <c r="AE39" s="232" t="s">
        <v>615</v>
      </c>
      <c r="AF39" s="229"/>
      <c r="AG39" s="236"/>
      <c r="AH39" s="236"/>
      <c r="AI39" s="228"/>
      <c r="AJ39" s="232" t="s">
        <v>615</v>
      </c>
      <c r="AK39" s="228"/>
      <c r="AL39" s="228"/>
      <c r="AM39" s="232"/>
      <c r="AN39" s="228"/>
      <c r="AO39" s="228"/>
      <c r="AP39" s="237"/>
      <c r="AQ39" s="228"/>
      <c r="AR39" s="232"/>
      <c r="AS39" s="228"/>
      <c r="AT39" s="229">
        <v>43486.7241013889</v>
      </c>
      <c r="AU39" s="229"/>
      <c r="AV39" s="229"/>
      <c r="AW39" s="229"/>
      <c r="AX39" s="229"/>
      <c r="AY39" s="229"/>
      <c r="AZ39" s="238">
        <v>43486.939403703698</v>
      </c>
      <c r="BA39" s="1" t="s">
        <v>7684</v>
      </c>
      <c r="BB39"/>
      <c r="BC39">
        <v>35</v>
      </c>
      <c r="BD39">
        <v>1937</v>
      </c>
      <c r="BE3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3.9394037036981899</v>
      </c>
      <c r="BF39" s="240">
        <f>COUNTIFS(_05preva_view43[Site ID],_05preva_view43[[#This Row],[Site ID]],_05preva_view43[Prevalidation Status],"Under Prevalidation")</f>
        <v>0</v>
      </c>
      <c r="BG3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" s="242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1.xlsx</v>
      </c>
      <c r="BI39" s="64" t="e">
        <f t="shared" ca="1" si="1"/>
        <v>#VALUE!</v>
      </c>
      <c r="BJ39" s="104" t="e">
        <f ca="1">LEFT(CELL("filename",A24),_05preva_view43[[#This Row],[Find Process &amp; Database]]-1)</f>
        <v>#VALUE!</v>
      </c>
      <c r="BK39" s="104" t="e">
        <f ca="1">_05preva_view43[Folder Path1]&amp;"Process &amp; Database\Documentation\Colo Applications"</f>
        <v>#VALUE!</v>
      </c>
      <c r="BL39" s="104" t="e">
        <f ca="1">_05preva_view43[Folder Path2]&amp;"\Colo App "&amp;_05preva_view43[[#This Row],[Operator]]&amp;"\"</f>
        <v>#VALUE!</v>
      </c>
      <c r="BM39" s="63" t="e">
        <f ca="1">_05preva_view43[[#This Row],[Folder Path3]]&amp;_05preva_view43[[#This Row],[File Name]]</f>
        <v>#VALUE!</v>
      </c>
      <c r="BN39" s="104"/>
      <c r="CF39" s="5"/>
      <c r="CG39" s="5"/>
      <c r="CH39" s="3"/>
      <c r="CJ39" s="5"/>
      <c r="CN39" s="3"/>
      <c r="CO39" s="3"/>
      <c r="CP39" s="5"/>
      <c r="CR39" s="3"/>
      <c r="DN39" s="5"/>
      <c r="DP39" s="3"/>
      <c r="EB39" s="7"/>
      <c r="EC39" s="7"/>
      <c r="EF39" s="4"/>
      <c r="EG39" s="4"/>
      <c r="EQ39" s="2"/>
      <c r="ER39" s="2"/>
    </row>
    <row r="40" spans="1:148">
      <c r="A40" s="227">
        <v>3621</v>
      </c>
      <c r="B40" s="228" t="s">
        <v>1162</v>
      </c>
      <c r="C40" s="228" t="s">
        <v>116</v>
      </c>
      <c r="D40" s="228" t="s">
        <v>127</v>
      </c>
      <c r="E40" s="228" t="s">
        <v>1163</v>
      </c>
      <c r="F40" s="228" t="s">
        <v>41</v>
      </c>
      <c r="G40" s="228" t="s">
        <v>1129</v>
      </c>
      <c r="H40" s="228" t="s">
        <v>1037</v>
      </c>
      <c r="I40" s="228" t="s">
        <v>970</v>
      </c>
      <c r="J40" s="228" t="s">
        <v>668</v>
      </c>
      <c r="K40" s="229">
        <v>43483</v>
      </c>
      <c r="L40" s="230"/>
      <c r="M40" s="230">
        <v>2</v>
      </c>
      <c r="N40" s="228">
        <v>3</v>
      </c>
      <c r="O40" s="228" t="s">
        <v>119</v>
      </c>
      <c r="P40" s="231" t="s">
        <v>1164</v>
      </c>
      <c r="Q40" s="231" t="s">
        <v>533</v>
      </c>
      <c r="R40" s="228" t="s">
        <v>24</v>
      </c>
      <c r="S40" s="228"/>
      <c r="T40" s="232" t="s">
        <v>615</v>
      </c>
      <c r="U40" s="228"/>
      <c r="V40" s="232" t="s">
        <v>615</v>
      </c>
      <c r="W40" s="228"/>
      <c r="X40" s="232" t="s">
        <v>120</v>
      </c>
      <c r="Y40" s="228" t="s">
        <v>1619</v>
      </c>
      <c r="Z40" s="233" t="s">
        <v>615</v>
      </c>
      <c r="AA40" s="234"/>
      <c r="AB40" s="234"/>
      <c r="AC40" s="235"/>
      <c r="AD40" s="228"/>
      <c r="AE40" s="232" t="s">
        <v>615</v>
      </c>
      <c r="AF40" s="229"/>
      <c r="AG40" s="236"/>
      <c r="AH40" s="236"/>
      <c r="AI40" s="228"/>
      <c r="AJ40" s="232" t="s">
        <v>615</v>
      </c>
      <c r="AK40" s="228"/>
      <c r="AL40" s="228"/>
      <c r="AM40" s="232"/>
      <c r="AN40" s="228"/>
      <c r="AO40" s="228"/>
      <c r="AP40" s="237"/>
      <c r="AQ40" s="228"/>
      <c r="AR40" s="232"/>
      <c r="AS40" s="228"/>
      <c r="AT40" s="229">
        <v>43486.724102662003</v>
      </c>
      <c r="AU40" s="229"/>
      <c r="AV40" s="229"/>
      <c r="AW40" s="229"/>
      <c r="AX40" s="229"/>
      <c r="AY40" s="229"/>
      <c r="AZ40" s="238">
        <v>43486.939407870399</v>
      </c>
      <c r="BA40" s="1" t="s">
        <v>7684</v>
      </c>
      <c r="BB40"/>
      <c r="BC40">
        <v>35</v>
      </c>
      <c r="BD40">
        <v>1887</v>
      </c>
      <c r="BE4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3.939407870399009</v>
      </c>
      <c r="BF40" s="240">
        <f>COUNTIFS(_05preva_view43[Site ID],_05preva_view43[[#This Row],[Site ID]],_05preva_view43[Prevalidation Status],"Under Prevalidation")</f>
        <v>0</v>
      </c>
      <c r="BG4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" s="242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1.xlsx</v>
      </c>
      <c r="BI40" s="64" t="e">
        <f t="shared" ca="1" si="1"/>
        <v>#VALUE!</v>
      </c>
      <c r="BJ40" s="104" t="e">
        <f ca="1">LEFT(CELL("filename",A25),_05preva_view43[[#This Row],[Find Process &amp; Database]]-1)</f>
        <v>#VALUE!</v>
      </c>
      <c r="BK40" s="104" t="e">
        <f ca="1">_05preva_view43[Folder Path1]&amp;"Process &amp; Database\Documentation\Colo Applications"</f>
        <v>#VALUE!</v>
      </c>
      <c r="BL40" s="104" t="e">
        <f ca="1">_05preva_view43[Folder Path2]&amp;"\Colo App "&amp;_05preva_view43[[#This Row],[Operator]]&amp;"\"</f>
        <v>#VALUE!</v>
      </c>
      <c r="BM40" s="63" t="e">
        <f ca="1">_05preva_view43[[#This Row],[Folder Path3]]&amp;_05preva_view43[[#This Row],[File Name]]</f>
        <v>#VALUE!</v>
      </c>
      <c r="BN40" s="104"/>
      <c r="CF40" s="5"/>
      <c r="CG40" s="5"/>
      <c r="CH40" s="3"/>
      <c r="CJ40" s="5"/>
      <c r="CN40" s="3"/>
      <c r="CO40" s="3"/>
      <c r="CP40" s="5"/>
      <c r="CR40" s="3"/>
      <c r="DN40" s="5"/>
      <c r="DP40" s="3"/>
      <c r="EB40" s="7"/>
      <c r="EC40" s="7"/>
      <c r="EF40" s="4"/>
      <c r="EG40" s="4"/>
      <c r="EQ40" s="2"/>
      <c r="ER40" s="2"/>
    </row>
    <row r="41" spans="1:148">
      <c r="A41" s="227">
        <v>3622</v>
      </c>
      <c r="B41" s="228" t="s">
        <v>1170</v>
      </c>
      <c r="C41" s="228" t="s">
        <v>116</v>
      </c>
      <c r="D41" s="228" t="s">
        <v>127</v>
      </c>
      <c r="E41" s="228" t="s">
        <v>1171</v>
      </c>
      <c r="F41" s="228" t="s">
        <v>41</v>
      </c>
      <c r="G41" s="228" t="s">
        <v>1129</v>
      </c>
      <c r="H41" s="228" t="s">
        <v>1037</v>
      </c>
      <c r="I41" s="228" t="s">
        <v>970</v>
      </c>
      <c r="J41" s="228" t="s">
        <v>668</v>
      </c>
      <c r="K41" s="229">
        <v>43483</v>
      </c>
      <c r="L41" s="230"/>
      <c r="M41" s="230">
        <v>2</v>
      </c>
      <c r="N41" s="228">
        <v>3</v>
      </c>
      <c r="O41" s="228" t="s">
        <v>119</v>
      </c>
      <c r="P41" s="231" t="s">
        <v>1172</v>
      </c>
      <c r="Q41" s="231" t="s">
        <v>292</v>
      </c>
      <c r="R41" s="228" t="s">
        <v>24</v>
      </c>
      <c r="S41" s="228"/>
      <c r="T41" s="232" t="s">
        <v>615</v>
      </c>
      <c r="U41" s="228"/>
      <c r="V41" s="232" t="s">
        <v>615</v>
      </c>
      <c r="W41" s="228"/>
      <c r="X41" s="232" t="s">
        <v>120</v>
      </c>
      <c r="Y41" s="228" t="s">
        <v>1620</v>
      </c>
      <c r="Z41" s="233" t="s">
        <v>615</v>
      </c>
      <c r="AA41" s="234"/>
      <c r="AB41" s="234"/>
      <c r="AC41" s="235"/>
      <c r="AD41" s="228"/>
      <c r="AE41" s="232" t="s">
        <v>615</v>
      </c>
      <c r="AF41" s="229"/>
      <c r="AG41" s="236"/>
      <c r="AH41" s="236"/>
      <c r="AI41" s="228"/>
      <c r="AJ41" s="232" t="s">
        <v>615</v>
      </c>
      <c r="AK41" s="228"/>
      <c r="AL41" s="228"/>
      <c r="AM41" s="232"/>
      <c r="AN41" s="228"/>
      <c r="AO41" s="228"/>
      <c r="AP41" s="237"/>
      <c r="AQ41" s="228"/>
      <c r="AR41" s="232"/>
      <c r="AS41" s="228"/>
      <c r="AT41" s="229">
        <v>43486.724104861103</v>
      </c>
      <c r="AU41" s="229"/>
      <c r="AV41" s="229"/>
      <c r="AW41" s="229"/>
      <c r="AX41" s="229"/>
      <c r="AY41" s="229"/>
      <c r="AZ41" s="238">
        <v>43486.939411921303</v>
      </c>
      <c r="BA41" s="1" t="s">
        <v>7684</v>
      </c>
      <c r="BB41"/>
      <c r="BC41">
        <v>35</v>
      </c>
      <c r="BD41">
        <v>1912</v>
      </c>
      <c r="BE4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3.9394119213029626</v>
      </c>
      <c r="BF41" s="240">
        <f>COUNTIFS(_05preva_view43[Site ID],_05preva_view43[[#This Row],[Site ID]],_05preva_view43[Prevalidation Status],"Under Prevalidation")</f>
        <v>0</v>
      </c>
      <c r="BG4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" s="242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1.xlsx</v>
      </c>
      <c r="BI41" s="64" t="e">
        <f t="shared" ca="1" si="1"/>
        <v>#VALUE!</v>
      </c>
      <c r="BJ41" s="104" t="e">
        <f ca="1">LEFT(CELL("filename",A26),_05preva_view43[[#This Row],[Find Process &amp; Database]]-1)</f>
        <v>#VALUE!</v>
      </c>
      <c r="BK41" s="104" t="e">
        <f ca="1">_05preva_view43[Folder Path1]&amp;"Process &amp; Database\Documentation\Colo Applications"</f>
        <v>#VALUE!</v>
      </c>
      <c r="BL41" s="104" t="e">
        <f ca="1">_05preva_view43[Folder Path2]&amp;"\Colo App "&amp;_05preva_view43[[#This Row],[Operator]]&amp;"\"</f>
        <v>#VALUE!</v>
      </c>
      <c r="BM41" s="63" t="e">
        <f ca="1">_05preva_view43[[#This Row],[Folder Path3]]&amp;_05preva_view43[[#This Row],[File Name]]</f>
        <v>#VALUE!</v>
      </c>
      <c r="BN41" s="104"/>
      <c r="CF41" s="5"/>
      <c r="CG41" s="5"/>
      <c r="CH41" s="3"/>
      <c r="CJ41" s="5"/>
      <c r="CN41" s="3"/>
      <c r="CO41" s="3"/>
      <c r="CP41" s="5"/>
      <c r="CR41" s="3"/>
      <c r="DN41" s="5"/>
      <c r="DP41" s="3"/>
      <c r="EB41" s="7"/>
      <c r="EC41" s="7"/>
      <c r="EF41" s="4"/>
      <c r="EG41" s="4"/>
      <c r="EQ41" s="2"/>
      <c r="ER41" s="2"/>
    </row>
    <row r="42" spans="1:148">
      <c r="A42" s="227">
        <v>3616</v>
      </c>
      <c r="B42" s="228" t="s">
        <v>1621</v>
      </c>
      <c r="C42" s="228" t="s">
        <v>278</v>
      </c>
      <c r="D42" s="228" t="s">
        <v>127</v>
      </c>
      <c r="E42" s="228" t="s">
        <v>1622</v>
      </c>
      <c r="F42" s="228" t="s">
        <v>35</v>
      </c>
      <c r="G42" s="228" t="s">
        <v>1292</v>
      </c>
      <c r="H42" s="228" t="s">
        <v>1285</v>
      </c>
      <c r="I42" s="228" t="s">
        <v>981</v>
      </c>
      <c r="J42" s="228" t="s">
        <v>727</v>
      </c>
      <c r="K42" s="229">
        <v>43482</v>
      </c>
      <c r="L42" s="230">
        <v>1.054</v>
      </c>
      <c r="M42" s="230">
        <v>1.46</v>
      </c>
      <c r="N42" s="228">
        <v>3.52</v>
      </c>
      <c r="O42" s="228" t="s">
        <v>687</v>
      </c>
      <c r="P42" s="231" t="s">
        <v>695</v>
      </c>
      <c r="Q42" s="231" t="s">
        <v>696</v>
      </c>
      <c r="R42" s="228" t="s">
        <v>24</v>
      </c>
      <c r="S42" s="228"/>
      <c r="T42" s="232" t="s">
        <v>615</v>
      </c>
      <c r="U42" s="228"/>
      <c r="V42" s="232" t="s">
        <v>120</v>
      </c>
      <c r="W42" s="228"/>
      <c r="X42" s="232" t="s">
        <v>120</v>
      </c>
      <c r="Y42" s="228" t="s">
        <v>1623</v>
      </c>
      <c r="Z42" s="233" t="s">
        <v>120</v>
      </c>
      <c r="AA42" s="234"/>
      <c r="AB42" s="234"/>
      <c r="AC42" s="235" t="s">
        <v>123</v>
      </c>
      <c r="AD42" s="228" t="s">
        <v>1624</v>
      </c>
      <c r="AE42" s="232" t="s">
        <v>120</v>
      </c>
      <c r="AF42" s="229"/>
      <c r="AG42" s="236"/>
      <c r="AH42" s="236"/>
      <c r="AI42" s="228"/>
      <c r="AJ42" s="232" t="s">
        <v>120</v>
      </c>
      <c r="AK42" s="228" t="s">
        <v>123</v>
      </c>
      <c r="AL42" s="228" t="s">
        <v>935</v>
      </c>
      <c r="AM42" s="232"/>
      <c r="AN42" s="228"/>
      <c r="AO42" s="228"/>
      <c r="AP42" s="237"/>
      <c r="AQ42" s="228"/>
      <c r="AR42" s="232"/>
      <c r="AS42" s="228"/>
      <c r="AT42" s="229">
        <v>43483.472496759299</v>
      </c>
      <c r="AU42" s="229">
        <v>43483.476301273098</v>
      </c>
      <c r="AV42" s="229">
        <v>43486.590974305604</v>
      </c>
      <c r="AW42" s="229">
        <v>43483.472496759299</v>
      </c>
      <c r="AX42" s="229"/>
      <c r="AY42" s="229">
        <v>43483.387676851897</v>
      </c>
      <c r="AZ42" s="238">
        <v>43486.6937533565</v>
      </c>
      <c r="BA42" s="1" t="s">
        <v>7684</v>
      </c>
      <c r="BB42">
        <v>130</v>
      </c>
      <c r="BC42">
        <v>60</v>
      </c>
      <c r="BD42">
        <v>3301</v>
      </c>
      <c r="BE4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4.6937533564996556</v>
      </c>
      <c r="BF42" s="240">
        <f>COUNTIFS(_05preva_view43[Site ID],_05preva_view43[[#This Row],[Site ID]],_05preva_view43[Prevalidation Status],"Under Prevalidation")</f>
        <v>0</v>
      </c>
      <c r="BG4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2" s="242" t="str">
        <f>CONCATENATE(_05preva_view43[[#This Row],[Site ID]]," (",_05preva_view43[[#This Row],[tenant id]],") Application",IF(_05preva_view43[[#This Row],[Colo Rev]]&gt;0," Rev "&amp;_05preva_view43[[#This Row],[Colo Rev]],""),".xlsx")</f>
        <v>3-00-01014-001 (KCN00056) Application Rev 3.xlsx</v>
      </c>
      <c r="BI42" s="64" t="e">
        <f t="shared" ca="1" si="1"/>
        <v>#VALUE!</v>
      </c>
      <c r="BJ42" s="104" t="e">
        <f ca="1">LEFT(CELL("filename",A27),_05preva_view43[[#This Row],[Find Process &amp; Database]]-1)</f>
        <v>#VALUE!</v>
      </c>
      <c r="BK42" s="104" t="e">
        <f ca="1">_05preva_view43[Folder Path1]&amp;"Process &amp; Database\Documentation\Colo Applications"</f>
        <v>#VALUE!</v>
      </c>
      <c r="BL42" s="104" t="e">
        <f ca="1">_05preva_view43[Folder Path2]&amp;"\Colo App "&amp;_05preva_view43[[#This Row],[Operator]]&amp;"\"</f>
        <v>#VALUE!</v>
      </c>
      <c r="BM42" s="63" t="e">
        <f ca="1">_05preva_view43[[#This Row],[Folder Path3]]&amp;_05preva_view43[[#This Row],[File Name]]</f>
        <v>#VALUE!</v>
      </c>
      <c r="BN42" s="104"/>
      <c r="CF42" s="5"/>
      <c r="CG42" s="5"/>
      <c r="CH42" s="3"/>
      <c r="CJ42" s="5"/>
      <c r="CN42" s="3"/>
      <c r="CO42" s="3"/>
      <c r="CP42" s="5"/>
      <c r="CR42" s="3"/>
      <c r="DN42" s="5"/>
      <c r="DP42" s="3"/>
      <c r="EB42" s="7"/>
      <c r="EC42" s="7"/>
      <c r="EF42" s="4"/>
      <c r="EG42" s="4"/>
      <c r="EQ42" s="2"/>
      <c r="ER42" s="2"/>
    </row>
    <row r="43" spans="1:148">
      <c r="A43" s="227">
        <v>3617</v>
      </c>
      <c r="B43" s="228" t="s">
        <v>1625</v>
      </c>
      <c r="C43" s="228" t="s">
        <v>116</v>
      </c>
      <c r="D43" s="228" t="s">
        <v>127</v>
      </c>
      <c r="E43" s="228" t="s">
        <v>1626</v>
      </c>
      <c r="F43" s="228" t="s">
        <v>35</v>
      </c>
      <c r="G43" s="228" t="s">
        <v>1287</v>
      </c>
      <c r="H43" s="228" t="s">
        <v>1285</v>
      </c>
      <c r="I43" s="228" t="s">
        <v>981</v>
      </c>
      <c r="J43" s="228" t="s">
        <v>686</v>
      </c>
      <c r="K43" s="229">
        <v>43482</v>
      </c>
      <c r="L43" s="230">
        <v>1.054</v>
      </c>
      <c r="M43" s="230">
        <v>1.46</v>
      </c>
      <c r="N43" s="228">
        <v>6</v>
      </c>
      <c r="O43" s="228" t="s">
        <v>119</v>
      </c>
      <c r="P43" s="231" t="s">
        <v>705</v>
      </c>
      <c r="Q43" s="231" t="s">
        <v>706</v>
      </c>
      <c r="R43" s="228" t="s">
        <v>24</v>
      </c>
      <c r="S43" s="228"/>
      <c r="T43" s="232" t="s">
        <v>615</v>
      </c>
      <c r="U43" s="228"/>
      <c r="V43" s="232" t="s">
        <v>120</v>
      </c>
      <c r="W43" s="228"/>
      <c r="X43" s="232" t="s">
        <v>120</v>
      </c>
      <c r="Y43" s="228" t="s">
        <v>1627</v>
      </c>
      <c r="Z43" s="233" t="s">
        <v>120</v>
      </c>
      <c r="AA43" s="234" t="s">
        <v>1724</v>
      </c>
      <c r="AB43" s="234" t="s">
        <v>1725</v>
      </c>
      <c r="AC43" s="235" t="s">
        <v>123</v>
      </c>
      <c r="AD43" s="228" t="s">
        <v>1741</v>
      </c>
      <c r="AE43" s="232" t="s">
        <v>120</v>
      </c>
      <c r="AF43" s="229"/>
      <c r="AG43" s="236"/>
      <c r="AH43" s="236"/>
      <c r="AI43" s="228"/>
      <c r="AJ43" s="232" t="s">
        <v>120</v>
      </c>
      <c r="AK43" s="228" t="s">
        <v>123</v>
      </c>
      <c r="AL43" s="228" t="s">
        <v>935</v>
      </c>
      <c r="AM43" s="232"/>
      <c r="AN43" s="228"/>
      <c r="AO43" s="228"/>
      <c r="AP43" s="237"/>
      <c r="AQ43" s="228"/>
      <c r="AR43" s="232"/>
      <c r="AS43" s="228"/>
      <c r="AT43" s="229">
        <v>43483.472498495401</v>
      </c>
      <c r="AU43" s="229">
        <v>43483.476307523102</v>
      </c>
      <c r="AV43" s="229">
        <v>43488.5851861111</v>
      </c>
      <c r="AW43" s="229">
        <v>43483.472498495401</v>
      </c>
      <c r="AX43" s="229"/>
      <c r="AY43" s="229">
        <v>43482.844667708297</v>
      </c>
      <c r="AZ43" s="238">
        <v>43488.591693750001</v>
      </c>
      <c r="BA43" s="1" t="s">
        <v>7684</v>
      </c>
      <c r="BB43"/>
      <c r="BC43">
        <v>50</v>
      </c>
      <c r="BD43">
        <v>125</v>
      </c>
      <c r="BE4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6.5916937500005588</v>
      </c>
      <c r="BF43" s="240">
        <f>COUNTIFS(_05preva_view43[Site ID],_05preva_view43[[#This Row],[Site ID]],_05preva_view43[Prevalidation Status],"Under Prevalidation")</f>
        <v>0</v>
      </c>
      <c r="BG4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3" s="242" t="str">
        <f>CONCATENATE(_05preva_view43[[#This Row],[Site ID]]," (",_05preva_view43[[#This Row],[tenant id]],") Application",IF(_05preva_view43[[#This Row],[Colo Rev]]&gt;0," Rev "&amp;_05preva_view43[[#This Row],[Colo Rev]],""),".xlsx")</f>
        <v>ANMD_0236 (MDY00844) Application Rev 2.xlsx</v>
      </c>
      <c r="BI43" s="64" t="e">
        <f t="shared" ca="1" si="1"/>
        <v>#VALUE!</v>
      </c>
      <c r="BJ43" s="104" t="e">
        <f ca="1">LEFT(CELL("filename",A28),_05preva_view43[[#This Row],[Find Process &amp; Database]]-1)</f>
        <v>#VALUE!</v>
      </c>
      <c r="BK43" s="104" t="e">
        <f ca="1">_05preva_view43[Folder Path1]&amp;"Process &amp; Database\Documentation\Colo Applications"</f>
        <v>#VALUE!</v>
      </c>
      <c r="BL43" s="104" t="e">
        <f ca="1">_05preva_view43[Folder Path2]&amp;"\Colo App "&amp;_05preva_view43[[#This Row],[Operator]]&amp;"\"</f>
        <v>#VALUE!</v>
      </c>
      <c r="BM43" s="63" t="e">
        <f ca="1">_05preva_view43[[#This Row],[Folder Path3]]&amp;_05preva_view43[[#This Row],[File Name]]</f>
        <v>#VALUE!</v>
      </c>
      <c r="BN43" s="104"/>
      <c r="CF43" s="5"/>
      <c r="CG43" s="5"/>
      <c r="CH43" s="3"/>
      <c r="CJ43" s="5"/>
      <c r="CN43" s="3"/>
      <c r="CO43" s="3"/>
      <c r="CP43" s="5"/>
      <c r="CR43" s="3"/>
      <c r="DN43" s="5"/>
      <c r="DP43" s="3"/>
      <c r="EB43" s="7"/>
      <c r="EC43" s="7"/>
      <c r="EF43" s="4"/>
      <c r="EG43" s="4"/>
      <c r="EQ43" s="2"/>
      <c r="ER43" s="2"/>
    </row>
    <row r="44" spans="1:148">
      <c r="A44" s="227">
        <v>3618</v>
      </c>
      <c r="B44" s="228" t="s">
        <v>1628</v>
      </c>
      <c r="C44" s="228" t="s">
        <v>278</v>
      </c>
      <c r="D44" s="228" t="s">
        <v>127</v>
      </c>
      <c r="E44" s="228" t="s">
        <v>1629</v>
      </c>
      <c r="F44" s="228" t="s">
        <v>35</v>
      </c>
      <c r="G44" s="228" t="s">
        <v>1292</v>
      </c>
      <c r="H44" s="228" t="s">
        <v>1285</v>
      </c>
      <c r="I44" s="228" t="s">
        <v>1630</v>
      </c>
      <c r="J44" s="228" t="s">
        <v>668</v>
      </c>
      <c r="K44" s="229">
        <v>43482</v>
      </c>
      <c r="L44" s="230">
        <v>1.6579999999999999</v>
      </c>
      <c r="M44" s="230">
        <v>3.06</v>
      </c>
      <c r="N44" s="228">
        <v>3.07</v>
      </c>
      <c r="O44" s="228" t="s">
        <v>687</v>
      </c>
      <c r="P44" s="231" t="s">
        <v>695</v>
      </c>
      <c r="Q44" s="231" t="s">
        <v>696</v>
      </c>
      <c r="R44" s="228" t="s">
        <v>24</v>
      </c>
      <c r="S44" s="228"/>
      <c r="T44" s="232" t="s">
        <v>615</v>
      </c>
      <c r="U44" s="228"/>
      <c r="V44" s="232" t="s">
        <v>120</v>
      </c>
      <c r="W44" s="228"/>
      <c r="X44" s="232" t="s">
        <v>120</v>
      </c>
      <c r="Y44" s="228" t="s">
        <v>1631</v>
      </c>
      <c r="Z44" s="233" t="s">
        <v>120</v>
      </c>
      <c r="AA44" s="234"/>
      <c r="AB44" s="234"/>
      <c r="AC44" s="235" t="s">
        <v>123</v>
      </c>
      <c r="AD44" s="228" t="s">
        <v>1632</v>
      </c>
      <c r="AE44" s="232" t="s">
        <v>120</v>
      </c>
      <c r="AF44" s="229"/>
      <c r="AG44" s="236"/>
      <c r="AH44" s="236"/>
      <c r="AI44" s="228"/>
      <c r="AJ44" s="232" t="s">
        <v>120</v>
      </c>
      <c r="AK44" s="228" t="s">
        <v>123</v>
      </c>
      <c r="AL44" s="228" t="s">
        <v>935</v>
      </c>
      <c r="AM44" s="232"/>
      <c r="AN44" s="228"/>
      <c r="AO44" s="228"/>
      <c r="AP44" s="237"/>
      <c r="AQ44" s="228"/>
      <c r="AR44" s="232"/>
      <c r="AS44" s="228"/>
      <c r="AT44" s="229">
        <v>43483.472500231503</v>
      </c>
      <c r="AU44" s="229">
        <v>43483.476314004598</v>
      </c>
      <c r="AV44" s="229">
        <v>43486.590976041698</v>
      </c>
      <c r="AW44" s="229">
        <v>43483.472500231503</v>
      </c>
      <c r="AX44" s="229"/>
      <c r="AY44" s="229">
        <v>43483.387680439802</v>
      </c>
      <c r="AZ44" s="238">
        <v>43486.693754513901</v>
      </c>
      <c r="BA44" s="1" t="s">
        <v>7684</v>
      </c>
      <c r="BB44">
        <v>130</v>
      </c>
      <c r="BC44">
        <v>60</v>
      </c>
      <c r="BD44">
        <v>3569</v>
      </c>
      <c r="BE4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4.6937545139007852</v>
      </c>
      <c r="BF44" s="240">
        <f>COUNTIFS(_05preva_view43[Site ID],_05preva_view43[[#This Row],[Site ID]],_05preva_view43[Prevalidation Status],"Under Prevalidation")</f>
        <v>0</v>
      </c>
      <c r="BG4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4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1-01-15014-008 (SHN00175) Application Rev 1.xlsx</v>
      </c>
      <c r="BI44" s="64" t="e">
        <f t="shared" ca="1" si="1"/>
        <v>#VALUE!</v>
      </c>
      <c r="BJ44" s="104" t="e">
        <f ca="1">LEFT(CELL("filename",A29),_05preva_view43[[#This Row],[Find Process &amp; Database]]-1)</f>
        <v>#VALUE!</v>
      </c>
      <c r="BK44" s="104" t="e">
        <f ca="1">_05preva_view43[Folder Path1]&amp;"Process &amp; Database\Documentation\Colo Applications"</f>
        <v>#VALUE!</v>
      </c>
      <c r="BL44" s="104" t="e">
        <f ca="1">_05preva_view43[Folder Path2]&amp;"\Colo App "&amp;_05preva_view43[[#This Row],[Operator]]&amp;"\"</f>
        <v>#VALUE!</v>
      </c>
      <c r="BM44" s="63" t="e">
        <f ca="1">_05preva_view43[[#This Row],[Folder Path3]]&amp;_05preva_view43[[#This Row],[File Name]]</f>
        <v>#VALUE!</v>
      </c>
      <c r="BN44" s="104"/>
      <c r="CF44" s="5"/>
      <c r="CG44" s="5"/>
      <c r="CH44" s="3"/>
      <c r="CJ44" s="5"/>
      <c r="CN44" s="3"/>
      <c r="CO44" s="3"/>
      <c r="CP44" s="5"/>
      <c r="CR44" s="3"/>
      <c r="DN44" s="5"/>
      <c r="DP44" s="3"/>
      <c r="EB44" s="7"/>
      <c r="EC44" s="7"/>
      <c r="EF44" s="4"/>
      <c r="EG44" s="4"/>
      <c r="EQ44" s="2"/>
      <c r="ER44" s="2"/>
    </row>
    <row r="45" spans="1:148">
      <c r="A45" s="227">
        <v>3612</v>
      </c>
      <c r="B45" s="228" t="s">
        <v>384</v>
      </c>
      <c r="C45" s="228" t="s">
        <v>116</v>
      </c>
      <c r="D45" s="228" t="s">
        <v>153</v>
      </c>
      <c r="E45" s="228" t="s">
        <v>385</v>
      </c>
      <c r="F45" s="228" t="s">
        <v>40</v>
      </c>
      <c r="G45" s="228" t="s">
        <v>118</v>
      </c>
      <c r="H45" s="228"/>
      <c r="I45" s="228" t="s">
        <v>880</v>
      </c>
      <c r="J45" s="228" t="s">
        <v>828</v>
      </c>
      <c r="K45" s="229">
        <v>43481</v>
      </c>
      <c r="L45" s="230">
        <v>3</v>
      </c>
      <c r="M45" s="230">
        <v>4</v>
      </c>
      <c r="N45" s="228">
        <v>6</v>
      </c>
      <c r="O45" s="228" t="s">
        <v>119</v>
      </c>
      <c r="P45" s="231" t="s">
        <v>247</v>
      </c>
      <c r="Q45" s="231" t="s">
        <v>227</v>
      </c>
      <c r="R45" s="228" t="s">
        <v>24</v>
      </c>
      <c r="S45" s="228"/>
      <c r="T45" s="232" t="s">
        <v>615</v>
      </c>
      <c r="U45" s="228"/>
      <c r="V45" s="232" t="s">
        <v>120</v>
      </c>
      <c r="W45" s="228"/>
      <c r="X45" s="232" t="s">
        <v>120</v>
      </c>
      <c r="Y45" s="228" t="s">
        <v>7642</v>
      </c>
      <c r="Z45" s="233" t="s">
        <v>120</v>
      </c>
      <c r="AA45" s="234" t="s">
        <v>1724</v>
      </c>
      <c r="AB45" s="234" t="s">
        <v>1725</v>
      </c>
      <c r="AC45" s="235" t="s">
        <v>123</v>
      </c>
      <c r="AD45" s="228" t="s">
        <v>7643</v>
      </c>
      <c r="AE45" s="232" t="s">
        <v>120</v>
      </c>
      <c r="AF45" s="229"/>
      <c r="AG45" s="236"/>
      <c r="AH45" s="236"/>
      <c r="AI45" s="228"/>
      <c r="AJ45" s="232" t="s">
        <v>120</v>
      </c>
      <c r="AK45" s="228" t="s">
        <v>206</v>
      </c>
      <c r="AL45" s="228" t="s">
        <v>7644</v>
      </c>
      <c r="AM45" s="232"/>
      <c r="AN45" s="228"/>
      <c r="AO45" s="228"/>
      <c r="AP45" s="237"/>
      <c r="AQ45" s="228"/>
      <c r="AR45" s="232"/>
      <c r="AS45" s="228"/>
      <c r="AT45" s="229">
        <v>43482.624734490702</v>
      </c>
      <c r="AU45" s="229">
        <v>43483.4762752315</v>
      </c>
      <c r="AV45" s="229">
        <v>43488.560552314797</v>
      </c>
      <c r="AW45" s="229">
        <v>43482.624734490702</v>
      </c>
      <c r="AX45" s="229"/>
      <c r="AY45" s="229">
        <v>43481.690498263903</v>
      </c>
      <c r="AZ45" s="238">
        <v>43494.386884953703</v>
      </c>
      <c r="BA45" s="1" t="s">
        <v>7684</v>
      </c>
      <c r="BB45">
        <v>160</v>
      </c>
      <c r="BC45">
        <v>45</v>
      </c>
      <c r="BD45">
        <v>151</v>
      </c>
      <c r="BE4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13.386884953702975</v>
      </c>
      <c r="BF45" s="240">
        <f>COUNTIFS(_05preva_view43[Site ID],_05preva_view43[[#This Row],[Site ID]],_05preva_view43[Prevalidation Status],"Under Prevalidation")</f>
        <v>0</v>
      </c>
      <c r="BG4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5" s="242" t="str">
        <f>CONCATENATE(_05preva_view43[[#This Row],[Site ID]]," (",_05preva_view43[[#This Row],[tenant id]],") Application",IF(_05preva_view43[[#This Row],[Colo Rev]]&gt;0," Rev "&amp;_05preva_view43[[#This Row],[Colo Rev]],""),".xlsx")</f>
        <v>ACBA_0032 (BAW5234) Application Rev .xlsx</v>
      </c>
      <c r="BI45" s="64" t="e">
        <f t="shared" ca="1" si="1"/>
        <v>#VALUE!</v>
      </c>
      <c r="BJ45" s="104" t="e">
        <f ca="1">LEFT(CELL("filename",A30),_05preva_view43[[#This Row],[Find Process &amp; Database]]-1)</f>
        <v>#VALUE!</v>
      </c>
      <c r="BK45" s="104" t="e">
        <f ca="1">_05preva_view43[Folder Path1]&amp;"Process &amp; Database\Documentation\Colo Applications"</f>
        <v>#VALUE!</v>
      </c>
      <c r="BL45" s="104" t="e">
        <f ca="1">_05preva_view43[Folder Path2]&amp;"\Colo App "&amp;_05preva_view43[[#This Row],[Operator]]&amp;"\"</f>
        <v>#VALUE!</v>
      </c>
      <c r="BM45" s="63" t="e">
        <f ca="1">_05preva_view43[[#This Row],[Folder Path3]]&amp;_05preva_view43[[#This Row],[File Name]]</f>
        <v>#VALUE!</v>
      </c>
      <c r="BN45" s="104"/>
      <c r="CF45" s="5"/>
      <c r="CG45" s="5"/>
      <c r="CH45" s="3"/>
      <c r="CJ45" s="5"/>
      <c r="CN45" s="3"/>
      <c r="CO45" s="3"/>
      <c r="CP45" s="5"/>
      <c r="CR45" s="3"/>
      <c r="DN45" s="5"/>
      <c r="DP45" s="3"/>
      <c r="EB45" s="7"/>
      <c r="EC45" s="7"/>
      <c r="EF45" s="4"/>
      <c r="EG45" s="4"/>
      <c r="EQ45" s="2"/>
      <c r="ER45" s="2"/>
    </row>
    <row r="46" spans="1:148">
      <c r="A46" s="227">
        <v>3613</v>
      </c>
      <c r="B46" s="228" t="s">
        <v>699</v>
      </c>
      <c r="C46" s="228" t="s">
        <v>278</v>
      </c>
      <c r="D46" s="228" t="s">
        <v>117</v>
      </c>
      <c r="E46" s="228" t="s">
        <v>700</v>
      </c>
      <c r="F46" s="228" t="s">
        <v>35</v>
      </c>
      <c r="G46" s="228" t="s">
        <v>1292</v>
      </c>
      <c r="H46" s="228" t="s">
        <v>1285</v>
      </c>
      <c r="I46" s="228" t="s">
        <v>790</v>
      </c>
      <c r="J46" s="228" t="s">
        <v>694</v>
      </c>
      <c r="K46" s="229">
        <v>43481</v>
      </c>
      <c r="L46" s="230">
        <v>2.72</v>
      </c>
      <c r="M46" s="230">
        <v>3.4</v>
      </c>
      <c r="N46" s="228"/>
      <c r="O46" s="228" t="s">
        <v>687</v>
      </c>
      <c r="P46" s="231" t="s">
        <v>695</v>
      </c>
      <c r="Q46" s="231" t="s">
        <v>696</v>
      </c>
      <c r="R46" s="228" t="s">
        <v>24</v>
      </c>
      <c r="S46" s="228"/>
      <c r="T46" s="232" t="s">
        <v>615</v>
      </c>
      <c r="U46" s="228"/>
      <c r="V46" s="232" t="s">
        <v>615</v>
      </c>
      <c r="W46" s="228"/>
      <c r="X46" s="232" t="s">
        <v>615</v>
      </c>
      <c r="Y46" s="228"/>
      <c r="Z46" s="233" t="s">
        <v>615</v>
      </c>
      <c r="AA46" s="234"/>
      <c r="AB46" s="234"/>
      <c r="AC46" s="235"/>
      <c r="AD46" s="228"/>
      <c r="AE46" s="232" t="s">
        <v>120</v>
      </c>
      <c r="AF46" s="229"/>
      <c r="AG46" s="236"/>
      <c r="AH46" s="236"/>
      <c r="AI46" s="228"/>
      <c r="AJ46" s="232" t="s">
        <v>615</v>
      </c>
      <c r="AK46" s="228"/>
      <c r="AL46" s="228"/>
      <c r="AM46" s="232"/>
      <c r="AN46" s="228"/>
      <c r="AO46" s="228"/>
      <c r="AP46" s="237"/>
      <c r="AQ46" s="228"/>
      <c r="AR46" s="232"/>
      <c r="AS46" s="228"/>
      <c r="AT46" s="229"/>
      <c r="AU46" s="229">
        <v>43483.476281828698</v>
      </c>
      <c r="AV46" s="229"/>
      <c r="AW46" s="229"/>
      <c r="AX46" s="229"/>
      <c r="AY46" s="229"/>
      <c r="AZ46" s="238">
        <v>43486.428173611101</v>
      </c>
      <c r="BA46" s="1" t="s">
        <v>7684</v>
      </c>
      <c r="BB46">
        <v>130</v>
      </c>
      <c r="BC46">
        <v>60</v>
      </c>
      <c r="BD46">
        <v>2633</v>
      </c>
      <c r="BE4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5.4281736111006467</v>
      </c>
      <c r="BF46" s="240">
        <f>COUNTIFS(_05preva_view43[Site ID],_05preva_view43[[#This Row],[Site ID]],_05preva_view43[Prevalidation Status],"Under Prevalidation")</f>
        <v>0</v>
      </c>
      <c r="BG4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6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I46" s="64" t="e">
        <f t="shared" ca="1" si="1"/>
        <v>#VALUE!</v>
      </c>
      <c r="BJ46" s="104" t="e">
        <f ca="1">LEFT(CELL("filename",A31),_05preva_view43[[#This Row],[Find Process &amp; Database]]-1)</f>
        <v>#VALUE!</v>
      </c>
      <c r="BK46" s="104" t="e">
        <f ca="1">_05preva_view43[Folder Path1]&amp;"Process &amp; Database\Documentation\Colo Applications"</f>
        <v>#VALUE!</v>
      </c>
      <c r="BL46" s="104" t="e">
        <f ca="1">_05preva_view43[Folder Path2]&amp;"\Colo App "&amp;_05preva_view43[[#This Row],[Operator]]&amp;"\"</f>
        <v>#VALUE!</v>
      </c>
      <c r="BM46" s="63" t="e">
        <f ca="1">_05preva_view43[[#This Row],[Folder Path3]]&amp;_05preva_view43[[#This Row],[File Name]]</f>
        <v>#VALUE!</v>
      </c>
      <c r="BN46" s="104"/>
      <c r="CF46" s="5"/>
      <c r="CG46" s="5"/>
      <c r="CH46" s="3"/>
      <c r="CJ46" s="5"/>
      <c r="CN46" s="3"/>
      <c r="CO46" s="3"/>
      <c r="CP46" s="5"/>
      <c r="CR46" s="3"/>
      <c r="DN46" s="5"/>
      <c r="DP46" s="3"/>
      <c r="EB46" s="7"/>
      <c r="EC46" s="7"/>
      <c r="EF46" s="4"/>
      <c r="EG46" s="4"/>
      <c r="EQ46" s="2"/>
      <c r="ER46" s="2"/>
    </row>
    <row r="47" spans="1:148">
      <c r="A47" s="227">
        <v>3599</v>
      </c>
      <c r="B47" s="228" t="s">
        <v>1633</v>
      </c>
      <c r="C47" s="228" t="s">
        <v>116</v>
      </c>
      <c r="D47" s="228" t="s">
        <v>127</v>
      </c>
      <c r="E47" s="228" t="s">
        <v>1634</v>
      </c>
      <c r="F47" s="228" t="s">
        <v>35</v>
      </c>
      <c r="G47" s="228" t="s">
        <v>1287</v>
      </c>
      <c r="H47" s="228" t="s">
        <v>1285</v>
      </c>
      <c r="I47" s="228" t="s">
        <v>981</v>
      </c>
      <c r="J47" s="228" t="s">
        <v>686</v>
      </c>
      <c r="K47" s="229">
        <v>43480</v>
      </c>
      <c r="L47" s="230">
        <v>1.079</v>
      </c>
      <c r="M47" s="230">
        <v>1.4950000000000001</v>
      </c>
      <c r="N47" s="228">
        <v>7.56</v>
      </c>
      <c r="O47" s="228" t="s">
        <v>119</v>
      </c>
      <c r="P47" s="231" t="s">
        <v>227</v>
      </c>
      <c r="Q47" s="231" t="s">
        <v>228</v>
      </c>
      <c r="R47" s="228" t="s">
        <v>24</v>
      </c>
      <c r="S47" s="228"/>
      <c r="T47" s="232" t="s">
        <v>615</v>
      </c>
      <c r="U47" s="228" t="s">
        <v>1635</v>
      </c>
      <c r="V47" s="232" t="s">
        <v>120</v>
      </c>
      <c r="W47" s="228"/>
      <c r="X47" s="232" t="s">
        <v>120</v>
      </c>
      <c r="Y47" s="228" t="s">
        <v>1636</v>
      </c>
      <c r="Z47" s="233" t="s">
        <v>120</v>
      </c>
      <c r="AA47" s="234"/>
      <c r="AB47" s="234"/>
      <c r="AC47" s="235" t="s">
        <v>123</v>
      </c>
      <c r="AD47" s="228" t="s">
        <v>1637</v>
      </c>
      <c r="AE47" s="232" t="s">
        <v>120</v>
      </c>
      <c r="AF47" s="229"/>
      <c r="AG47" s="236"/>
      <c r="AH47" s="236"/>
      <c r="AI47" s="228"/>
      <c r="AJ47" s="232" t="s">
        <v>120</v>
      </c>
      <c r="AK47" s="228" t="s">
        <v>123</v>
      </c>
      <c r="AL47" s="228" t="s">
        <v>935</v>
      </c>
      <c r="AM47" s="232"/>
      <c r="AN47" s="228"/>
      <c r="AO47" s="228"/>
      <c r="AP47" s="237"/>
      <c r="AQ47" s="228"/>
      <c r="AR47" s="232"/>
      <c r="AS47" s="228"/>
      <c r="AT47" s="229">
        <v>43482.624717245402</v>
      </c>
      <c r="AU47" s="229">
        <v>43481.365416203698</v>
      </c>
      <c r="AV47" s="229">
        <v>43483.561056365703</v>
      </c>
      <c r="AW47" s="229">
        <v>43482.624717245402</v>
      </c>
      <c r="AX47" s="229">
        <v>43480.7145789352</v>
      </c>
      <c r="AY47" s="229">
        <v>43480.621084143502</v>
      </c>
      <c r="AZ47" s="238">
        <v>43486.402932175901</v>
      </c>
      <c r="BA47" s="1" t="s">
        <v>7684</v>
      </c>
      <c r="BB47">
        <v>160</v>
      </c>
      <c r="BC47">
        <v>50</v>
      </c>
      <c r="BD47">
        <v>676</v>
      </c>
      <c r="BE4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6.4029321759007871</v>
      </c>
      <c r="BF47" s="240">
        <f>COUNTIFS(_05preva_view43[Site ID],_05preva_view43[[#This Row],[Site ID]],_05preva_view43[Prevalidation Status],"Under Prevalidation")</f>
        <v>0</v>
      </c>
      <c r="BG4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7" s="242" t="str">
        <f>CONCATENATE(_05preva_view43[[#This Row],[Site ID]]," (",_05preva_view43[[#This Row],[tenant id]],") Application",IF(_05preva_view43[[#This Row],[Colo Rev]]&gt;0," Rev "&amp;_05preva_view43[[#This Row],[Colo Rev]],""),".xlsx")</f>
        <v>ANMD_0220 (MDY00991) Application Rev 2.xlsx</v>
      </c>
      <c r="BI47" s="64" t="e">
        <f t="shared" ca="1" si="1"/>
        <v>#VALUE!</v>
      </c>
      <c r="BJ47" s="104" t="e">
        <f ca="1">LEFT(CELL("filename",A32),_05preva_view43[[#This Row],[Find Process &amp; Database]]-1)</f>
        <v>#VALUE!</v>
      </c>
      <c r="BK47" s="104" t="e">
        <f ca="1">_05preva_view43[Folder Path1]&amp;"Process &amp; Database\Documentation\Colo Applications"</f>
        <v>#VALUE!</v>
      </c>
      <c r="BL47" s="104" t="e">
        <f ca="1">_05preva_view43[Folder Path2]&amp;"\Colo App "&amp;_05preva_view43[[#This Row],[Operator]]&amp;"\"</f>
        <v>#VALUE!</v>
      </c>
      <c r="BM47" s="63" t="e">
        <f ca="1">_05preva_view43[[#This Row],[Folder Path3]]&amp;_05preva_view43[[#This Row],[File Name]]</f>
        <v>#VALUE!</v>
      </c>
      <c r="BN47" s="104"/>
      <c r="CF47" s="5"/>
      <c r="CG47" s="5"/>
      <c r="CH47" s="3"/>
      <c r="CJ47" s="5"/>
      <c r="CN47" s="3"/>
      <c r="CO47" s="3"/>
      <c r="CP47" s="5"/>
      <c r="CR47" s="3"/>
      <c r="DN47" s="5"/>
      <c r="DP47" s="3"/>
      <c r="EB47" s="7"/>
      <c r="EC47" s="7"/>
      <c r="EF47" s="4"/>
      <c r="EG47" s="4"/>
      <c r="EQ47" s="2"/>
      <c r="ER47" s="2"/>
    </row>
    <row r="48" spans="1:148">
      <c r="A48" s="227">
        <v>3600</v>
      </c>
      <c r="B48" s="228" t="s">
        <v>1638</v>
      </c>
      <c r="C48" s="228" t="s">
        <v>278</v>
      </c>
      <c r="D48" s="228" t="s">
        <v>127</v>
      </c>
      <c r="E48" s="228" t="s">
        <v>1639</v>
      </c>
      <c r="F48" s="228" t="s">
        <v>35</v>
      </c>
      <c r="G48" s="228" t="s">
        <v>1292</v>
      </c>
      <c r="H48" s="228" t="s">
        <v>1285</v>
      </c>
      <c r="I48" s="228" t="s">
        <v>981</v>
      </c>
      <c r="J48" s="228" t="s">
        <v>668</v>
      </c>
      <c r="K48" s="229">
        <v>43480</v>
      </c>
      <c r="L48" s="230">
        <v>1.1080000000000001</v>
      </c>
      <c r="M48" s="230">
        <v>1.52</v>
      </c>
      <c r="N48" s="228">
        <v>4.62</v>
      </c>
      <c r="O48" s="228" t="s">
        <v>687</v>
      </c>
      <c r="P48" s="231" t="s">
        <v>695</v>
      </c>
      <c r="Q48" s="231" t="s">
        <v>696</v>
      </c>
      <c r="R48" s="228" t="s">
        <v>24</v>
      </c>
      <c r="S48" s="228"/>
      <c r="T48" s="232" t="s">
        <v>615</v>
      </c>
      <c r="U48" s="228"/>
      <c r="V48" s="232" t="s">
        <v>120</v>
      </c>
      <c r="W48" s="228"/>
      <c r="X48" s="232" t="s">
        <v>120</v>
      </c>
      <c r="Y48" s="228" t="s">
        <v>1640</v>
      </c>
      <c r="Z48" s="233" t="s">
        <v>120</v>
      </c>
      <c r="AA48" s="234"/>
      <c r="AB48" s="234"/>
      <c r="AC48" s="235" t="s">
        <v>123</v>
      </c>
      <c r="AD48" s="228" t="s">
        <v>1641</v>
      </c>
      <c r="AE48" s="232" t="s">
        <v>120</v>
      </c>
      <c r="AF48" s="229"/>
      <c r="AG48" s="236"/>
      <c r="AH48" s="236"/>
      <c r="AI48" s="228" t="s">
        <v>1642</v>
      </c>
      <c r="AJ48" s="232" t="s">
        <v>120</v>
      </c>
      <c r="AK48" s="228" t="s">
        <v>123</v>
      </c>
      <c r="AL48" s="228" t="s">
        <v>935</v>
      </c>
      <c r="AM48" s="232"/>
      <c r="AN48" s="228"/>
      <c r="AO48" s="228"/>
      <c r="AP48" s="237"/>
      <c r="AQ48" s="228"/>
      <c r="AR48" s="232"/>
      <c r="AS48" s="228"/>
      <c r="AT48" s="229">
        <v>43482.624718981497</v>
      </c>
      <c r="AU48" s="229">
        <v>43481.365416782399</v>
      </c>
      <c r="AV48" s="229">
        <v>43483.6958936343</v>
      </c>
      <c r="AW48" s="229">
        <v>43482.624718981497</v>
      </c>
      <c r="AX48" s="229"/>
      <c r="AY48" s="229">
        <v>43480.6210460648</v>
      </c>
      <c r="AZ48" s="238">
        <v>43486.402934375001</v>
      </c>
      <c r="BA48" s="1" t="s">
        <v>7684</v>
      </c>
      <c r="BB48">
        <v>130</v>
      </c>
      <c r="BC48">
        <v>60</v>
      </c>
      <c r="BD48">
        <v>2984</v>
      </c>
      <c r="BE4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6.4029343750007683</v>
      </c>
      <c r="BF48" s="240">
        <f>COUNTIFS(_05preva_view43[Site ID],_05preva_view43[[#This Row],[Site ID]],_05preva_view43[Prevalidation Status],"Under Prevalidation")</f>
        <v>0</v>
      </c>
      <c r="BG4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8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1-01-05005-001 (SGG00218) Application Rev 1.xlsx</v>
      </c>
      <c r="BI48" s="64" t="e">
        <f t="shared" ca="1" si="1"/>
        <v>#VALUE!</v>
      </c>
      <c r="BJ48" s="104" t="e">
        <f ca="1">LEFT(CELL("filename",A33),_05preva_view43[[#This Row],[Find Process &amp; Database]]-1)</f>
        <v>#VALUE!</v>
      </c>
      <c r="BK48" s="104" t="e">
        <f ca="1">_05preva_view43[Folder Path1]&amp;"Process &amp; Database\Documentation\Colo Applications"</f>
        <v>#VALUE!</v>
      </c>
      <c r="BL48" s="104" t="e">
        <f ca="1">_05preva_view43[Folder Path2]&amp;"\Colo App "&amp;_05preva_view43[[#This Row],[Operator]]&amp;"\"</f>
        <v>#VALUE!</v>
      </c>
      <c r="BM48" s="63" t="e">
        <f ca="1">_05preva_view43[[#This Row],[Folder Path3]]&amp;_05preva_view43[[#This Row],[File Name]]</f>
        <v>#VALUE!</v>
      </c>
      <c r="BN48" s="104"/>
      <c r="CF48" s="5"/>
      <c r="CG48" s="5"/>
      <c r="CH48" s="3"/>
      <c r="CJ48" s="5"/>
      <c r="CN48" s="3"/>
      <c r="CO48" s="3"/>
      <c r="CP48" s="5"/>
      <c r="CR48" s="3"/>
      <c r="DN48" s="5"/>
      <c r="DP48" s="3"/>
      <c r="EB48" s="7"/>
      <c r="EC48" s="7"/>
      <c r="EF48" s="4"/>
      <c r="EG48" s="4"/>
      <c r="EQ48" s="2"/>
      <c r="ER48" s="2"/>
    </row>
    <row r="49" spans="1:148">
      <c r="A49" s="227">
        <v>3601</v>
      </c>
      <c r="B49" s="228" t="s">
        <v>1643</v>
      </c>
      <c r="C49" s="228" t="s">
        <v>116</v>
      </c>
      <c r="D49" s="228" t="s">
        <v>127</v>
      </c>
      <c r="E49" s="228" t="s">
        <v>1644</v>
      </c>
      <c r="F49" s="228" t="s">
        <v>35</v>
      </c>
      <c r="G49" s="228" t="s">
        <v>1287</v>
      </c>
      <c r="H49" s="228" t="s">
        <v>1285</v>
      </c>
      <c r="I49" s="228" t="s">
        <v>981</v>
      </c>
      <c r="J49" s="228" t="s">
        <v>686</v>
      </c>
      <c r="K49" s="229">
        <v>43480</v>
      </c>
      <c r="L49" s="230">
        <v>1</v>
      </c>
      <c r="M49" s="230">
        <v>1.4</v>
      </c>
      <c r="N49" s="228">
        <v>5.83</v>
      </c>
      <c r="O49" s="228" t="s">
        <v>119</v>
      </c>
      <c r="P49" s="231" t="s">
        <v>220</v>
      </c>
      <c r="Q49" s="231" t="s">
        <v>221</v>
      </c>
      <c r="R49" s="228" t="s">
        <v>24</v>
      </c>
      <c r="S49" s="228"/>
      <c r="T49" s="232" t="s">
        <v>615</v>
      </c>
      <c r="U49" s="228" t="s">
        <v>1645</v>
      </c>
      <c r="V49" s="232" t="s">
        <v>120</v>
      </c>
      <c r="W49" s="228"/>
      <c r="X49" s="232" t="s">
        <v>120</v>
      </c>
      <c r="Y49" s="228" t="s">
        <v>1646</v>
      </c>
      <c r="Z49" s="233" t="s">
        <v>120</v>
      </c>
      <c r="AA49" s="234"/>
      <c r="AB49" s="234"/>
      <c r="AC49" s="235" t="s">
        <v>206</v>
      </c>
      <c r="AD49" s="228" t="s">
        <v>1647</v>
      </c>
      <c r="AE49" s="232" t="s">
        <v>120</v>
      </c>
      <c r="AF49" s="229"/>
      <c r="AG49" s="236"/>
      <c r="AH49" s="236"/>
      <c r="AI49" s="228"/>
      <c r="AJ49" s="232" t="s">
        <v>120</v>
      </c>
      <c r="AK49" s="228" t="s">
        <v>123</v>
      </c>
      <c r="AL49" s="228" t="s">
        <v>935</v>
      </c>
      <c r="AM49" s="232"/>
      <c r="AN49" s="228"/>
      <c r="AO49" s="228"/>
      <c r="AP49" s="237"/>
      <c r="AQ49" s="228"/>
      <c r="AR49" s="232"/>
      <c r="AS49" s="228"/>
      <c r="AT49" s="229">
        <v>43482.624720601903</v>
      </c>
      <c r="AU49" s="229">
        <v>43481.365418171299</v>
      </c>
      <c r="AV49" s="229">
        <v>43486.4284436343</v>
      </c>
      <c r="AW49" s="229">
        <v>43482.624720601903</v>
      </c>
      <c r="AX49" s="229">
        <v>43480.714581828703</v>
      </c>
      <c r="AY49" s="229">
        <v>43480.621086226798</v>
      </c>
      <c r="AZ49" s="238">
        <v>43486.723548032402</v>
      </c>
      <c r="BA49" s="1" t="s">
        <v>7684</v>
      </c>
      <c r="BB49">
        <v>130</v>
      </c>
      <c r="BC49">
        <v>50</v>
      </c>
      <c r="BD49">
        <v>892</v>
      </c>
      <c r="BE4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6.7235480324015953</v>
      </c>
      <c r="BF49" s="240">
        <f>COUNTIFS(_05preva_view43[Site ID],_05preva_view43[[#This Row],[Site ID]],_05preva_view43[Prevalidation Status],"Under Prevalidation")</f>
        <v>0</v>
      </c>
      <c r="BG4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9" s="242" t="str">
        <f>CONCATENATE(_05preva_view43[[#This Row],[Site ID]]," (",_05preva_view43[[#This Row],[tenant id]],") Application",IF(_05preva_view43[[#This Row],[Colo Rev]]&gt;0," Rev "&amp;_05preva_view43[[#This Row],[Colo Rev]],""),".xlsx")</f>
        <v>ANSG_0498 (SGG00255) Application Rev 2.xlsx</v>
      </c>
      <c r="BI49" s="64" t="e">
        <f t="shared" ca="1" si="1"/>
        <v>#VALUE!</v>
      </c>
      <c r="BJ49" s="104" t="e">
        <f ca="1">LEFT(CELL("filename",A34),_05preva_view43[[#This Row],[Find Process &amp; Database]]-1)</f>
        <v>#VALUE!</v>
      </c>
      <c r="BK49" s="104" t="e">
        <f ca="1">_05preva_view43[Folder Path1]&amp;"Process &amp; Database\Documentation\Colo Applications"</f>
        <v>#VALUE!</v>
      </c>
      <c r="BL49" s="104" t="e">
        <f ca="1">_05preva_view43[Folder Path2]&amp;"\Colo App "&amp;_05preva_view43[[#This Row],[Operator]]&amp;"\"</f>
        <v>#VALUE!</v>
      </c>
      <c r="BM49" s="63" t="e">
        <f ca="1">_05preva_view43[[#This Row],[Folder Path3]]&amp;_05preva_view43[[#This Row],[File Name]]</f>
        <v>#VALUE!</v>
      </c>
      <c r="BN49" s="104"/>
      <c r="CF49" s="5"/>
      <c r="CG49" s="5"/>
      <c r="CH49" s="3"/>
      <c r="CJ49" s="5"/>
      <c r="CN49" s="3"/>
      <c r="CO49" s="3"/>
      <c r="CP49" s="5"/>
      <c r="CR49" s="3"/>
      <c r="DN49" s="5"/>
      <c r="DP49" s="3"/>
      <c r="EB49" s="7"/>
      <c r="EC49" s="7"/>
      <c r="EF49" s="4"/>
      <c r="EG49" s="4"/>
      <c r="EQ49" s="2"/>
      <c r="ER49" s="2"/>
    </row>
    <row r="50" spans="1:148">
      <c r="A50" s="227">
        <v>3602</v>
      </c>
      <c r="B50" s="228" t="s">
        <v>1648</v>
      </c>
      <c r="C50" s="228" t="s">
        <v>278</v>
      </c>
      <c r="D50" s="228" t="s">
        <v>127</v>
      </c>
      <c r="E50" s="228" t="s">
        <v>1649</v>
      </c>
      <c r="F50" s="228" t="s">
        <v>35</v>
      </c>
      <c r="G50" s="228" t="s">
        <v>1292</v>
      </c>
      <c r="H50" s="228" t="s">
        <v>1285</v>
      </c>
      <c r="I50" s="228" t="s">
        <v>888</v>
      </c>
      <c r="J50" s="228" t="s">
        <v>686</v>
      </c>
      <c r="K50" s="229">
        <v>43480</v>
      </c>
      <c r="L50" s="230">
        <v>1</v>
      </c>
      <c r="M50" s="230">
        <v>1.4</v>
      </c>
      <c r="N50" s="228">
        <v>2.5</v>
      </c>
      <c r="O50" s="228" t="s">
        <v>687</v>
      </c>
      <c r="P50" s="231" t="s">
        <v>508</v>
      </c>
      <c r="Q50" s="231" t="s">
        <v>509</v>
      </c>
      <c r="R50" s="228" t="s">
        <v>24</v>
      </c>
      <c r="S50" s="228"/>
      <c r="T50" s="232" t="s">
        <v>615</v>
      </c>
      <c r="U50" s="228"/>
      <c r="V50" s="232" t="s">
        <v>120</v>
      </c>
      <c r="W50" s="228" t="s">
        <v>1650</v>
      </c>
      <c r="X50" s="232" t="s">
        <v>120</v>
      </c>
      <c r="Y50" s="228" t="s">
        <v>1651</v>
      </c>
      <c r="Z50" s="233" t="s">
        <v>120</v>
      </c>
      <c r="AA50" s="234"/>
      <c r="AB50" s="234"/>
      <c r="AC50" s="235" t="s">
        <v>123</v>
      </c>
      <c r="AD50" s="228" t="s">
        <v>1652</v>
      </c>
      <c r="AE50" s="232" t="s">
        <v>120</v>
      </c>
      <c r="AF50" s="229"/>
      <c r="AG50" s="236"/>
      <c r="AH50" s="236"/>
      <c r="AI50" s="228"/>
      <c r="AJ50" s="232" t="s">
        <v>120</v>
      </c>
      <c r="AK50" s="228" t="s">
        <v>123</v>
      </c>
      <c r="AL50" s="228" t="s">
        <v>935</v>
      </c>
      <c r="AM50" s="232"/>
      <c r="AN50" s="228"/>
      <c r="AO50" s="228"/>
      <c r="AP50" s="237"/>
      <c r="AQ50" s="228"/>
      <c r="AR50" s="232"/>
      <c r="AS50" s="228"/>
      <c r="AT50" s="229">
        <v>43482.624721875</v>
      </c>
      <c r="AU50" s="229">
        <v>43481.365418865702</v>
      </c>
      <c r="AV50" s="229">
        <v>43483.695895486097</v>
      </c>
      <c r="AW50" s="229">
        <v>43482.624721875</v>
      </c>
      <c r="AX50" s="229"/>
      <c r="AY50" s="229">
        <v>43480.628352083302</v>
      </c>
      <c r="AZ50" s="238">
        <v>43486.402937731502</v>
      </c>
      <c r="BA50" s="1" t="s">
        <v>7684</v>
      </c>
      <c r="BB50">
        <v>130</v>
      </c>
      <c r="BC50">
        <v>45</v>
      </c>
      <c r="BD50">
        <v>3024</v>
      </c>
      <c r="BE5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6.4029377315018792</v>
      </c>
      <c r="BF50" s="240">
        <f>COUNTIFS(_05preva_view43[Site ID],_05preva_view43[[#This Row],[Site ID]],_05preva_view43[Prevalidation Status],"Under Prevalidation")</f>
        <v>0</v>
      </c>
      <c r="BG5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0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1-01-05027-001 (SGG00562) Application Rev 2.xlsx</v>
      </c>
      <c r="BI50" s="64" t="e">
        <f t="shared" ca="1" si="1"/>
        <v>#VALUE!</v>
      </c>
      <c r="BJ50" s="104" t="e">
        <f ca="1">LEFT(CELL("filename",A35),_05preva_view43[[#This Row],[Find Process &amp; Database]]-1)</f>
        <v>#VALUE!</v>
      </c>
      <c r="BK50" s="104" t="e">
        <f ca="1">_05preva_view43[Folder Path1]&amp;"Process &amp; Database\Documentation\Colo Applications"</f>
        <v>#VALUE!</v>
      </c>
      <c r="BL50" s="104" t="e">
        <f ca="1">_05preva_view43[Folder Path2]&amp;"\Colo App "&amp;_05preva_view43[[#This Row],[Operator]]&amp;"\"</f>
        <v>#VALUE!</v>
      </c>
      <c r="BM50" s="63" t="e">
        <f ca="1">_05preva_view43[[#This Row],[Folder Path3]]&amp;_05preva_view43[[#This Row],[File Name]]</f>
        <v>#VALUE!</v>
      </c>
      <c r="BN50" s="104"/>
      <c r="CF50" s="5"/>
      <c r="CG50" s="5"/>
      <c r="CH50" s="3"/>
      <c r="CJ50" s="5"/>
      <c r="CN50" s="3"/>
      <c r="CO50" s="3"/>
      <c r="CP50" s="5"/>
      <c r="CR50" s="3"/>
      <c r="DN50" s="5"/>
      <c r="DP50" s="3"/>
      <c r="EB50" s="7"/>
      <c r="EC50" s="7"/>
      <c r="EF50" s="4"/>
      <c r="EG50" s="4"/>
      <c r="EQ50" s="2"/>
      <c r="ER50" s="2"/>
    </row>
    <row r="51" spans="1:148">
      <c r="A51" s="227">
        <v>3603</v>
      </c>
      <c r="B51" s="228" t="s">
        <v>252</v>
      </c>
      <c r="C51" s="228" t="s">
        <v>116</v>
      </c>
      <c r="D51" s="228" t="s">
        <v>127</v>
      </c>
      <c r="E51" s="228" t="s">
        <v>1653</v>
      </c>
      <c r="F51" s="228" t="s">
        <v>35</v>
      </c>
      <c r="G51" s="228" t="s">
        <v>1287</v>
      </c>
      <c r="H51" s="228" t="s">
        <v>1285</v>
      </c>
      <c r="I51" s="228" t="s">
        <v>1068</v>
      </c>
      <c r="J51" s="228" t="s">
        <v>686</v>
      </c>
      <c r="K51" s="229">
        <v>43480</v>
      </c>
      <c r="L51" s="230">
        <v>2.5950000000000002</v>
      </c>
      <c r="M51" s="230">
        <v>3.7069999999999999</v>
      </c>
      <c r="N51" s="228">
        <v>6.0579999999999998</v>
      </c>
      <c r="O51" s="228" t="s">
        <v>119</v>
      </c>
      <c r="P51" s="231" t="s">
        <v>246</v>
      </c>
      <c r="Q51" s="231" t="s">
        <v>247</v>
      </c>
      <c r="R51" s="228" t="s">
        <v>24</v>
      </c>
      <c r="S51" s="228"/>
      <c r="T51" s="232" t="s">
        <v>615</v>
      </c>
      <c r="U51" s="228" t="s">
        <v>1654</v>
      </c>
      <c r="V51" s="232" t="s">
        <v>120</v>
      </c>
      <c r="W51" s="228"/>
      <c r="X51" s="232" t="s">
        <v>120</v>
      </c>
      <c r="Y51" s="228" t="s">
        <v>1655</v>
      </c>
      <c r="Z51" s="233" t="s">
        <v>120</v>
      </c>
      <c r="AA51" s="234"/>
      <c r="AB51" s="234"/>
      <c r="AC51" s="235" t="s">
        <v>123</v>
      </c>
      <c r="AD51" s="228" t="s">
        <v>1656</v>
      </c>
      <c r="AE51" s="232" t="s">
        <v>120</v>
      </c>
      <c r="AF51" s="229"/>
      <c r="AG51" s="236"/>
      <c r="AH51" s="236"/>
      <c r="AI51" s="228"/>
      <c r="AJ51" s="232" t="s">
        <v>120</v>
      </c>
      <c r="AK51" s="228" t="s">
        <v>123</v>
      </c>
      <c r="AL51" s="228" t="s">
        <v>935</v>
      </c>
      <c r="AM51" s="232"/>
      <c r="AN51" s="228"/>
      <c r="AO51" s="228"/>
      <c r="AP51" s="237"/>
      <c r="AQ51" s="228"/>
      <c r="AR51" s="232"/>
      <c r="AS51" s="228"/>
      <c r="AT51" s="229">
        <v>43482.6247232639</v>
      </c>
      <c r="AU51" s="229">
        <v>43481.373435416703</v>
      </c>
      <c r="AV51" s="229">
        <v>43486.492915509298</v>
      </c>
      <c r="AW51" s="229">
        <v>43482.6247232639</v>
      </c>
      <c r="AX51" s="229">
        <v>43480.714584838002</v>
      </c>
      <c r="AY51" s="229">
        <v>43480.621087847197</v>
      </c>
      <c r="AZ51" s="238">
        <v>43486.723548842601</v>
      </c>
      <c r="BA51" s="1" t="s">
        <v>7690</v>
      </c>
      <c r="BB51"/>
      <c r="BC51">
        <v>30</v>
      </c>
      <c r="BD51">
        <v>564</v>
      </c>
      <c r="BE5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6.7235488426013035</v>
      </c>
      <c r="BF51" s="240">
        <f>COUNTIFS(_05preva_view43[Site ID],_05preva_view43[[#This Row],[Site ID]],_05preva_view43[Prevalidation Status],"Under Prevalidation")</f>
        <v>0</v>
      </c>
      <c r="BG5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1" s="242" t="str">
        <f>CONCATENATE(_05preva_view43[[#This Row],[Site ID]]," (",_05preva_view43[[#This Row],[tenant id]],") Application",IF(_05preva_view43[[#This Row],[Colo Rev]]&gt;0," Rev "&amp;_05preva_view43[[#This Row],[Colo Rev]],""),".xlsx")</f>
        <v>ANSH_0034 (SHN00207) Application Rev 2.xlsx</v>
      </c>
      <c r="BI51" s="64" t="e">
        <f t="shared" ca="1" si="1"/>
        <v>#VALUE!</v>
      </c>
      <c r="BJ51" s="104" t="e">
        <f ca="1">LEFT(CELL("filename",A36),_05preva_view43[[#This Row],[Find Process &amp; Database]]-1)</f>
        <v>#VALUE!</v>
      </c>
      <c r="BK51" s="104" t="e">
        <f ca="1">_05preva_view43[Folder Path1]&amp;"Process &amp; Database\Documentation\Colo Applications"</f>
        <v>#VALUE!</v>
      </c>
      <c r="BL51" s="104" t="e">
        <f ca="1">_05preva_view43[Folder Path2]&amp;"\Colo App "&amp;_05preva_view43[[#This Row],[Operator]]&amp;"\"</f>
        <v>#VALUE!</v>
      </c>
      <c r="BM51" s="63" t="e">
        <f ca="1">_05preva_view43[[#This Row],[Folder Path3]]&amp;_05preva_view43[[#This Row],[File Name]]</f>
        <v>#VALUE!</v>
      </c>
      <c r="BN51" s="104"/>
      <c r="CF51" s="5"/>
      <c r="CG51" s="5"/>
      <c r="CH51" s="3"/>
      <c r="CJ51" s="5"/>
      <c r="CN51" s="3"/>
      <c r="CO51" s="3"/>
      <c r="CP51" s="5"/>
      <c r="CR51" s="3"/>
      <c r="DN51" s="5"/>
      <c r="DP51" s="3"/>
      <c r="EB51" s="7"/>
      <c r="EC51" s="7"/>
      <c r="EF51" s="4"/>
      <c r="EG51" s="4"/>
      <c r="EQ51" s="2"/>
      <c r="ER51" s="2"/>
    </row>
    <row r="52" spans="1:148">
      <c r="A52" s="227">
        <v>3604</v>
      </c>
      <c r="B52" s="228" t="s">
        <v>906</v>
      </c>
      <c r="C52" s="228" t="s">
        <v>278</v>
      </c>
      <c r="D52" s="228" t="s">
        <v>153</v>
      </c>
      <c r="E52" s="228" t="s">
        <v>907</v>
      </c>
      <c r="F52" s="228" t="s">
        <v>35</v>
      </c>
      <c r="G52" s="228" t="s">
        <v>1293</v>
      </c>
      <c r="H52" s="228" t="s">
        <v>1290</v>
      </c>
      <c r="I52" s="228" t="s">
        <v>1657</v>
      </c>
      <c r="J52" s="228" t="s">
        <v>668</v>
      </c>
      <c r="K52" s="229">
        <v>43480</v>
      </c>
      <c r="L52" s="230">
        <v>2.64</v>
      </c>
      <c r="M52" s="230">
        <v>3.3</v>
      </c>
      <c r="N52" s="228">
        <v>4.8499999999999996</v>
      </c>
      <c r="O52" s="228" t="s">
        <v>687</v>
      </c>
      <c r="P52" s="231" t="s">
        <v>695</v>
      </c>
      <c r="Q52" s="231" t="s">
        <v>696</v>
      </c>
      <c r="R52" s="228" t="s">
        <v>24</v>
      </c>
      <c r="S52" s="228"/>
      <c r="T52" s="232" t="s">
        <v>615</v>
      </c>
      <c r="U52" s="228"/>
      <c r="V52" s="232" t="s">
        <v>120</v>
      </c>
      <c r="W52" s="228"/>
      <c r="X52" s="232" t="s">
        <v>120</v>
      </c>
      <c r="Y52" s="228" t="s">
        <v>1658</v>
      </c>
      <c r="Z52" s="233" t="s">
        <v>120</v>
      </c>
      <c r="AA52" s="234"/>
      <c r="AB52" s="234"/>
      <c r="AC52" s="235" t="s">
        <v>123</v>
      </c>
      <c r="AD52" s="228" t="s">
        <v>1659</v>
      </c>
      <c r="AE52" s="232" t="s">
        <v>120</v>
      </c>
      <c r="AF52" s="229"/>
      <c r="AG52" s="236"/>
      <c r="AH52" s="236"/>
      <c r="AI52" s="228"/>
      <c r="AJ52" s="232" t="s">
        <v>120</v>
      </c>
      <c r="AK52" s="228" t="s">
        <v>123</v>
      </c>
      <c r="AL52" s="228" t="s">
        <v>935</v>
      </c>
      <c r="AM52" s="232"/>
      <c r="AN52" s="228"/>
      <c r="AO52" s="228"/>
      <c r="AP52" s="237"/>
      <c r="AQ52" s="228"/>
      <c r="AR52" s="232"/>
      <c r="AS52" s="228"/>
      <c r="AT52" s="229">
        <v>43482.6247246528</v>
      </c>
      <c r="AU52" s="229">
        <v>43481.3734364583</v>
      </c>
      <c r="AV52" s="229">
        <v>43486.422618865698</v>
      </c>
      <c r="AW52" s="229">
        <v>43482.6247246528</v>
      </c>
      <c r="AX52" s="229"/>
      <c r="AY52" s="229">
        <v>43480.621048958303</v>
      </c>
      <c r="AZ52" s="238">
        <v>43486.723549652801</v>
      </c>
      <c r="BA52" s="1" t="s">
        <v>7684</v>
      </c>
      <c r="BB52">
        <v>195</v>
      </c>
      <c r="BC52">
        <v>60</v>
      </c>
      <c r="BD52">
        <v>2473</v>
      </c>
      <c r="BE5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6.7235496528010117</v>
      </c>
      <c r="BF52" s="240">
        <f>COUNTIFS(_05preva_view43[Site ID],_05preva_view43[[#This Row],[Site ID]],_05preva_view43[Prevalidation Status],"Under Prevalidation")</f>
        <v>0</v>
      </c>
      <c r="BG5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2" s="242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1.xlsx</v>
      </c>
      <c r="BI52" s="64" t="e">
        <f t="shared" ca="1" si="1"/>
        <v>#VALUE!</v>
      </c>
      <c r="BJ52" s="104" t="e">
        <f ca="1">LEFT(CELL("filename",A37),_05preva_view43[[#This Row],[Find Process &amp; Database]]-1)</f>
        <v>#VALUE!</v>
      </c>
      <c r="BK52" s="104" t="e">
        <f ca="1">_05preva_view43[Folder Path1]&amp;"Process &amp; Database\Documentation\Colo Applications"</f>
        <v>#VALUE!</v>
      </c>
      <c r="BL52" s="104" t="e">
        <f ca="1">_05preva_view43[Folder Path2]&amp;"\Colo App "&amp;_05preva_view43[[#This Row],[Operator]]&amp;"\"</f>
        <v>#VALUE!</v>
      </c>
      <c r="BM52" s="63" t="e">
        <f ca="1">_05preva_view43[[#This Row],[Folder Path3]]&amp;_05preva_view43[[#This Row],[File Name]]</f>
        <v>#VALUE!</v>
      </c>
      <c r="BN52" s="104"/>
      <c r="CF52" s="5"/>
      <c r="CG52" s="5"/>
      <c r="CH52" s="3"/>
      <c r="CJ52" s="5"/>
      <c r="CN52" s="3"/>
      <c r="CO52" s="3"/>
      <c r="CP52" s="5"/>
      <c r="CR52" s="3"/>
      <c r="DN52" s="5"/>
      <c r="DP52" s="3"/>
      <c r="EB52" s="7"/>
      <c r="EC52" s="7"/>
      <c r="EF52" s="4"/>
      <c r="EG52" s="4"/>
      <c r="EQ52" s="2"/>
      <c r="ER52" s="2"/>
    </row>
    <row r="53" spans="1:148">
      <c r="A53" s="227">
        <v>3605</v>
      </c>
      <c r="B53" s="228" t="s">
        <v>1107</v>
      </c>
      <c r="C53" s="228" t="s">
        <v>278</v>
      </c>
      <c r="D53" s="228" t="s">
        <v>127</v>
      </c>
      <c r="E53" s="228" t="s">
        <v>1108</v>
      </c>
      <c r="F53" s="228" t="s">
        <v>35</v>
      </c>
      <c r="G53" s="228" t="s">
        <v>1292</v>
      </c>
      <c r="H53" s="228" t="s">
        <v>1285</v>
      </c>
      <c r="I53" s="228" t="s">
        <v>1006</v>
      </c>
      <c r="J53" s="228" t="s">
        <v>727</v>
      </c>
      <c r="K53" s="229">
        <v>43480</v>
      </c>
      <c r="L53" s="230">
        <v>1.399</v>
      </c>
      <c r="M53" s="230">
        <v>2.2610000000000001</v>
      </c>
      <c r="N53" s="228">
        <v>4.2</v>
      </c>
      <c r="O53" s="228" t="s">
        <v>687</v>
      </c>
      <c r="P53" s="231" t="s">
        <v>695</v>
      </c>
      <c r="Q53" s="231" t="s">
        <v>696</v>
      </c>
      <c r="R53" s="228" t="s">
        <v>24</v>
      </c>
      <c r="S53" s="228"/>
      <c r="T53" s="232" t="s">
        <v>615</v>
      </c>
      <c r="U53" s="228"/>
      <c r="V53" s="232" t="s">
        <v>120</v>
      </c>
      <c r="W53" s="228"/>
      <c r="X53" s="232" t="s">
        <v>120</v>
      </c>
      <c r="Y53" s="228" t="s">
        <v>1660</v>
      </c>
      <c r="Z53" s="233" t="s">
        <v>120</v>
      </c>
      <c r="AA53" s="234"/>
      <c r="AB53" s="234"/>
      <c r="AC53" s="235" t="s">
        <v>123</v>
      </c>
      <c r="AD53" s="228" t="s">
        <v>1661</v>
      </c>
      <c r="AE53" s="232" t="s">
        <v>120</v>
      </c>
      <c r="AF53" s="229"/>
      <c r="AG53" s="236"/>
      <c r="AH53" s="236"/>
      <c r="AI53" s="228"/>
      <c r="AJ53" s="232" t="s">
        <v>120</v>
      </c>
      <c r="AK53" s="228" t="s">
        <v>123</v>
      </c>
      <c r="AL53" s="228" t="s">
        <v>935</v>
      </c>
      <c r="AM53" s="232"/>
      <c r="AN53" s="228"/>
      <c r="AO53" s="228"/>
      <c r="AP53" s="237"/>
      <c r="AQ53" s="228"/>
      <c r="AR53" s="232"/>
      <c r="AS53" s="228"/>
      <c r="AT53" s="229">
        <v>43482.624726157403</v>
      </c>
      <c r="AU53" s="229">
        <v>43481.365421759299</v>
      </c>
      <c r="AV53" s="229">
        <v>43483.695897453697</v>
      </c>
      <c r="AW53" s="229">
        <v>43482.624726157403</v>
      </c>
      <c r="AX53" s="229"/>
      <c r="AY53" s="229">
        <v>43480.621049305599</v>
      </c>
      <c r="AZ53" s="238">
        <v>43486.402940856497</v>
      </c>
      <c r="BA53" s="1" t="s">
        <v>7684</v>
      </c>
      <c r="BB53">
        <v>130</v>
      </c>
      <c r="BC53">
        <v>60</v>
      </c>
      <c r="BD53">
        <v>2985</v>
      </c>
      <c r="BE5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6.4029408564965706</v>
      </c>
      <c r="BF53" s="240">
        <f>COUNTIFS(_05preva_view43[Site ID],_05preva_view43[[#This Row],[Site ID]],_05preva_view43[Prevalidation Status],"Under Prevalidation")</f>
        <v>0</v>
      </c>
      <c r="BG5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3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3.xlsx</v>
      </c>
      <c r="BI53" s="64" t="e">
        <f t="shared" ca="1" si="1"/>
        <v>#VALUE!</v>
      </c>
      <c r="BJ53" s="104" t="e">
        <f ca="1">LEFT(CELL("filename",A38),_05preva_view43[[#This Row],[Find Process &amp; Database]]-1)</f>
        <v>#VALUE!</v>
      </c>
      <c r="BK53" s="104" t="e">
        <f ca="1">_05preva_view43[Folder Path1]&amp;"Process &amp; Database\Documentation\Colo Applications"</f>
        <v>#VALUE!</v>
      </c>
      <c r="BL53" s="104" t="e">
        <f ca="1">_05preva_view43[Folder Path2]&amp;"\Colo App "&amp;_05preva_view43[[#This Row],[Operator]]&amp;"\"</f>
        <v>#VALUE!</v>
      </c>
      <c r="BM53" s="63" t="e">
        <f ca="1">_05preva_view43[[#This Row],[Folder Path3]]&amp;_05preva_view43[[#This Row],[File Name]]</f>
        <v>#VALUE!</v>
      </c>
      <c r="BN53" s="104"/>
      <c r="CF53" s="5"/>
      <c r="CG53" s="5"/>
      <c r="CH53" s="3"/>
      <c r="CJ53" s="5"/>
      <c r="CN53" s="3"/>
      <c r="CO53" s="3"/>
      <c r="CP53" s="5"/>
      <c r="CR53" s="3"/>
      <c r="DN53" s="5"/>
      <c r="DP53" s="3"/>
      <c r="EB53" s="7"/>
      <c r="EC53" s="7"/>
      <c r="EF53" s="4"/>
      <c r="EG53" s="4"/>
      <c r="EQ53" s="2"/>
      <c r="ER53" s="2"/>
    </row>
    <row r="54" spans="1:148">
      <c r="A54" s="227">
        <v>3606</v>
      </c>
      <c r="B54" s="228" t="s">
        <v>1662</v>
      </c>
      <c r="C54" s="228" t="s">
        <v>278</v>
      </c>
      <c r="D54" s="228" t="s">
        <v>127</v>
      </c>
      <c r="E54" s="228" t="s">
        <v>1663</v>
      </c>
      <c r="F54" s="228" t="s">
        <v>35</v>
      </c>
      <c r="G54" s="228" t="s">
        <v>1292</v>
      </c>
      <c r="H54" s="228" t="s">
        <v>1285</v>
      </c>
      <c r="I54" s="228" t="s">
        <v>1006</v>
      </c>
      <c r="J54" s="228" t="s">
        <v>668</v>
      </c>
      <c r="K54" s="229">
        <v>43480</v>
      </c>
      <c r="L54" s="230">
        <v>1.4530000000000001</v>
      </c>
      <c r="M54" s="230">
        <v>2.3210000000000002</v>
      </c>
      <c r="N54" s="228">
        <v>3.95</v>
      </c>
      <c r="O54" s="228" t="s">
        <v>687</v>
      </c>
      <c r="P54" s="231" t="s">
        <v>695</v>
      </c>
      <c r="Q54" s="231" t="s">
        <v>696</v>
      </c>
      <c r="R54" s="228" t="s">
        <v>24</v>
      </c>
      <c r="S54" s="228"/>
      <c r="T54" s="232" t="s">
        <v>615</v>
      </c>
      <c r="U54" s="228"/>
      <c r="V54" s="232" t="s">
        <v>120</v>
      </c>
      <c r="W54" s="228"/>
      <c r="X54" s="232" t="s">
        <v>120</v>
      </c>
      <c r="Y54" s="228" t="s">
        <v>1664</v>
      </c>
      <c r="Z54" s="233" t="s">
        <v>120</v>
      </c>
      <c r="AA54" s="234"/>
      <c r="AB54" s="234"/>
      <c r="AC54" s="235" t="s">
        <v>123</v>
      </c>
      <c r="AD54" s="228" t="s">
        <v>1665</v>
      </c>
      <c r="AE54" s="232" t="s">
        <v>120</v>
      </c>
      <c r="AF54" s="229"/>
      <c r="AG54" s="236"/>
      <c r="AH54" s="236"/>
      <c r="AI54" s="228"/>
      <c r="AJ54" s="232" t="s">
        <v>120</v>
      </c>
      <c r="AK54" s="228" t="s">
        <v>123</v>
      </c>
      <c r="AL54" s="228" t="s">
        <v>935</v>
      </c>
      <c r="AM54" s="232"/>
      <c r="AN54" s="228"/>
      <c r="AO54" s="228"/>
      <c r="AP54" s="237"/>
      <c r="AQ54" s="228"/>
      <c r="AR54" s="232"/>
      <c r="AS54" s="228"/>
      <c r="AT54" s="229">
        <v>43482.624727777802</v>
      </c>
      <c r="AU54" s="229">
        <v>43481.365422222203</v>
      </c>
      <c r="AV54" s="229">
        <v>43483.695898263897</v>
      </c>
      <c r="AW54" s="229">
        <v>43482.624727777802</v>
      </c>
      <c r="AX54" s="229"/>
      <c r="AY54" s="229">
        <v>43480.621050578702</v>
      </c>
      <c r="AZ54" s="238">
        <v>43486.402942013898</v>
      </c>
      <c r="BA54" s="1" t="s">
        <v>7684</v>
      </c>
      <c r="BB54">
        <v>130</v>
      </c>
      <c r="BC54">
        <v>60</v>
      </c>
      <c r="BD54">
        <v>3237</v>
      </c>
      <c r="BE5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6.4029420138977002</v>
      </c>
      <c r="BF54" s="240">
        <f>COUNTIFS(_05preva_view43[Site ID],_05preva_view43[[#This Row],[Site ID]],_05preva_view43[Prevalidation Status],"Under Prevalidation")</f>
        <v>0</v>
      </c>
      <c r="BG5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4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1-01-05007-010 (SGG00223) Application Rev 1.xlsx</v>
      </c>
      <c r="BI54" s="64" t="e">
        <f t="shared" ca="1" si="1"/>
        <v>#VALUE!</v>
      </c>
      <c r="BJ54" s="104" t="e">
        <f ca="1">LEFT(CELL("filename",A39),_05preva_view43[[#This Row],[Find Process &amp; Database]]-1)</f>
        <v>#VALUE!</v>
      </c>
      <c r="BK54" s="104" t="e">
        <f ca="1">_05preva_view43[Folder Path1]&amp;"Process &amp; Database\Documentation\Colo Applications"</f>
        <v>#VALUE!</v>
      </c>
      <c r="BL54" s="104" t="e">
        <f ca="1">_05preva_view43[Folder Path2]&amp;"\Colo App "&amp;_05preva_view43[[#This Row],[Operator]]&amp;"\"</f>
        <v>#VALUE!</v>
      </c>
      <c r="BM54" s="63" t="e">
        <f ca="1">_05preva_view43[[#This Row],[Folder Path3]]&amp;_05preva_view43[[#This Row],[File Name]]</f>
        <v>#VALUE!</v>
      </c>
      <c r="BN54" s="104"/>
      <c r="CF54" s="5"/>
      <c r="CG54" s="5"/>
      <c r="CH54" s="3"/>
      <c r="CJ54" s="5"/>
      <c r="CN54" s="3"/>
      <c r="CO54" s="3"/>
      <c r="CP54" s="5"/>
      <c r="CR54" s="3"/>
      <c r="DN54" s="5"/>
      <c r="DP54" s="3"/>
      <c r="EB54" s="7"/>
      <c r="EC54" s="7"/>
      <c r="EF54" s="4"/>
      <c r="EG54" s="4"/>
      <c r="EQ54" s="2"/>
      <c r="ER54" s="2"/>
    </row>
    <row r="55" spans="1:148">
      <c r="A55" s="227">
        <v>3607</v>
      </c>
      <c r="B55" s="228" t="s">
        <v>1666</v>
      </c>
      <c r="C55" s="228" t="s">
        <v>278</v>
      </c>
      <c r="D55" s="228" t="s">
        <v>153</v>
      </c>
      <c r="E55" s="228" t="s">
        <v>1667</v>
      </c>
      <c r="F55" s="228" t="s">
        <v>35</v>
      </c>
      <c r="G55" s="228" t="s">
        <v>880</v>
      </c>
      <c r="H55" s="228" t="s">
        <v>1328</v>
      </c>
      <c r="I55" s="228" t="s">
        <v>814</v>
      </c>
      <c r="J55" s="228" t="s">
        <v>677</v>
      </c>
      <c r="K55" s="229">
        <v>43480</v>
      </c>
      <c r="L55" s="230">
        <v>0.72</v>
      </c>
      <c r="M55" s="230">
        <v>0.9</v>
      </c>
      <c r="N55" s="228">
        <v>2.2509999999999999</v>
      </c>
      <c r="O55" s="228" t="s">
        <v>687</v>
      </c>
      <c r="P55" s="231" t="s">
        <v>705</v>
      </c>
      <c r="Q55" s="231" t="s">
        <v>706</v>
      </c>
      <c r="R55" s="228" t="s">
        <v>24</v>
      </c>
      <c r="S55" s="228"/>
      <c r="T55" s="232" t="s">
        <v>615</v>
      </c>
      <c r="U55" s="228"/>
      <c r="V55" s="232" t="s">
        <v>120</v>
      </c>
      <c r="W55" s="228"/>
      <c r="X55" s="232" t="s">
        <v>120</v>
      </c>
      <c r="Y55" s="228" t="s">
        <v>1668</v>
      </c>
      <c r="Z55" s="233" t="s">
        <v>141</v>
      </c>
      <c r="AA55" s="234"/>
      <c r="AB55" s="234"/>
      <c r="AC55" s="235" t="s">
        <v>123</v>
      </c>
      <c r="AD55" s="228" t="s">
        <v>1669</v>
      </c>
      <c r="AE55" s="232" t="s">
        <v>120</v>
      </c>
      <c r="AF55" s="229"/>
      <c r="AG55" s="236"/>
      <c r="AH55" s="236"/>
      <c r="AI55" s="228"/>
      <c r="AJ55" s="232" t="s">
        <v>120</v>
      </c>
      <c r="AK55" s="228" t="s">
        <v>206</v>
      </c>
      <c r="AL55" s="228" t="s">
        <v>1207</v>
      </c>
      <c r="AM55" s="232"/>
      <c r="AN55" s="228"/>
      <c r="AO55" s="228"/>
      <c r="AP55" s="237"/>
      <c r="AQ55" s="228"/>
      <c r="AR55" s="232" t="s">
        <v>1545</v>
      </c>
      <c r="AS55" s="228" t="s">
        <v>1742</v>
      </c>
      <c r="AT55" s="229">
        <v>43482.624728935203</v>
      </c>
      <c r="AU55" s="229">
        <v>43481.365423842602</v>
      </c>
      <c r="AV55" s="229"/>
      <c r="AW55" s="229">
        <v>43482.624728935203</v>
      </c>
      <c r="AX55" s="229"/>
      <c r="AY55" s="229">
        <v>43480.623007175898</v>
      </c>
      <c r="AZ55" s="238">
        <v>43488.480395601902</v>
      </c>
      <c r="BA55" s="1" t="s">
        <v>7684</v>
      </c>
      <c r="BB55">
        <v>130</v>
      </c>
      <c r="BC55">
        <v>60</v>
      </c>
      <c r="BD55">
        <v>3319</v>
      </c>
      <c r="BE5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8.4803956019022735</v>
      </c>
      <c r="BF55" s="240">
        <f>COUNTIFS(_05preva_view43[Site ID],_05preva_view43[[#This Row],[Site ID]],_05preva_view43[Prevalidation Status],"Under Prevalidation")</f>
        <v>0</v>
      </c>
      <c r="BG5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5" s="242" t="str">
        <f>CONCATENATE(_05preva_view43[[#This Row],[Site ID]]," (",_05preva_view43[[#This Row],[tenant id]],") Application",IF(_05preva_view43[[#This Row],[Colo Rev]]&gt;0," Rev "&amp;_05preva_view43[[#This Row],[Colo Rev]],""),".xlsx")</f>
        <v>1-01-11002-003 (MON00623) Application Rev 0.xlsx</v>
      </c>
      <c r="BI55" s="64" t="e">
        <f t="shared" ca="1" si="1"/>
        <v>#VALUE!</v>
      </c>
      <c r="BJ55" s="104" t="e">
        <f ca="1">LEFT(CELL("filename",A40),_05preva_view43[[#This Row],[Find Process &amp; Database]]-1)</f>
        <v>#VALUE!</v>
      </c>
      <c r="BK55" s="104" t="e">
        <f ca="1">_05preva_view43[Folder Path1]&amp;"Process &amp; Database\Documentation\Colo Applications"</f>
        <v>#VALUE!</v>
      </c>
      <c r="BL55" s="104" t="e">
        <f ca="1">_05preva_view43[Folder Path2]&amp;"\Colo App "&amp;_05preva_view43[[#This Row],[Operator]]&amp;"\"</f>
        <v>#VALUE!</v>
      </c>
      <c r="BM55" s="63" t="e">
        <f ca="1">_05preva_view43[[#This Row],[Folder Path3]]&amp;_05preva_view43[[#This Row],[File Name]]</f>
        <v>#VALUE!</v>
      </c>
      <c r="BN55" s="104"/>
      <c r="CF55" s="5"/>
      <c r="CG55" s="5"/>
      <c r="CH55" s="3"/>
      <c r="CJ55" s="5"/>
      <c r="CN55" s="3"/>
      <c r="CO55" s="3"/>
      <c r="CP55" s="5"/>
      <c r="CR55" s="3"/>
      <c r="DN55" s="5"/>
      <c r="DP55" s="3"/>
      <c r="EB55" s="7"/>
      <c r="EC55" s="7"/>
      <c r="EF55" s="4"/>
      <c r="EG55" s="4"/>
      <c r="EQ55" s="2"/>
      <c r="ER55" s="2"/>
    </row>
    <row r="56" spans="1:148">
      <c r="A56" s="227">
        <v>3597</v>
      </c>
      <c r="B56" s="228" t="s">
        <v>1670</v>
      </c>
      <c r="C56" s="228" t="s">
        <v>278</v>
      </c>
      <c r="D56" s="228" t="s">
        <v>153</v>
      </c>
      <c r="E56" s="228" t="s">
        <v>1671</v>
      </c>
      <c r="F56" s="228" t="s">
        <v>38</v>
      </c>
      <c r="G56" s="228" t="s">
        <v>1295</v>
      </c>
      <c r="H56" s="228" t="s">
        <v>1290</v>
      </c>
      <c r="I56" s="228" t="s">
        <v>1227</v>
      </c>
      <c r="J56" s="228" t="s">
        <v>668</v>
      </c>
      <c r="K56" s="229">
        <v>43479</v>
      </c>
      <c r="L56" s="230"/>
      <c r="M56" s="230"/>
      <c r="N56" s="228"/>
      <c r="O56" s="228" t="s">
        <v>687</v>
      </c>
      <c r="P56" s="231" t="s">
        <v>765</v>
      </c>
      <c r="Q56" s="231" t="s">
        <v>766</v>
      </c>
      <c r="R56" s="228" t="s">
        <v>24</v>
      </c>
      <c r="S56" s="228"/>
      <c r="T56" s="232" t="s">
        <v>615</v>
      </c>
      <c r="U56" s="228"/>
      <c r="V56" s="232" t="s">
        <v>120</v>
      </c>
      <c r="W56" s="228"/>
      <c r="X56" s="232" t="s">
        <v>615</v>
      </c>
      <c r="Y56" s="228" t="s">
        <v>1672</v>
      </c>
      <c r="Z56" s="233" t="s">
        <v>615</v>
      </c>
      <c r="AA56" s="234"/>
      <c r="AB56" s="234"/>
      <c r="AC56" s="235"/>
      <c r="AD56" s="228"/>
      <c r="AE56" s="232" t="s">
        <v>615</v>
      </c>
      <c r="AF56" s="229"/>
      <c r="AG56" s="236"/>
      <c r="AH56" s="236"/>
      <c r="AI56" s="228"/>
      <c r="AJ56" s="232" t="s">
        <v>120</v>
      </c>
      <c r="AK56" s="228" t="s">
        <v>123</v>
      </c>
      <c r="AL56" s="228" t="s">
        <v>1673</v>
      </c>
      <c r="AM56" s="232"/>
      <c r="AN56" s="228"/>
      <c r="AO56" s="228"/>
      <c r="AP56" s="237"/>
      <c r="AQ56" s="228"/>
      <c r="AR56" s="232"/>
      <c r="AS56" s="228"/>
      <c r="AT56" s="229"/>
      <c r="AU56" s="229"/>
      <c r="AV56" s="229"/>
      <c r="AW56" s="229">
        <v>43479.570675347197</v>
      </c>
      <c r="AX56" s="229"/>
      <c r="AY56" s="229">
        <v>43479.4089978009</v>
      </c>
      <c r="AZ56" s="238">
        <v>43479.572372338</v>
      </c>
      <c r="BA56" s="1" t="s">
        <v>7684</v>
      </c>
      <c r="BB56">
        <v>160</v>
      </c>
      <c r="BC56">
        <v>60</v>
      </c>
      <c r="BD56">
        <v>3167</v>
      </c>
      <c r="BE5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0.57237233799969545</v>
      </c>
      <c r="BF56" s="240">
        <f>COUNTIFS(_05preva_view43[Site ID],_05preva_view43[[#This Row],[Site ID]],_05preva_view43[Prevalidation Status],"Under Prevalidation")</f>
        <v>0</v>
      </c>
      <c r="BG5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6" s="242" t="str">
        <f>CONCATENATE(_05preva_view43[[#This Row],[Site ID]]," (",_05preva_view43[[#This Row],[tenant id]],") Application",IF(_05preva_view43[[#This Row],[Colo Rev]]&gt;0," Rev "&amp;_05preva_view43[[#This Row],[Colo Rev]],""),".xlsx")</f>
        <v>1-01-06005-005 (TN0624) Application Rev 1.xlsx</v>
      </c>
      <c r="BI56" s="64" t="e">
        <f t="shared" ca="1" si="1"/>
        <v>#VALUE!</v>
      </c>
      <c r="BJ56" s="104" t="e">
        <f ca="1">LEFT(CELL("filename",A41),_05preva_view43[[#This Row],[Find Process &amp; Database]]-1)</f>
        <v>#VALUE!</v>
      </c>
      <c r="BK56" s="104" t="e">
        <f ca="1">_05preva_view43[Folder Path1]&amp;"Process &amp; Database\Documentation\Colo Applications"</f>
        <v>#VALUE!</v>
      </c>
      <c r="BL56" s="104" t="e">
        <f ca="1">_05preva_view43[Folder Path2]&amp;"\Colo App "&amp;_05preva_view43[[#This Row],[Operator]]&amp;"\"</f>
        <v>#VALUE!</v>
      </c>
      <c r="BM56" s="63" t="e">
        <f ca="1">_05preva_view43[[#This Row],[Folder Path3]]&amp;_05preva_view43[[#This Row],[File Name]]</f>
        <v>#VALUE!</v>
      </c>
      <c r="BN56" s="104"/>
      <c r="CF56" s="5"/>
      <c r="CG56" s="5"/>
      <c r="CH56" s="3"/>
      <c r="CJ56" s="5"/>
      <c r="CN56" s="3"/>
      <c r="CO56" s="3"/>
      <c r="CP56" s="5"/>
      <c r="CR56" s="3"/>
      <c r="DN56" s="5"/>
      <c r="DP56" s="3"/>
      <c r="EB56" s="7"/>
      <c r="EC56" s="7"/>
      <c r="EF56" s="4"/>
      <c r="EG56" s="4"/>
      <c r="EQ56" s="2"/>
      <c r="ER56" s="2"/>
    </row>
    <row r="57" spans="1:148">
      <c r="A57" s="227">
        <v>3598</v>
      </c>
      <c r="B57" s="228" t="s">
        <v>1674</v>
      </c>
      <c r="C57" s="228" t="s">
        <v>278</v>
      </c>
      <c r="D57" s="228" t="s">
        <v>127</v>
      </c>
      <c r="E57" s="228" t="s">
        <v>1675</v>
      </c>
      <c r="F57" s="228" t="s">
        <v>35</v>
      </c>
      <c r="G57" s="228" t="s">
        <v>1292</v>
      </c>
      <c r="H57" s="228" t="s">
        <v>1285</v>
      </c>
      <c r="I57" s="228" t="s">
        <v>1676</v>
      </c>
      <c r="J57" s="228" t="s">
        <v>686</v>
      </c>
      <c r="K57" s="229">
        <v>43479</v>
      </c>
      <c r="L57" s="230">
        <v>2.1970000000000001</v>
      </c>
      <c r="M57" s="230">
        <v>3.7970000000000002</v>
      </c>
      <c r="N57" s="228">
        <v>5.6920000000000002</v>
      </c>
      <c r="O57" s="228" t="s">
        <v>687</v>
      </c>
      <c r="P57" s="231" t="s">
        <v>1677</v>
      </c>
      <c r="Q57" s="231" t="s">
        <v>1678</v>
      </c>
      <c r="R57" s="228" t="s">
        <v>24</v>
      </c>
      <c r="S57" s="228"/>
      <c r="T57" s="232" t="s">
        <v>615</v>
      </c>
      <c r="U57" s="228"/>
      <c r="V57" s="232" t="s">
        <v>120</v>
      </c>
      <c r="W57" s="228"/>
      <c r="X57" s="232" t="s">
        <v>120</v>
      </c>
      <c r="Y57" s="228" t="s">
        <v>1679</v>
      </c>
      <c r="Z57" s="233" t="s">
        <v>120</v>
      </c>
      <c r="AA57" s="234"/>
      <c r="AB57" s="234"/>
      <c r="AC57" s="235" t="s">
        <v>123</v>
      </c>
      <c r="AD57" s="228" t="s">
        <v>1680</v>
      </c>
      <c r="AE57" s="232" t="s">
        <v>120</v>
      </c>
      <c r="AF57" s="229"/>
      <c r="AG57" s="236"/>
      <c r="AH57" s="236"/>
      <c r="AI57" s="228"/>
      <c r="AJ57" s="232" t="s">
        <v>120</v>
      </c>
      <c r="AK57" s="228" t="s">
        <v>123</v>
      </c>
      <c r="AL57" s="228" t="s">
        <v>935</v>
      </c>
      <c r="AM57" s="232"/>
      <c r="AN57" s="228"/>
      <c r="AO57" s="228"/>
      <c r="AP57" s="237"/>
      <c r="AQ57" s="228"/>
      <c r="AR57" s="232"/>
      <c r="AS57" s="228"/>
      <c r="AT57" s="229">
        <v>43479.694298032402</v>
      </c>
      <c r="AU57" s="229">
        <v>43481.373427777798</v>
      </c>
      <c r="AV57" s="229">
        <v>43480.663217476897</v>
      </c>
      <c r="AW57" s="229">
        <v>43479.694298032402</v>
      </c>
      <c r="AX57" s="229"/>
      <c r="AY57" s="229">
        <v>43479.624757060199</v>
      </c>
      <c r="AZ57" s="238">
        <v>43486.402930555603</v>
      </c>
      <c r="BA57" s="1" t="s">
        <v>7684</v>
      </c>
      <c r="BB57">
        <v>130</v>
      </c>
      <c r="BC57">
        <v>60</v>
      </c>
      <c r="BD57">
        <v>3616</v>
      </c>
      <c r="BE5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7.4029305556032341</v>
      </c>
      <c r="BF57" s="240">
        <f>COUNTIFS(_05preva_view43[Site ID],_05preva_view43[[#This Row],[Site ID]],_05preva_view43[Prevalidation Status],"Under Prevalidation")</f>
        <v>0</v>
      </c>
      <c r="BG5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7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1-01-14007-015 (KCN00508) Application Rev 2.xlsx</v>
      </c>
      <c r="BI57" s="64" t="e">
        <f t="shared" ca="1" si="1"/>
        <v>#VALUE!</v>
      </c>
      <c r="BJ57" s="104" t="e">
        <f ca="1">LEFT(CELL("filename",A42),_05preva_view43[[#This Row],[Find Process &amp; Database]]-1)</f>
        <v>#VALUE!</v>
      </c>
      <c r="BK57" s="104" t="e">
        <f ca="1">_05preva_view43[Folder Path1]&amp;"Process &amp; Database\Documentation\Colo Applications"</f>
        <v>#VALUE!</v>
      </c>
      <c r="BL57" s="104" t="e">
        <f ca="1">_05preva_view43[Folder Path2]&amp;"\Colo App "&amp;_05preva_view43[[#This Row],[Operator]]&amp;"\"</f>
        <v>#VALUE!</v>
      </c>
      <c r="BM57" s="63" t="e">
        <f ca="1">_05preva_view43[[#This Row],[Folder Path3]]&amp;_05preva_view43[[#This Row],[File Name]]</f>
        <v>#VALUE!</v>
      </c>
      <c r="BN57" s="104"/>
      <c r="CF57" s="5"/>
      <c r="CG57" s="5"/>
      <c r="CH57" s="3"/>
      <c r="CJ57" s="5"/>
      <c r="CN57" s="3"/>
      <c r="CO57" s="3"/>
      <c r="CP57" s="5"/>
      <c r="CR57" s="3"/>
      <c r="DN57" s="5"/>
      <c r="DP57" s="3"/>
      <c r="EB57" s="7"/>
      <c r="EC57" s="7"/>
      <c r="EF57" s="4"/>
      <c r="EG57" s="4"/>
      <c r="EQ57" s="2"/>
      <c r="ER57" s="2"/>
    </row>
    <row r="58" spans="1:148">
      <c r="A58" s="227">
        <v>3587</v>
      </c>
      <c r="B58" s="228" t="s">
        <v>7211</v>
      </c>
      <c r="C58" s="228" t="s">
        <v>116</v>
      </c>
      <c r="D58" s="228" t="s">
        <v>153</v>
      </c>
      <c r="E58" s="228" t="s">
        <v>7676</v>
      </c>
      <c r="F58" s="228" t="s">
        <v>35</v>
      </c>
      <c r="G58" s="228" t="s">
        <v>880</v>
      </c>
      <c r="H58" s="228" t="s">
        <v>1328</v>
      </c>
      <c r="I58" s="228" t="s">
        <v>814</v>
      </c>
      <c r="J58" s="228" t="s">
        <v>677</v>
      </c>
      <c r="K58" s="229">
        <v>43476</v>
      </c>
      <c r="L58" s="230">
        <v>1.52</v>
      </c>
      <c r="M58" s="230">
        <v>1.9</v>
      </c>
      <c r="N58" s="228">
        <v>3.43</v>
      </c>
      <c r="O58" s="228" t="s">
        <v>119</v>
      </c>
      <c r="P58" s="231" t="s">
        <v>655</v>
      </c>
      <c r="Q58" s="231" t="s">
        <v>669</v>
      </c>
      <c r="R58" s="228" t="s">
        <v>24</v>
      </c>
      <c r="S58" s="228"/>
      <c r="T58" s="232" t="s">
        <v>615</v>
      </c>
      <c r="U58" s="228"/>
      <c r="V58" s="232" t="s">
        <v>120</v>
      </c>
      <c r="W58" s="228"/>
      <c r="X58" s="232" t="s">
        <v>120</v>
      </c>
      <c r="Y58" s="228" t="s">
        <v>7677</v>
      </c>
      <c r="Z58" s="233" t="s">
        <v>1734</v>
      </c>
      <c r="AA58" s="234" t="s">
        <v>1724</v>
      </c>
      <c r="AB58" s="234" t="s">
        <v>7678</v>
      </c>
      <c r="AC58" s="235" t="s">
        <v>123</v>
      </c>
      <c r="AD58" s="228" t="s">
        <v>7679</v>
      </c>
      <c r="AE58" s="232" t="s">
        <v>120</v>
      </c>
      <c r="AF58" s="229"/>
      <c r="AG58" s="236"/>
      <c r="AH58" s="236"/>
      <c r="AI58" s="228"/>
      <c r="AJ58" s="232" t="s">
        <v>120</v>
      </c>
      <c r="AK58" s="228" t="s">
        <v>123</v>
      </c>
      <c r="AL58" s="228" t="s">
        <v>1135</v>
      </c>
      <c r="AM58" s="232"/>
      <c r="AN58" s="228"/>
      <c r="AO58" s="228"/>
      <c r="AP58" s="237"/>
      <c r="AQ58" s="228"/>
      <c r="AR58" s="232"/>
      <c r="AS58" s="228"/>
      <c r="AT58" s="229">
        <v>43479.567117129598</v>
      </c>
      <c r="AU58" s="229">
        <v>43481.365410069397</v>
      </c>
      <c r="AV58" s="229">
        <v>43488.484973148203</v>
      </c>
      <c r="AW58" s="229">
        <v>43479.567117129598</v>
      </c>
      <c r="AX58" s="229"/>
      <c r="AY58" s="229">
        <v>43479.451686805602</v>
      </c>
      <c r="AZ58" s="238">
        <v>43495.438180092598</v>
      </c>
      <c r="BA58" s="1" t="s">
        <v>7684</v>
      </c>
      <c r="BB58"/>
      <c r="BC58">
        <v>50</v>
      </c>
      <c r="BD58">
        <v>527</v>
      </c>
      <c r="BE5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19.438180092598486</v>
      </c>
      <c r="BF58" s="240">
        <f>COUNTIFS(_05preva_view43[Site ID],_05preva_view43[[#This Row],[Site ID]],_05preva_view43[Prevalidation Status],"Under Prevalidation")</f>
        <v>0</v>
      </c>
      <c r="BG5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8" s="242" t="str">
        <f>CONCATENATE(_05preva_view43[[#This Row],[Site ID]]," (",_05preva_view43[[#This Row],[tenant id]],") Application",IF(_05preva_view43[[#This Row],[Colo Rev]]&gt;0," Rev "&amp;_05preva_view43[[#This Row],[Colo Rev]],""),".xlsx")</f>
        <v>ACBA_0202 (BGE00446) Application Rev 0.xlsx</v>
      </c>
      <c r="BI58" s="64" t="e">
        <f t="shared" ca="1" si="1"/>
        <v>#VALUE!</v>
      </c>
      <c r="BJ58" s="104" t="e">
        <f ca="1">LEFT(CELL("filename",A43),_05preva_view43[[#This Row],[Find Process &amp; Database]]-1)</f>
        <v>#VALUE!</v>
      </c>
      <c r="BK58" s="104" t="e">
        <f ca="1">_05preva_view43[Folder Path1]&amp;"Process &amp; Database\Documentation\Colo Applications"</f>
        <v>#VALUE!</v>
      </c>
      <c r="BL58" s="104" t="e">
        <f ca="1">_05preva_view43[Folder Path2]&amp;"\Colo App "&amp;_05preva_view43[[#This Row],[Operator]]&amp;"\"</f>
        <v>#VALUE!</v>
      </c>
      <c r="BM58" s="63" t="e">
        <f ca="1">_05preva_view43[[#This Row],[Folder Path3]]&amp;_05preva_view43[[#This Row],[File Name]]</f>
        <v>#VALUE!</v>
      </c>
      <c r="BN58" s="104"/>
      <c r="CF58" s="5"/>
      <c r="CG58" s="5"/>
      <c r="CH58" s="3"/>
      <c r="CJ58" s="5"/>
      <c r="CN58" s="3"/>
      <c r="CO58" s="3"/>
      <c r="CP58" s="5"/>
      <c r="CR58" s="3"/>
      <c r="DN58" s="5"/>
      <c r="DP58" s="3"/>
      <c r="EB58" s="7"/>
      <c r="EC58" s="7"/>
      <c r="EF58" s="4"/>
      <c r="EG58" s="4"/>
      <c r="EQ58" s="2"/>
      <c r="ER58" s="2"/>
    </row>
    <row r="59" spans="1:148">
      <c r="A59" s="227">
        <v>3588</v>
      </c>
      <c r="B59" s="228" t="s">
        <v>1572</v>
      </c>
      <c r="C59" s="228" t="s">
        <v>278</v>
      </c>
      <c r="D59" s="228" t="s">
        <v>117</v>
      </c>
      <c r="E59" s="228" t="s">
        <v>1573</v>
      </c>
      <c r="F59" s="228" t="s">
        <v>35</v>
      </c>
      <c r="G59" s="228" t="s">
        <v>880</v>
      </c>
      <c r="H59" s="228" t="s">
        <v>1328</v>
      </c>
      <c r="I59" s="228" t="s">
        <v>814</v>
      </c>
      <c r="J59" s="228" t="s">
        <v>677</v>
      </c>
      <c r="K59" s="229">
        <v>43476</v>
      </c>
      <c r="L59" s="230">
        <v>0.72</v>
      </c>
      <c r="M59" s="230">
        <v>0.9</v>
      </c>
      <c r="N59" s="228"/>
      <c r="O59" s="228" t="s">
        <v>687</v>
      </c>
      <c r="P59" s="231" t="s">
        <v>765</v>
      </c>
      <c r="Q59" s="231" t="s">
        <v>766</v>
      </c>
      <c r="R59" s="228" t="s">
        <v>24</v>
      </c>
      <c r="S59" s="228"/>
      <c r="T59" s="232" t="s">
        <v>120</v>
      </c>
      <c r="U59" s="228"/>
      <c r="V59" s="232" t="s">
        <v>120</v>
      </c>
      <c r="W59" s="228"/>
      <c r="X59" s="232" t="s">
        <v>120</v>
      </c>
      <c r="Y59" s="228" t="s">
        <v>1681</v>
      </c>
      <c r="Z59" s="233" t="s">
        <v>120</v>
      </c>
      <c r="AA59" s="234"/>
      <c r="AB59" s="234"/>
      <c r="AC59" s="235" t="s">
        <v>123</v>
      </c>
      <c r="AD59" s="228" t="s">
        <v>1682</v>
      </c>
      <c r="AE59" s="232" t="s">
        <v>120</v>
      </c>
      <c r="AF59" s="229"/>
      <c r="AG59" s="236"/>
      <c r="AH59" s="236"/>
      <c r="AI59" s="228"/>
      <c r="AJ59" s="232" t="s">
        <v>120</v>
      </c>
      <c r="AK59" s="228" t="s">
        <v>206</v>
      </c>
      <c r="AL59" s="228" t="s">
        <v>1207</v>
      </c>
      <c r="AM59" s="232"/>
      <c r="AN59" s="228"/>
      <c r="AO59" s="228"/>
      <c r="AP59" s="237"/>
      <c r="AQ59" s="228"/>
      <c r="AR59" s="232"/>
      <c r="AS59" s="228"/>
      <c r="AT59" s="229">
        <v>43479.567123379602</v>
      </c>
      <c r="AU59" s="229">
        <v>43481.373414120397</v>
      </c>
      <c r="AV59" s="229">
        <v>43480.481593750003</v>
      </c>
      <c r="AW59" s="229">
        <v>43479.567123379602</v>
      </c>
      <c r="AX59" s="229">
        <v>43480.7322405093</v>
      </c>
      <c r="AY59" s="229">
        <v>43479.408520370402</v>
      </c>
      <c r="AZ59" s="238">
        <v>43481.412556597199</v>
      </c>
      <c r="BA59" s="1" t="s">
        <v>7684</v>
      </c>
      <c r="BB59">
        <v>160</v>
      </c>
      <c r="BC59">
        <v>60</v>
      </c>
      <c r="BD59">
        <v>2725</v>
      </c>
      <c r="BE5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5.412556597199</v>
      </c>
      <c r="BF59" s="240">
        <f>COUNTIFS(_05preva_view43[Site ID],_05preva_view43[[#This Row],[Site ID]],_05preva_view43[Prevalidation Status],"Under Prevalidation")</f>
        <v>0</v>
      </c>
      <c r="BG5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59" s="242" t="str">
        <f>CONCATENATE(_05preva_view43[[#This Row],[Site ID]]," (",_05preva_view43[[#This Row],[tenant id]],") Application",IF(_05preva_view43[[#This Row],[Colo Rev]]&gt;0," Rev "&amp;_05preva_view43[[#This Row],[Colo Rev]],""),".xlsx")</f>
        <v>1-01-08008-001 (BGW00539) Application Rev 0.xlsx</v>
      </c>
      <c r="BI59" s="64" t="e">
        <f t="shared" ca="1" si="1"/>
        <v>#VALUE!</v>
      </c>
      <c r="BJ59" s="104" t="e">
        <f ca="1">LEFT(CELL("filename",A44),_05preva_view43[[#This Row],[Find Process &amp; Database]]-1)</f>
        <v>#VALUE!</v>
      </c>
      <c r="BK59" s="104" t="e">
        <f ca="1">_05preva_view43[Folder Path1]&amp;"Process &amp; Database\Documentation\Colo Applications"</f>
        <v>#VALUE!</v>
      </c>
      <c r="BL59" s="104" t="e">
        <f ca="1">_05preva_view43[Folder Path2]&amp;"\Colo App "&amp;_05preva_view43[[#This Row],[Operator]]&amp;"\"</f>
        <v>#VALUE!</v>
      </c>
      <c r="BM59" s="63" t="e">
        <f ca="1">_05preva_view43[[#This Row],[Folder Path3]]&amp;_05preva_view43[[#This Row],[File Name]]</f>
        <v>#VALUE!</v>
      </c>
      <c r="BN59" s="104"/>
      <c r="CF59" s="5"/>
      <c r="CG59" s="5"/>
      <c r="CH59" s="3"/>
      <c r="CJ59" s="5"/>
      <c r="CN59" s="3"/>
      <c r="CO59" s="3"/>
      <c r="CP59" s="5"/>
      <c r="CR59" s="3"/>
      <c r="DN59" s="5"/>
      <c r="DP59" s="3"/>
      <c r="EB59" s="7"/>
      <c r="EC59" s="7"/>
      <c r="EF59" s="4"/>
      <c r="EG59" s="4"/>
      <c r="EQ59" s="2"/>
      <c r="ER59" s="2"/>
    </row>
    <row r="60" spans="1:148">
      <c r="A60" s="227">
        <v>3589</v>
      </c>
      <c r="B60" s="228" t="s">
        <v>1230</v>
      </c>
      <c r="C60" s="228" t="s">
        <v>278</v>
      </c>
      <c r="D60" s="228" t="s">
        <v>127</v>
      </c>
      <c r="E60" s="228" t="s">
        <v>1231</v>
      </c>
      <c r="F60" s="228" t="s">
        <v>35</v>
      </c>
      <c r="G60" s="228" t="s">
        <v>1292</v>
      </c>
      <c r="H60" s="228" t="s">
        <v>1290</v>
      </c>
      <c r="I60" s="228" t="s">
        <v>814</v>
      </c>
      <c r="J60" s="228" t="s">
        <v>668</v>
      </c>
      <c r="K60" s="229">
        <v>43476</v>
      </c>
      <c r="L60" s="230">
        <v>1.621</v>
      </c>
      <c r="M60" s="230">
        <v>3.6989999999999998</v>
      </c>
      <c r="N60" s="228"/>
      <c r="O60" s="228" t="s">
        <v>687</v>
      </c>
      <c r="P60" s="231" t="s">
        <v>279</v>
      </c>
      <c r="Q60" s="231" t="s">
        <v>526</v>
      </c>
      <c r="R60" s="228" t="s">
        <v>24</v>
      </c>
      <c r="S60" s="228"/>
      <c r="T60" s="232" t="s">
        <v>120</v>
      </c>
      <c r="U60" s="228" t="s">
        <v>1683</v>
      </c>
      <c r="V60" s="232" t="s">
        <v>120</v>
      </c>
      <c r="W60" s="228"/>
      <c r="X60" s="232" t="s">
        <v>120</v>
      </c>
      <c r="Y60" s="228" t="s">
        <v>1684</v>
      </c>
      <c r="Z60" s="233" t="s">
        <v>120</v>
      </c>
      <c r="AA60" s="234"/>
      <c r="AB60" s="234"/>
      <c r="AC60" s="235" t="s">
        <v>123</v>
      </c>
      <c r="AD60" s="228" t="s">
        <v>1685</v>
      </c>
      <c r="AE60" s="232" t="s">
        <v>120</v>
      </c>
      <c r="AF60" s="229"/>
      <c r="AG60" s="236"/>
      <c r="AH60" s="236"/>
      <c r="AI60" s="228"/>
      <c r="AJ60" s="232" t="s">
        <v>120</v>
      </c>
      <c r="AK60" s="228" t="s">
        <v>123</v>
      </c>
      <c r="AL60" s="228" t="s">
        <v>935</v>
      </c>
      <c r="AM60" s="232"/>
      <c r="AN60" s="228"/>
      <c r="AO60" s="228"/>
      <c r="AP60" s="237"/>
      <c r="AQ60" s="228"/>
      <c r="AR60" s="232"/>
      <c r="AS60" s="228"/>
      <c r="AT60" s="229">
        <v>43479.567131481497</v>
      </c>
      <c r="AU60" s="229">
        <v>43481.373415046299</v>
      </c>
      <c r="AV60" s="229">
        <v>43480.481594560202</v>
      </c>
      <c r="AW60" s="229">
        <v>43479.567131481497</v>
      </c>
      <c r="AX60" s="229">
        <v>43480.732241088001</v>
      </c>
      <c r="AY60" s="229">
        <v>43479.408520949102</v>
      </c>
      <c r="AZ60" s="238">
        <v>43481.412557060197</v>
      </c>
      <c r="BA60" s="1" t="s">
        <v>7684</v>
      </c>
      <c r="BB60">
        <v>130</v>
      </c>
      <c r="BC60">
        <v>30</v>
      </c>
      <c r="BD60">
        <v>3587</v>
      </c>
      <c r="BE6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5.4125570601972868</v>
      </c>
      <c r="BF60" s="240">
        <f>COUNTIFS(_05preva_view43[Site ID],_05preva_view43[[#This Row],[Site ID]],_05preva_view43[Prevalidation Status],"Under Prevalidation")</f>
        <v>0</v>
      </c>
      <c r="BG6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0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1.xlsx</v>
      </c>
      <c r="BI60" s="64" t="e">
        <f t="shared" ca="1" si="1"/>
        <v>#VALUE!</v>
      </c>
      <c r="BJ60" s="104" t="e">
        <f ca="1">LEFT(CELL("filename",A45),_05preva_view43[[#This Row],[Find Process &amp; Database]]-1)</f>
        <v>#VALUE!</v>
      </c>
      <c r="BK60" s="104" t="e">
        <f ca="1">_05preva_view43[Folder Path1]&amp;"Process &amp; Database\Documentation\Colo Applications"</f>
        <v>#VALUE!</v>
      </c>
      <c r="BL60" s="104" t="e">
        <f ca="1">_05preva_view43[Folder Path2]&amp;"\Colo App "&amp;_05preva_view43[[#This Row],[Operator]]&amp;"\"</f>
        <v>#VALUE!</v>
      </c>
      <c r="BM60" s="63" t="e">
        <f ca="1">_05preva_view43[[#This Row],[Folder Path3]]&amp;_05preva_view43[[#This Row],[File Name]]</f>
        <v>#VALUE!</v>
      </c>
      <c r="BN60" s="104"/>
      <c r="CF60" s="5"/>
      <c r="CG60" s="5"/>
      <c r="CH60" s="3"/>
      <c r="CJ60" s="5"/>
      <c r="CN60" s="3"/>
      <c r="CO60" s="3"/>
      <c r="CP60" s="5"/>
      <c r="CR60" s="3"/>
      <c r="DN60" s="5"/>
      <c r="DP60" s="3"/>
      <c r="EB60" s="7"/>
      <c r="EC60" s="7"/>
      <c r="EF60" s="4"/>
      <c r="EG60" s="4"/>
      <c r="EQ60" s="2"/>
      <c r="ER60" s="2"/>
    </row>
    <row r="61" spans="1:148">
      <c r="A61" s="227">
        <v>3590</v>
      </c>
      <c r="B61" s="228" t="s">
        <v>1581</v>
      </c>
      <c r="C61" s="228" t="s">
        <v>278</v>
      </c>
      <c r="D61" s="228" t="s">
        <v>117</v>
      </c>
      <c r="E61" s="228" t="s">
        <v>1582</v>
      </c>
      <c r="F61" s="228" t="s">
        <v>35</v>
      </c>
      <c r="G61" s="228" t="s">
        <v>1292</v>
      </c>
      <c r="H61" s="228" t="s">
        <v>1285</v>
      </c>
      <c r="I61" s="228" t="s">
        <v>790</v>
      </c>
      <c r="J61" s="228" t="s">
        <v>694</v>
      </c>
      <c r="K61" s="229">
        <v>43476</v>
      </c>
      <c r="L61" s="230">
        <v>1.9890000000000001</v>
      </c>
      <c r="M61" s="230">
        <v>3.5489999999999999</v>
      </c>
      <c r="N61" s="228"/>
      <c r="O61" s="228" t="s">
        <v>687</v>
      </c>
      <c r="P61" s="231" t="s">
        <v>695</v>
      </c>
      <c r="Q61" s="231" t="s">
        <v>696</v>
      </c>
      <c r="R61" s="228" t="s">
        <v>24</v>
      </c>
      <c r="S61" s="228"/>
      <c r="T61" s="232" t="s">
        <v>120</v>
      </c>
      <c r="U61" s="228"/>
      <c r="V61" s="232" t="s">
        <v>120</v>
      </c>
      <c r="W61" s="228"/>
      <c r="X61" s="232" t="s">
        <v>120</v>
      </c>
      <c r="Y61" s="228" t="s">
        <v>1686</v>
      </c>
      <c r="Z61" s="233" t="s">
        <v>120</v>
      </c>
      <c r="AA61" s="234"/>
      <c r="AB61" s="234"/>
      <c r="AC61" s="235" t="s">
        <v>123</v>
      </c>
      <c r="AD61" s="228" t="s">
        <v>1687</v>
      </c>
      <c r="AE61" s="232" t="s">
        <v>120</v>
      </c>
      <c r="AF61" s="229"/>
      <c r="AG61" s="236"/>
      <c r="AH61" s="236"/>
      <c r="AI61" s="228" t="s">
        <v>1688</v>
      </c>
      <c r="AJ61" s="232" t="s">
        <v>120</v>
      </c>
      <c r="AK61" s="228" t="s">
        <v>123</v>
      </c>
      <c r="AL61" s="228" t="s">
        <v>935</v>
      </c>
      <c r="AM61" s="232"/>
      <c r="AN61" s="228"/>
      <c r="AO61" s="228"/>
      <c r="AP61" s="237"/>
      <c r="AQ61" s="228"/>
      <c r="AR61" s="232"/>
      <c r="AS61" s="228"/>
      <c r="AT61" s="229">
        <v>43479.567132407399</v>
      </c>
      <c r="AU61" s="229">
        <v>43481.373417939802</v>
      </c>
      <c r="AV61" s="229">
        <v>43480.441032291703</v>
      </c>
      <c r="AW61" s="229">
        <v>43479.567132407399</v>
      </c>
      <c r="AX61" s="229">
        <v>43480.732241666701</v>
      </c>
      <c r="AY61" s="229">
        <v>43479.408521990699</v>
      </c>
      <c r="AZ61" s="238">
        <v>43481.412558217598</v>
      </c>
      <c r="BA61" s="1" t="s">
        <v>7684</v>
      </c>
      <c r="BB61">
        <v>130</v>
      </c>
      <c r="BC61">
        <v>60</v>
      </c>
      <c r="BD61">
        <v>3597</v>
      </c>
      <c r="BE6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5.4125582175984164</v>
      </c>
      <c r="BF61" s="240">
        <f>COUNTIFS(_05preva_view43[Site ID],_05preva_view43[[#This Row],[Site ID]],_05preva_view43[Prevalidation Status],"Under Prevalidation")</f>
        <v>0</v>
      </c>
      <c r="BG6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1" s="242" t="str">
        <f>CONCATENATE(_05preva_view43[[#This Row],[Site ID]]," (",_05preva_view43[[#This Row],[tenant id]],") Application",IF(_05preva_view43[[#This Row],[Colo Rev]]&gt;0," Rev "&amp;_05preva_view43[[#This Row],[Colo Rev]],""),".xlsx")</f>
        <v>1-01-09018-009 (MGW00506) Application Rev 4.xlsx</v>
      </c>
      <c r="BI61" s="64" t="e">
        <f t="shared" ca="1" si="1"/>
        <v>#VALUE!</v>
      </c>
      <c r="BJ61" s="104" t="e">
        <f ca="1">LEFT(CELL("filename",A46),_05preva_view43[[#This Row],[Find Process &amp; Database]]-1)</f>
        <v>#VALUE!</v>
      </c>
      <c r="BK61" s="104" t="e">
        <f ca="1">_05preva_view43[Folder Path1]&amp;"Process &amp; Database\Documentation\Colo Applications"</f>
        <v>#VALUE!</v>
      </c>
      <c r="BL61" s="104" t="e">
        <f ca="1">_05preva_view43[Folder Path2]&amp;"\Colo App "&amp;_05preva_view43[[#This Row],[Operator]]&amp;"\"</f>
        <v>#VALUE!</v>
      </c>
      <c r="BM61" s="63" t="e">
        <f ca="1">_05preva_view43[[#This Row],[Folder Path3]]&amp;_05preva_view43[[#This Row],[File Name]]</f>
        <v>#VALUE!</v>
      </c>
      <c r="BN61" s="104"/>
      <c r="CF61" s="5"/>
      <c r="CG61" s="5"/>
      <c r="CH61" s="3"/>
      <c r="CJ61" s="5"/>
      <c r="CN61" s="3"/>
      <c r="CO61" s="3"/>
      <c r="CP61" s="5"/>
      <c r="CR61" s="3"/>
      <c r="DN61" s="5"/>
      <c r="DP61" s="3"/>
      <c r="EB61" s="7"/>
      <c r="EC61" s="7"/>
      <c r="EF61" s="4"/>
      <c r="EG61" s="4"/>
      <c r="EQ61" s="2"/>
      <c r="ER61" s="2"/>
    </row>
    <row r="62" spans="1:148">
      <c r="A62" s="227">
        <v>3591</v>
      </c>
      <c r="B62" s="228" t="s">
        <v>1689</v>
      </c>
      <c r="C62" s="228" t="s">
        <v>278</v>
      </c>
      <c r="D62" s="228" t="s">
        <v>127</v>
      </c>
      <c r="E62" s="228" t="s">
        <v>1690</v>
      </c>
      <c r="F62" s="228" t="s">
        <v>35</v>
      </c>
      <c r="G62" s="228" t="s">
        <v>1292</v>
      </c>
      <c r="H62" s="228" t="s">
        <v>1285</v>
      </c>
      <c r="I62" s="228" t="s">
        <v>1006</v>
      </c>
      <c r="J62" s="228" t="s">
        <v>686</v>
      </c>
      <c r="K62" s="229">
        <v>43476</v>
      </c>
      <c r="L62" s="230">
        <v>1.399</v>
      </c>
      <c r="M62" s="230">
        <v>2.2989999999999999</v>
      </c>
      <c r="N62" s="228"/>
      <c r="O62" s="228" t="s">
        <v>687</v>
      </c>
      <c r="P62" s="231" t="s">
        <v>695</v>
      </c>
      <c r="Q62" s="231" t="s">
        <v>696</v>
      </c>
      <c r="R62" s="228" t="s">
        <v>24</v>
      </c>
      <c r="S62" s="228"/>
      <c r="T62" s="232" t="s">
        <v>120</v>
      </c>
      <c r="U62" s="228"/>
      <c r="V62" s="232" t="s">
        <v>120</v>
      </c>
      <c r="W62" s="228"/>
      <c r="X62" s="232" t="s">
        <v>120</v>
      </c>
      <c r="Y62" s="228" t="s">
        <v>1691</v>
      </c>
      <c r="Z62" s="233" t="s">
        <v>120</v>
      </c>
      <c r="AA62" s="234"/>
      <c r="AB62" s="234"/>
      <c r="AC62" s="235" t="s">
        <v>123</v>
      </c>
      <c r="AD62" s="228" t="s">
        <v>1692</v>
      </c>
      <c r="AE62" s="232" t="s">
        <v>120</v>
      </c>
      <c r="AF62" s="229"/>
      <c r="AG62" s="236"/>
      <c r="AH62" s="236"/>
      <c r="AI62" s="228" t="s">
        <v>1693</v>
      </c>
      <c r="AJ62" s="232" t="s">
        <v>120</v>
      </c>
      <c r="AK62" s="228" t="s">
        <v>123</v>
      </c>
      <c r="AL62" s="228" t="s">
        <v>935</v>
      </c>
      <c r="AM62" s="232"/>
      <c r="AN62" s="228"/>
      <c r="AO62" s="228"/>
      <c r="AP62" s="237"/>
      <c r="AQ62" s="228"/>
      <c r="AR62" s="232"/>
      <c r="AS62" s="228"/>
      <c r="AT62" s="229">
        <v>43479.567141203697</v>
      </c>
      <c r="AU62" s="229">
        <v>43481.373419213</v>
      </c>
      <c r="AV62" s="229">
        <v>43480.481596643498</v>
      </c>
      <c r="AW62" s="229">
        <v>43479.567141203697</v>
      </c>
      <c r="AX62" s="229">
        <v>43480.732245023202</v>
      </c>
      <c r="AY62" s="229">
        <v>43479.4085225694</v>
      </c>
      <c r="AZ62" s="238">
        <v>43481.412558912001</v>
      </c>
      <c r="BA62" s="1" t="s">
        <v>7684</v>
      </c>
      <c r="BB62">
        <v>130</v>
      </c>
      <c r="BC62">
        <v>60</v>
      </c>
      <c r="BD62">
        <v>2989</v>
      </c>
      <c r="BE6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5.4125589120012592</v>
      </c>
      <c r="BF62" s="240">
        <f>COUNTIFS(_05preva_view43[Site ID],_05preva_view43[[#This Row],[Site ID]],_05preva_view43[Prevalidation Status],"Under Prevalidation")</f>
        <v>0</v>
      </c>
      <c r="BG6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2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1-01-05004-001 (SGG00208) Application Rev 2.xlsx</v>
      </c>
      <c r="BI62" s="64" t="e">
        <f t="shared" ca="1" si="1"/>
        <v>#VALUE!</v>
      </c>
      <c r="BJ62" s="104" t="e">
        <f ca="1">LEFT(CELL("filename",A47),_05preva_view43[[#This Row],[Find Process &amp; Database]]-1)</f>
        <v>#VALUE!</v>
      </c>
      <c r="BK62" s="104" t="e">
        <f ca="1">_05preva_view43[Folder Path1]&amp;"Process &amp; Database\Documentation\Colo Applications"</f>
        <v>#VALUE!</v>
      </c>
      <c r="BL62" s="104" t="e">
        <f ca="1">_05preva_view43[Folder Path2]&amp;"\Colo App "&amp;_05preva_view43[[#This Row],[Operator]]&amp;"\"</f>
        <v>#VALUE!</v>
      </c>
      <c r="BM62" s="63" t="e">
        <f ca="1">_05preva_view43[[#This Row],[Folder Path3]]&amp;_05preva_view43[[#This Row],[File Name]]</f>
        <v>#VALUE!</v>
      </c>
      <c r="BN62" s="104"/>
      <c r="CF62" s="5"/>
      <c r="CG62" s="5"/>
      <c r="CH62" s="3"/>
      <c r="CJ62" s="5"/>
      <c r="CN62" s="3"/>
      <c r="CO62" s="3"/>
      <c r="CP62" s="5"/>
      <c r="CR62" s="3"/>
      <c r="DN62" s="5"/>
      <c r="DP62" s="3"/>
      <c r="EB62" s="7"/>
      <c r="EC62" s="7"/>
      <c r="EF62" s="4"/>
      <c r="EG62" s="4"/>
      <c r="EQ62" s="2"/>
      <c r="ER62" s="2"/>
    </row>
    <row r="63" spans="1:148">
      <c r="A63" s="227">
        <v>3573</v>
      </c>
      <c r="B63" s="228" t="s">
        <v>283</v>
      </c>
      <c r="C63" s="228" t="s">
        <v>116</v>
      </c>
      <c r="D63" s="228" t="s">
        <v>127</v>
      </c>
      <c r="E63" s="228" t="s">
        <v>1499</v>
      </c>
      <c r="F63" s="228" t="s">
        <v>41</v>
      </c>
      <c r="G63" s="228" t="s">
        <v>1129</v>
      </c>
      <c r="H63" s="228" t="s">
        <v>1037</v>
      </c>
      <c r="I63" s="228" t="s">
        <v>880</v>
      </c>
      <c r="J63" s="228" t="s">
        <v>828</v>
      </c>
      <c r="K63" s="229">
        <v>43475</v>
      </c>
      <c r="L63" s="230">
        <v>2</v>
      </c>
      <c r="M63" s="230"/>
      <c r="N63" s="228">
        <v>5</v>
      </c>
      <c r="O63" s="228" t="s">
        <v>119</v>
      </c>
      <c r="P63" s="231" t="s">
        <v>246</v>
      </c>
      <c r="Q63" s="231" t="s">
        <v>247</v>
      </c>
      <c r="R63" s="228" t="s">
        <v>24</v>
      </c>
      <c r="S63" s="228"/>
      <c r="T63" s="232" t="s">
        <v>120</v>
      </c>
      <c r="U63" s="228" t="s">
        <v>1547</v>
      </c>
      <c r="V63" s="232" t="s">
        <v>120</v>
      </c>
      <c r="W63" s="228"/>
      <c r="X63" s="232" t="s">
        <v>120</v>
      </c>
      <c r="Y63" s="228" t="s">
        <v>1574</v>
      </c>
      <c r="Z63" s="233" t="s">
        <v>120</v>
      </c>
      <c r="AA63" s="234"/>
      <c r="AB63" s="234"/>
      <c r="AC63" s="235"/>
      <c r="AD63" s="228" t="s">
        <v>1694</v>
      </c>
      <c r="AE63" s="232" t="s">
        <v>120</v>
      </c>
      <c r="AF63" s="229" t="s">
        <v>904</v>
      </c>
      <c r="AG63" s="236"/>
      <c r="AH63" s="236"/>
      <c r="AI63" s="228" t="s">
        <v>1134</v>
      </c>
      <c r="AJ63" s="232" t="s">
        <v>120</v>
      </c>
      <c r="AK63" s="228" t="s">
        <v>123</v>
      </c>
      <c r="AL63" s="228" t="s">
        <v>1135</v>
      </c>
      <c r="AM63" s="232"/>
      <c r="AN63" s="228"/>
      <c r="AO63" s="228"/>
      <c r="AP63" s="237"/>
      <c r="AQ63" s="228"/>
      <c r="AR63" s="232"/>
      <c r="AS63" s="228"/>
      <c r="AT63" s="229">
        <v>43476.450465509297</v>
      </c>
      <c r="AU63" s="229">
        <v>43479.6432277778</v>
      </c>
      <c r="AV63" s="229">
        <v>43479.390733911998</v>
      </c>
      <c r="AW63" s="229">
        <v>43476.450465509297</v>
      </c>
      <c r="AX63" s="229">
        <v>43475.646661226798</v>
      </c>
      <c r="AY63" s="229">
        <v>43475.965515972202</v>
      </c>
      <c r="AZ63" s="238">
        <v>43479.6894686343</v>
      </c>
      <c r="BA63" s="1" t="s">
        <v>7684</v>
      </c>
      <c r="BB63">
        <v>160</v>
      </c>
      <c r="BC63">
        <v>35</v>
      </c>
      <c r="BD63">
        <v>1941</v>
      </c>
      <c r="BE6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4.6894686343002832</v>
      </c>
      <c r="BF63" s="240">
        <f>COUNTIFS(_05preva_view43[Site ID],_05preva_view43[[#This Row],[Site ID]],_05preva_view43[Prevalidation Status],"Under Prevalidation")</f>
        <v>0</v>
      </c>
      <c r="BG6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3" s="242" t="str">
        <f>CONCATENATE(_05preva_view43[[#This Row],[Site ID]]," (",_05preva_view43[[#This Row],[tenant id]],") Application",IF(_05preva_view43[[#This Row],[Colo Rev]]&gt;0," Rev "&amp;_05preva_view43[[#This Row],[Colo Rev]],""),".xlsx")</f>
        <v>ANMD_0166 (MDYAMPR003) Application Rev .xlsx</v>
      </c>
      <c r="BI63" s="64" t="e">
        <f t="shared" ca="1" si="1"/>
        <v>#VALUE!</v>
      </c>
      <c r="BJ63" s="104" t="e">
        <f ca="1">LEFT(CELL("filename",A48),_05preva_view43[[#This Row],[Find Process &amp; Database]]-1)</f>
        <v>#VALUE!</v>
      </c>
      <c r="BK63" s="104" t="e">
        <f ca="1">_05preva_view43[Folder Path1]&amp;"Process &amp; Database\Documentation\Colo Applications"</f>
        <v>#VALUE!</v>
      </c>
      <c r="BL63" s="104" t="e">
        <f ca="1">_05preva_view43[Folder Path2]&amp;"\Colo App "&amp;_05preva_view43[[#This Row],[Operator]]&amp;"\"</f>
        <v>#VALUE!</v>
      </c>
      <c r="BM63" s="63" t="e">
        <f ca="1">_05preva_view43[[#This Row],[Folder Path3]]&amp;_05preva_view43[[#This Row],[File Name]]</f>
        <v>#VALUE!</v>
      </c>
      <c r="BN63" s="104"/>
      <c r="CF63" s="5"/>
      <c r="CG63" s="5"/>
      <c r="CH63" s="3"/>
      <c r="CJ63" s="5"/>
      <c r="CN63" s="3"/>
      <c r="CO63" s="3"/>
      <c r="CP63" s="5"/>
      <c r="CR63" s="3"/>
      <c r="DN63" s="5"/>
      <c r="DP63" s="3"/>
      <c r="EB63" s="7"/>
      <c r="EC63" s="7"/>
      <c r="EF63" s="4"/>
      <c r="EG63" s="4"/>
      <c r="EQ63" s="2"/>
      <c r="ER63" s="2"/>
    </row>
    <row r="64" spans="1:148">
      <c r="A64" s="227">
        <v>3581</v>
      </c>
      <c r="B64" s="228" t="s">
        <v>1548</v>
      </c>
      <c r="C64" s="228" t="s">
        <v>278</v>
      </c>
      <c r="D64" s="228" t="s">
        <v>127</v>
      </c>
      <c r="E64" s="228" t="s">
        <v>1549</v>
      </c>
      <c r="F64" s="228" t="s">
        <v>35</v>
      </c>
      <c r="G64" s="228" t="s">
        <v>1292</v>
      </c>
      <c r="H64" s="228" t="s">
        <v>1285</v>
      </c>
      <c r="I64" s="228" t="s">
        <v>981</v>
      </c>
      <c r="J64" s="228" t="s">
        <v>686</v>
      </c>
      <c r="K64" s="229">
        <v>43475</v>
      </c>
      <c r="L64" s="230">
        <v>1</v>
      </c>
      <c r="M64" s="230">
        <v>1.4</v>
      </c>
      <c r="N64" s="228"/>
      <c r="O64" s="228" t="s">
        <v>687</v>
      </c>
      <c r="P64" s="231" t="s">
        <v>695</v>
      </c>
      <c r="Q64" s="231" t="s">
        <v>696</v>
      </c>
      <c r="R64" s="228" t="s">
        <v>24</v>
      </c>
      <c r="S64" s="228"/>
      <c r="T64" s="232" t="s">
        <v>120</v>
      </c>
      <c r="U64" s="228"/>
      <c r="V64" s="232" t="s">
        <v>120</v>
      </c>
      <c r="W64" s="228"/>
      <c r="X64" s="232" t="s">
        <v>120</v>
      </c>
      <c r="Y64" s="228" t="s">
        <v>1575</v>
      </c>
      <c r="Z64" s="233" t="s">
        <v>120</v>
      </c>
      <c r="AA64" s="234"/>
      <c r="AB64" s="234"/>
      <c r="AC64" s="235" t="s">
        <v>123</v>
      </c>
      <c r="AD64" s="228" t="s">
        <v>1695</v>
      </c>
      <c r="AE64" s="232" t="s">
        <v>120</v>
      </c>
      <c r="AF64" s="229"/>
      <c r="AG64" s="236"/>
      <c r="AH64" s="236"/>
      <c r="AI64" s="228"/>
      <c r="AJ64" s="232" t="s">
        <v>120</v>
      </c>
      <c r="AK64" s="228" t="s">
        <v>123</v>
      </c>
      <c r="AL64" s="228" t="s">
        <v>935</v>
      </c>
      <c r="AM64" s="232"/>
      <c r="AN64" s="228"/>
      <c r="AO64" s="228"/>
      <c r="AP64" s="237"/>
      <c r="AQ64" s="228"/>
      <c r="AR64" s="232"/>
      <c r="AS64" s="228"/>
      <c r="AT64" s="229">
        <v>43476.450474189798</v>
      </c>
      <c r="AU64" s="229">
        <v>43481.373403240701</v>
      </c>
      <c r="AV64" s="229">
        <v>43479.656267245402</v>
      </c>
      <c r="AW64" s="229">
        <v>43476.450474189798</v>
      </c>
      <c r="AX64" s="229">
        <v>43480.732231828697</v>
      </c>
      <c r="AY64" s="229">
        <v>43475.972906828698</v>
      </c>
      <c r="AZ64" s="238">
        <v>43481.412553356502</v>
      </c>
      <c r="BA64" s="1" t="s">
        <v>7684</v>
      </c>
      <c r="BB64">
        <v>130</v>
      </c>
      <c r="BC64">
        <v>60</v>
      </c>
      <c r="BD64">
        <v>2951</v>
      </c>
      <c r="BE6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6.4125533565020305</v>
      </c>
      <c r="BF64" s="240">
        <f>COUNTIFS(_05preva_view43[Site ID],_05preva_view43[[#This Row],[Site ID]],_05preva_view43[Prevalidation Status],"Under Prevalidation")</f>
        <v>0</v>
      </c>
      <c r="BG6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4" s="242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2.xlsx</v>
      </c>
      <c r="BI64" s="64" t="e">
        <f t="shared" ca="1" si="1"/>
        <v>#VALUE!</v>
      </c>
      <c r="BJ64" s="104" t="e">
        <f ca="1">LEFT(CELL("filename",A49),_05preva_view43[[#This Row],[Find Process &amp; Database]]-1)</f>
        <v>#VALUE!</v>
      </c>
      <c r="BK64" s="104" t="e">
        <f ca="1">_05preva_view43[Folder Path1]&amp;"Process &amp; Database\Documentation\Colo Applications"</f>
        <v>#VALUE!</v>
      </c>
      <c r="BL64" s="104" t="e">
        <f ca="1">_05preva_view43[Folder Path2]&amp;"\Colo App "&amp;_05preva_view43[[#This Row],[Operator]]&amp;"\"</f>
        <v>#VALUE!</v>
      </c>
      <c r="BM64" s="63" t="e">
        <f ca="1">_05preva_view43[[#This Row],[Folder Path3]]&amp;_05preva_view43[[#This Row],[File Name]]</f>
        <v>#VALUE!</v>
      </c>
      <c r="BN64" s="104"/>
      <c r="CF64" s="5"/>
      <c r="CG64" s="5"/>
      <c r="CH64" s="3"/>
      <c r="CJ64" s="5"/>
      <c r="CN64" s="3"/>
      <c r="CO64" s="3"/>
      <c r="CP64" s="5"/>
      <c r="CR64" s="3"/>
      <c r="DN64" s="5"/>
      <c r="DP64" s="3"/>
      <c r="EB64" s="7"/>
      <c r="EC64" s="7"/>
      <c r="EF64" s="4"/>
      <c r="EG64" s="4"/>
      <c r="EQ64" s="2"/>
      <c r="ER64" s="2"/>
    </row>
    <row r="65" spans="1:148">
      <c r="A65" s="227">
        <v>3582</v>
      </c>
      <c r="B65" s="228" t="s">
        <v>1550</v>
      </c>
      <c r="C65" s="228" t="s">
        <v>278</v>
      </c>
      <c r="D65" s="228" t="s">
        <v>127</v>
      </c>
      <c r="E65" s="228" t="s">
        <v>1551</v>
      </c>
      <c r="F65" s="228" t="s">
        <v>35</v>
      </c>
      <c r="G65" s="228" t="s">
        <v>1292</v>
      </c>
      <c r="H65" s="228" t="s">
        <v>1285</v>
      </c>
      <c r="I65" s="228" t="s">
        <v>981</v>
      </c>
      <c r="J65" s="228" t="s">
        <v>668</v>
      </c>
      <c r="K65" s="229">
        <v>43475</v>
      </c>
      <c r="L65" s="230">
        <v>1.054</v>
      </c>
      <c r="M65" s="230">
        <v>1.522</v>
      </c>
      <c r="N65" s="228"/>
      <c r="O65" s="228" t="s">
        <v>687</v>
      </c>
      <c r="P65" s="231" t="s">
        <v>695</v>
      </c>
      <c r="Q65" s="231" t="s">
        <v>696</v>
      </c>
      <c r="R65" s="228" t="s">
        <v>24</v>
      </c>
      <c r="S65" s="228"/>
      <c r="T65" s="232" t="s">
        <v>120</v>
      </c>
      <c r="U65" s="228"/>
      <c r="V65" s="232" t="s">
        <v>120</v>
      </c>
      <c r="W65" s="228"/>
      <c r="X65" s="232" t="s">
        <v>120</v>
      </c>
      <c r="Y65" s="228" t="s">
        <v>1576</v>
      </c>
      <c r="Z65" s="233" t="s">
        <v>120</v>
      </c>
      <c r="AA65" s="234"/>
      <c r="AB65" s="234"/>
      <c r="AC65" s="235" t="s">
        <v>123</v>
      </c>
      <c r="AD65" s="228" t="s">
        <v>1696</v>
      </c>
      <c r="AE65" s="232" t="s">
        <v>120</v>
      </c>
      <c r="AF65" s="229"/>
      <c r="AG65" s="236"/>
      <c r="AH65" s="236"/>
      <c r="AI65" s="228"/>
      <c r="AJ65" s="232" t="s">
        <v>120</v>
      </c>
      <c r="AK65" s="228" t="s">
        <v>123</v>
      </c>
      <c r="AL65" s="228" t="s">
        <v>935</v>
      </c>
      <c r="AM65" s="232"/>
      <c r="AN65" s="228"/>
      <c r="AO65" s="228"/>
      <c r="AP65" s="237"/>
      <c r="AQ65" s="228"/>
      <c r="AR65" s="232"/>
      <c r="AS65" s="228"/>
      <c r="AT65" s="229">
        <v>43476.450476157399</v>
      </c>
      <c r="AU65" s="229">
        <v>43481.373406944404</v>
      </c>
      <c r="AV65" s="229">
        <v>43479.656268286999</v>
      </c>
      <c r="AW65" s="229">
        <v>43476.472692476898</v>
      </c>
      <c r="AX65" s="229">
        <v>43480.732232754599</v>
      </c>
      <c r="AY65" s="229">
        <v>43475.972908680596</v>
      </c>
      <c r="AZ65" s="238">
        <v>43481.412554282397</v>
      </c>
      <c r="BA65" s="1" t="s">
        <v>7684</v>
      </c>
      <c r="BB65">
        <v>130</v>
      </c>
      <c r="BC65">
        <v>60</v>
      </c>
      <c r="BD65">
        <v>3566</v>
      </c>
      <c r="BE6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6.4125542823967407</v>
      </c>
      <c r="BF65" s="240">
        <f>COUNTIFS(_05preva_view43[Site ID],_05preva_view43[[#This Row],[Site ID]],_05preva_view43[Prevalidation Status],"Under Prevalidation")</f>
        <v>0</v>
      </c>
      <c r="BG6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5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1.xlsx</v>
      </c>
      <c r="BI65" s="64" t="e">
        <f t="shared" ca="1" si="1"/>
        <v>#VALUE!</v>
      </c>
      <c r="BJ65" s="104" t="e">
        <f ca="1">LEFT(CELL("filename",A50),_05preva_view43[[#This Row],[Find Process &amp; Database]]-1)</f>
        <v>#VALUE!</v>
      </c>
      <c r="BK65" s="104" t="e">
        <f ca="1">_05preva_view43[Folder Path1]&amp;"Process &amp; Database\Documentation\Colo Applications"</f>
        <v>#VALUE!</v>
      </c>
      <c r="BL65" s="104" t="e">
        <f ca="1">_05preva_view43[Folder Path2]&amp;"\Colo App "&amp;_05preva_view43[[#This Row],[Operator]]&amp;"\"</f>
        <v>#VALUE!</v>
      </c>
      <c r="BM65" s="63" t="e">
        <f ca="1">_05preva_view43[[#This Row],[Folder Path3]]&amp;_05preva_view43[[#This Row],[File Name]]</f>
        <v>#VALUE!</v>
      </c>
      <c r="BN65" s="104"/>
      <c r="CF65" s="5"/>
      <c r="CG65" s="5"/>
      <c r="CH65" s="3"/>
      <c r="CJ65" s="5"/>
      <c r="CN65" s="3"/>
      <c r="CO65" s="3"/>
      <c r="CP65" s="5"/>
      <c r="CR65" s="3"/>
      <c r="DN65" s="5"/>
      <c r="DP65" s="3"/>
      <c r="EB65" s="7"/>
      <c r="EC65" s="7"/>
      <c r="EF65" s="4"/>
      <c r="EG65" s="4"/>
      <c r="EQ65" s="2"/>
      <c r="ER65" s="2"/>
    </row>
    <row r="66" spans="1:148">
      <c r="A66" s="227">
        <v>3583</v>
      </c>
      <c r="B66" s="228" t="s">
        <v>1061</v>
      </c>
      <c r="C66" s="228" t="s">
        <v>278</v>
      </c>
      <c r="D66" s="228" t="s">
        <v>127</v>
      </c>
      <c r="E66" s="228" t="s">
        <v>1062</v>
      </c>
      <c r="F66" s="228" t="s">
        <v>35</v>
      </c>
      <c r="G66" s="228" t="s">
        <v>1292</v>
      </c>
      <c r="H66" s="228" t="s">
        <v>1285</v>
      </c>
      <c r="I66" s="228" t="s">
        <v>1006</v>
      </c>
      <c r="J66" s="228" t="s">
        <v>727</v>
      </c>
      <c r="K66" s="229">
        <v>43475</v>
      </c>
      <c r="L66" s="230">
        <v>1.399</v>
      </c>
      <c r="M66" s="230">
        <v>2.1989999999999998</v>
      </c>
      <c r="N66" s="228"/>
      <c r="O66" s="228" t="s">
        <v>687</v>
      </c>
      <c r="P66" s="231" t="s">
        <v>993</v>
      </c>
      <c r="Q66" s="231" t="s">
        <v>994</v>
      </c>
      <c r="R66" s="228" t="s">
        <v>24</v>
      </c>
      <c r="S66" s="228"/>
      <c r="T66" s="232" t="s">
        <v>120</v>
      </c>
      <c r="U66" s="228"/>
      <c r="V66" s="232" t="s">
        <v>120</v>
      </c>
      <c r="W66" s="228"/>
      <c r="X66" s="232" t="s">
        <v>120</v>
      </c>
      <c r="Y66" s="228" t="s">
        <v>1577</v>
      </c>
      <c r="Z66" s="233" t="s">
        <v>120</v>
      </c>
      <c r="AA66" s="234"/>
      <c r="AB66" s="234"/>
      <c r="AC66" s="235" t="s">
        <v>123</v>
      </c>
      <c r="AD66" s="228" t="s">
        <v>1697</v>
      </c>
      <c r="AE66" s="232" t="s">
        <v>120</v>
      </c>
      <c r="AF66" s="229"/>
      <c r="AG66" s="236"/>
      <c r="AH66" s="236"/>
      <c r="AI66" s="228"/>
      <c r="AJ66" s="232" t="s">
        <v>120</v>
      </c>
      <c r="AK66" s="228" t="s">
        <v>123</v>
      </c>
      <c r="AL66" s="228" t="s">
        <v>935</v>
      </c>
      <c r="AM66" s="232"/>
      <c r="AN66" s="228"/>
      <c r="AO66" s="228"/>
      <c r="AP66" s="237"/>
      <c r="AQ66" s="228"/>
      <c r="AR66" s="232"/>
      <c r="AS66" s="228"/>
      <c r="AT66" s="229">
        <v>43476.450479282401</v>
      </c>
      <c r="AU66" s="229">
        <v>43481.373410763903</v>
      </c>
      <c r="AV66" s="229">
        <v>43479.705827777798</v>
      </c>
      <c r="AW66" s="229">
        <v>43476.472693981501</v>
      </c>
      <c r="AX66" s="229">
        <v>43480.732239236102</v>
      </c>
      <c r="AY66" s="229">
        <v>43475.9729113426</v>
      </c>
      <c r="AZ66" s="238">
        <v>43481.412555324103</v>
      </c>
      <c r="BA66" s="1" t="s">
        <v>7684</v>
      </c>
      <c r="BB66">
        <v>130</v>
      </c>
      <c r="BC66">
        <v>60</v>
      </c>
      <c r="BD66">
        <v>3121</v>
      </c>
      <c r="BE6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6.4125553241028683</v>
      </c>
      <c r="BF66" s="240">
        <f>COUNTIFS(_05preva_view43[Site ID],_05preva_view43[[#This Row],[Site ID]],_05preva_view43[Prevalidation Status],"Under Prevalidation")</f>
        <v>0</v>
      </c>
      <c r="BG6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6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3.xlsx</v>
      </c>
      <c r="BI66" s="64" t="e">
        <f t="shared" ca="1" si="1"/>
        <v>#VALUE!</v>
      </c>
      <c r="BJ66" s="104" t="e">
        <f ca="1">LEFT(CELL("filename",A51),_05preva_view43[[#This Row],[Find Process &amp; Database]]-1)</f>
        <v>#VALUE!</v>
      </c>
      <c r="BK66" s="104" t="e">
        <f ca="1">_05preva_view43[Folder Path1]&amp;"Process &amp; Database\Documentation\Colo Applications"</f>
        <v>#VALUE!</v>
      </c>
      <c r="BL66" s="104" t="e">
        <f ca="1">_05preva_view43[Folder Path2]&amp;"\Colo App "&amp;_05preva_view43[[#This Row],[Operator]]&amp;"\"</f>
        <v>#VALUE!</v>
      </c>
      <c r="BM66" s="63" t="e">
        <f ca="1">_05preva_view43[[#This Row],[Folder Path3]]&amp;_05preva_view43[[#This Row],[File Name]]</f>
        <v>#VALUE!</v>
      </c>
      <c r="BN66" s="104"/>
      <c r="CF66" s="5"/>
      <c r="CG66" s="5"/>
      <c r="CH66" s="3"/>
      <c r="CJ66" s="5"/>
      <c r="CN66" s="3"/>
      <c r="CO66" s="3"/>
      <c r="CP66" s="5"/>
      <c r="CR66" s="3"/>
      <c r="DN66" s="5"/>
      <c r="DP66" s="3"/>
      <c r="EB66" s="7"/>
      <c r="EC66" s="7"/>
      <c r="EF66" s="4"/>
      <c r="EG66" s="4"/>
      <c r="EQ66" s="2"/>
      <c r="ER66" s="2"/>
    </row>
    <row r="67" spans="1:148">
      <c r="A67" s="227">
        <v>3572</v>
      </c>
      <c r="B67" s="228" t="s">
        <v>1500</v>
      </c>
      <c r="C67" s="228" t="s">
        <v>116</v>
      </c>
      <c r="D67" s="228" t="s">
        <v>117</v>
      </c>
      <c r="E67" s="228" t="s">
        <v>1501</v>
      </c>
      <c r="F67" s="228" t="s">
        <v>35</v>
      </c>
      <c r="G67" s="228" t="s">
        <v>1287</v>
      </c>
      <c r="H67" s="228" t="s">
        <v>1285</v>
      </c>
      <c r="I67" s="228" t="s">
        <v>790</v>
      </c>
      <c r="J67" s="228" t="s">
        <v>686</v>
      </c>
      <c r="K67" s="229">
        <v>43474</v>
      </c>
      <c r="L67" s="230">
        <v>1.9890000000000001</v>
      </c>
      <c r="M67" s="230">
        <v>3.5489999999999999</v>
      </c>
      <c r="N67" s="228">
        <v>6</v>
      </c>
      <c r="O67" s="228" t="s">
        <v>119</v>
      </c>
      <c r="P67" s="231" t="s">
        <v>227</v>
      </c>
      <c r="Q67" s="231" t="s">
        <v>228</v>
      </c>
      <c r="R67" s="228" t="s">
        <v>24</v>
      </c>
      <c r="S67" s="228"/>
      <c r="T67" s="232" t="s">
        <v>120</v>
      </c>
      <c r="U67" s="228" t="s">
        <v>1552</v>
      </c>
      <c r="V67" s="232" t="s">
        <v>120</v>
      </c>
      <c r="W67" s="228"/>
      <c r="X67" s="232" t="s">
        <v>120</v>
      </c>
      <c r="Y67" s="228" t="s">
        <v>1553</v>
      </c>
      <c r="Z67" s="233" t="s">
        <v>120</v>
      </c>
      <c r="AA67" s="234"/>
      <c r="AB67" s="234"/>
      <c r="AC67" s="235" t="s">
        <v>123</v>
      </c>
      <c r="AD67" s="228" t="s">
        <v>1698</v>
      </c>
      <c r="AE67" s="232" t="s">
        <v>120</v>
      </c>
      <c r="AF67" s="229"/>
      <c r="AG67" s="236"/>
      <c r="AH67" s="236"/>
      <c r="AI67" s="228"/>
      <c r="AJ67" s="232" t="s">
        <v>120</v>
      </c>
      <c r="AK67" s="228" t="s">
        <v>123</v>
      </c>
      <c r="AL67" s="228" t="s">
        <v>935</v>
      </c>
      <c r="AM67" s="232"/>
      <c r="AN67" s="228"/>
      <c r="AO67" s="228"/>
      <c r="AP67" s="237"/>
      <c r="AQ67" s="228"/>
      <c r="AR67" s="232"/>
      <c r="AS67" s="228"/>
      <c r="AT67" s="229">
        <v>43476.450463541703</v>
      </c>
      <c r="AU67" s="229">
        <v>43480.567763310202</v>
      </c>
      <c r="AV67" s="229">
        <v>43479.705824305602</v>
      </c>
      <c r="AW67" s="229">
        <v>43476.450463541703</v>
      </c>
      <c r="AX67" s="229">
        <v>43475.646655439799</v>
      </c>
      <c r="AY67" s="229">
        <v>43475.965510532398</v>
      </c>
      <c r="AZ67" s="238">
        <v>43481.412552661997</v>
      </c>
      <c r="BA67" s="1" t="s">
        <v>7684</v>
      </c>
      <c r="BB67"/>
      <c r="BC67">
        <v>45</v>
      </c>
      <c r="BD67">
        <v>1563</v>
      </c>
      <c r="BE6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7.4125526619973243</v>
      </c>
      <c r="BF67" s="240">
        <f>COUNTIFS(_05preva_view43[Site ID],_05preva_view43[[#This Row],[Site ID]],_05preva_view43[Prevalidation Status],"Under Prevalidation")</f>
        <v>0</v>
      </c>
      <c r="BG6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7" s="242" t="str">
        <f>CONCATENATE(_05preva_view43[[#This Row],[Site ID]]," (",_05preva_view43[[#This Row],[tenant id]],") Application",IF(_05preva_view43[[#This Row],[Colo Rev]]&gt;0," Rev "&amp;_05preva_view43[[#This Row],[Colo Rev]],""),".xlsx")</f>
        <v>ANMG_0034 (MGW00303) Application Rev 2.xlsx</v>
      </c>
      <c r="BI67" s="64" t="e">
        <f t="shared" ca="1" si="1"/>
        <v>#VALUE!</v>
      </c>
      <c r="BJ67" s="104" t="e">
        <f ca="1">LEFT(CELL("filename",A52),_05preva_view43[[#This Row],[Find Process &amp; Database]]-1)</f>
        <v>#VALUE!</v>
      </c>
      <c r="BK67" s="104" t="e">
        <f ca="1">_05preva_view43[Folder Path1]&amp;"Process &amp; Database\Documentation\Colo Applications"</f>
        <v>#VALUE!</v>
      </c>
      <c r="BL67" s="104" t="e">
        <f ca="1">_05preva_view43[Folder Path2]&amp;"\Colo App "&amp;_05preva_view43[[#This Row],[Operator]]&amp;"\"</f>
        <v>#VALUE!</v>
      </c>
      <c r="BM67" s="63" t="e">
        <f ca="1">_05preva_view43[[#This Row],[Folder Path3]]&amp;_05preva_view43[[#This Row],[File Name]]</f>
        <v>#VALUE!</v>
      </c>
      <c r="BN67" s="104"/>
      <c r="CF67" s="5"/>
      <c r="CG67" s="5"/>
      <c r="CH67" s="3"/>
      <c r="CJ67" s="5"/>
      <c r="CN67" s="3"/>
      <c r="CO67" s="3"/>
      <c r="CP67" s="5"/>
      <c r="CR67" s="3"/>
      <c r="DN67" s="5"/>
      <c r="DP67" s="3"/>
      <c r="EB67" s="7"/>
      <c r="EC67" s="7"/>
      <c r="EF67" s="4"/>
      <c r="EG67" s="4"/>
      <c r="EQ67" s="2"/>
      <c r="ER67" s="2"/>
    </row>
    <row r="68" spans="1:148">
      <c r="A68" s="227">
        <v>3559</v>
      </c>
      <c r="B68" s="228" t="s">
        <v>1496</v>
      </c>
      <c r="C68" s="228" t="s">
        <v>278</v>
      </c>
      <c r="D68" s="228" t="s">
        <v>117</v>
      </c>
      <c r="E68" s="228" t="s">
        <v>1497</v>
      </c>
      <c r="F68" s="228" t="s">
        <v>38</v>
      </c>
      <c r="G68" s="228" t="s">
        <v>1295</v>
      </c>
      <c r="H68" s="228" t="s">
        <v>1285</v>
      </c>
      <c r="I68" s="228" t="s">
        <v>1058</v>
      </c>
      <c r="J68" s="228" t="s">
        <v>686</v>
      </c>
      <c r="K68" s="229">
        <v>43473</v>
      </c>
      <c r="L68" s="230"/>
      <c r="M68" s="230"/>
      <c r="N68" s="228">
        <v>4.46</v>
      </c>
      <c r="O68" s="228" t="s">
        <v>687</v>
      </c>
      <c r="P68" s="231" t="s">
        <v>993</v>
      </c>
      <c r="Q68" s="231" t="s">
        <v>994</v>
      </c>
      <c r="R68" s="228" t="s">
        <v>24</v>
      </c>
      <c r="S68" s="228"/>
      <c r="T68" s="232" t="s">
        <v>615</v>
      </c>
      <c r="U68" s="228"/>
      <c r="V68" s="232" t="s">
        <v>615</v>
      </c>
      <c r="W68" s="228"/>
      <c r="X68" s="232" t="s">
        <v>120</v>
      </c>
      <c r="Y68" s="228" t="s">
        <v>1498</v>
      </c>
      <c r="Z68" s="233" t="s">
        <v>120</v>
      </c>
      <c r="AA68" s="234"/>
      <c r="AB68" s="234"/>
      <c r="AC68" s="235" t="s">
        <v>123</v>
      </c>
      <c r="AD68" s="228" t="s">
        <v>1578</v>
      </c>
      <c r="AE68" s="232" t="s">
        <v>615</v>
      </c>
      <c r="AF68" s="229"/>
      <c r="AG68" s="236"/>
      <c r="AH68" s="236"/>
      <c r="AI68" s="228"/>
      <c r="AJ68" s="232" t="s">
        <v>120</v>
      </c>
      <c r="AK68" s="228" t="s">
        <v>123</v>
      </c>
      <c r="AL68" s="228" t="s">
        <v>935</v>
      </c>
      <c r="AM68" s="232"/>
      <c r="AN68" s="228"/>
      <c r="AO68" s="228"/>
      <c r="AP68" s="237"/>
      <c r="AQ68" s="228"/>
      <c r="AR68" s="232"/>
      <c r="AS68" s="228"/>
      <c r="AT68" s="229">
        <v>43473.477749884303</v>
      </c>
      <c r="AU68" s="229"/>
      <c r="AV68" s="229">
        <v>43476.662509606504</v>
      </c>
      <c r="AW68" s="229">
        <v>43473.477749884303</v>
      </c>
      <c r="AX68" s="229"/>
      <c r="AY68" s="229"/>
      <c r="AZ68" s="238">
        <v>43476.692903472198</v>
      </c>
      <c r="BA68" s="1" t="s">
        <v>7684</v>
      </c>
      <c r="BB68">
        <v>225</v>
      </c>
      <c r="BC68">
        <v>60</v>
      </c>
      <c r="BD68">
        <v>2939</v>
      </c>
      <c r="BE6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3.6929034721979406</v>
      </c>
      <c r="BF68" s="240">
        <f>COUNTIFS(_05preva_view43[Site ID],_05preva_view43[[#This Row],[Site ID]],_05preva_view43[Prevalidation Status],"Under Prevalidation")</f>
        <v>0</v>
      </c>
      <c r="BG6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8" s="242" t="str">
        <f>CONCATENATE(_05preva_view43[[#This Row],[Site ID]]," (",_05preva_view43[[#This Row],[tenant id]],") Application",IF(_05preva_view43[[#This Row],[Colo Rev]]&gt;0," Rev "&amp;_05preva_view43[[#This Row],[Colo Rev]],""),".xlsx")</f>
        <v>1-01-12016-011 (RA0021) Application Rev 2.xlsx</v>
      </c>
      <c r="BI68" s="64" t="e">
        <f t="shared" ca="1" si="1"/>
        <v>#VALUE!</v>
      </c>
      <c r="BJ68" s="104" t="e">
        <f ca="1">LEFT(CELL("filename",A53),_05preva_view43[[#This Row],[Find Process &amp; Database]]-1)</f>
        <v>#VALUE!</v>
      </c>
      <c r="BK68" s="104" t="e">
        <f ca="1">_05preva_view43[Folder Path1]&amp;"Process &amp; Database\Documentation\Colo Applications"</f>
        <v>#VALUE!</v>
      </c>
      <c r="BL68" s="104" t="e">
        <f ca="1">_05preva_view43[Folder Path2]&amp;"\Colo App "&amp;_05preva_view43[[#This Row],[Operator]]&amp;"\"</f>
        <v>#VALUE!</v>
      </c>
      <c r="BM68" s="63" t="e">
        <f ca="1">_05preva_view43[[#This Row],[Folder Path3]]&amp;_05preva_view43[[#This Row],[File Name]]</f>
        <v>#VALUE!</v>
      </c>
      <c r="BN68" s="104"/>
      <c r="CF68" s="5"/>
      <c r="CG68" s="5"/>
      <c r="CH68" s="3"/>
      <c r="CJ68" s="5"/>
      <c r="CN68" s="3"/>
      <c r="CO68" s="3"/>
      <c r="CP68" s="5"/>
      <c r="CR68" s="3"/>
      <c r="DN68" s="5"/>
      <c r="DP68" s="3"/>
      <c r="EB68" s="7"/>
      <c r="EC68" s="7"/>
      <c r="EF68" s="4"/>
      <c r="EG68" s="4"/>
      <c r="EQ68" s="2"/>
      <c r="ER68" s="2"/>
    </row>
    <row r="69" spans="1:148">
      <c r="A69" s="227">
        <v>3560</v>
      </c>
      <c r="B69" s="228" t="s">
        <v>1502</v>
      </c>
      <c r="C69" s="228" t="s">
        <v>116</v>
      </c>
      <c r="D69" s="228" t="s">
        <v>127</v>
      </c>
      <c r="E69" s="228" t="s">
        <v>1503</v>
      </c>
      <c r="F69" s="228" t="s">
        <v>35</v>
      </c>
      <c r="G69" s="228" t="s">
        <v>1287</v>
      </c>
      <c r="H69" s="228" t="s">
        <v>1285</v>
      </c>
      <c r="I69" s="228" t="s">
        <v>1006</v>
      </c>
      <c r="J69" s="228" t="s">
        <v>686</v>
      </c>
      <c r="K69" s="229">
        <v>43473</v>
      </c>
      <c r="L69" s="230">
        <v>1.399</v>
      </c>
      <c r="M69" s="230">
        <v>2.2610000000000001</v>
      </c>
      <c r="N69" s="228">
        <v>5.76</v>
      </c>
      <c r="O69" s="228" t="s">
        <v>119</v>
      </c>
      <c r="P69" s="231" t="s">
        <v>705</v>
      </c>
      <c r="Q69" s="231" t="s">
        <v>706</v>
      </c>
      <c r="R69" s="228" t="s">
        <v>24</v>
      </c>
      <c r="S69" s="228"/>
      <c r="T69" s="232" t="s">
        <v>120</v>
      </c>
      <c r="U69" s="228" t="s">
        <v>1554</v>
      </c>
      <c r="V69" s="232" t="s">
        <v>120</v>
      </c>
      <c r="W69" s="228"/>
      <c r="X69" s="232" t="s">
        <v>120</v>
      </c>
      <c r="Y69" s="228" t="s">
        <v>1504</v>
      </c>
      <c r="Z69" s="233" t="s">
        <v>120</v>
      </c>
      <c r="AA69" s="234"/>
      <c r="AB69" s="234"/>
      <c r="AC69" s="235" t="s">
        <v>123</v>
      </c>
      <c r="AD69" s="228" t="s">
        <v>1555</v>
      </c>
      <c r="AE69" s="232" t="s">
        <v>120</v>
      </c>
      <c r="AF69" s="229"/>
      <c r="AG69" s="236"/>
      <c r="AH69" s="236"/>
      <c r="AI69" s="228"/>
      <c r="AJ69" s="232" t="s">
        <v>120</v>
      </c>
      <c r="AK69" s="228" t="s">
        <v>123</v>
      </c>
      <c r="AL69" s="228" t="s">
        <v>935</v>
      </c>
      <c r="AM69" s="232"/>
      <c r="AN69" s="228"/>
      <c r="AO69" s="228"/>
      <c r="AP69" s="237"/>
      <c r="AQ69" s="228"/>
      <c r="AR69" s="232"/>
      <c r="AS69" s="228"/>
      <c r="AT69" s="229">
        <v>43474.5008079861</v>
      </c>
      <c r="AU69" s="229">
        <v>43479.735462962999</v>
      </c>
      <c r="AV69" s="229">
        <v>43475.484935300898</v>
      </c>
      <c r="AW69" s="229">
        <v>43474.5008079861</v>
      </c>
      <c r="AX69" s="229">
        <v>43475.646623726898</v>
      </c>
      <c r="AY69" s="229">
        <v>43473.725844328699</v>
      </c>
      <c r="AZ69" s="238">
        <v>43480.437813194403</v>
      </c>
      <c r="BA69" s="1" t="s">
        <v>7684</v>
      </c>
      <c r="BB69">
        <v>130</v>
      </c>
      <c r="BC69">
        <v>50</v>
      </c>
      <c r="BD69">
        <v>427</v>
      </c>
      <c r="BE6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7.4378131944031338</v>
      </c>
      <c r="BF69" s="240">
        <f>COUNTIFS(_05preva_view43[Site ID],_05preva_view43[[#This Row],[Site ID]],_05preva_view43[Prevalidation Status],"Under Prevalidation")</f>
        <v>0</v>
      </c>
      <c r="BG6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69" s="242" t="str">
        <f>CONCATENATE(_05preva_view43[[#This Row],[Site ID]]," (",_05preva_view43[[#This Row],[tenant id]],") Application",IF(_05preva_view43[[#This Row],[Colo Rev]]&gt;0," Rev "&amp;_05preva_view43[[#This Row],[Colo Rev]],""),".xlsx")</f>
        <v>ANKC_0024 (KCN00341) Application Rev 2.xlsx</v>
      </c>
      <c r="BI69" s="64" t="e">
        <f t="shared" ca="1" si="1"/>
        <v>#VALUE!</v>
      </c>
      <c r="BJ69" s="104" t="e">
        <f ca="1">LEFT(CELL("filename",A54),_05preva_view43[[#This Row],[Find Process &amp; Database]]-1)</f>
        <v>#VALUE!</v>
      </c>
      <c r="BK69" s="104" t="e">
        <f ca="1">_05preva_view43[Folder Path1]&amp;"Process &amp; Database\Documentation\Colo Applications"</f>
        <v>#VALUE!</v>
      </c>
      <c r="BL69" s="104" t="e">
        <f ca="1">_05preva_view43[Folder Path2]&amp;"\Colo App "&amp;_05preva_view43[[#This Row],[Operator]]&amp;"\"</f>
        <v>#VALUE!</v>
      </c>
      <c r="BM69" s="63" t="e">
        <f ca="1">_05preva_view43[[#This Row],[Folder Path3]]&amp;_05preva_view43[[#This Row],[File Name]]</f>
        <v>#VALUE!</v>
      </c>
      <c r="BN69" s="104"/>
      <c r="CF69" s="5"/>
      <c r="CG69" s="5"/>
      <c r="CH69" s="3"/>
      <c r="CJ69" s="5"/>
      <c r="CN69" s="3"/>
      <c r="CO69" s="3"/>
      <c r="CP69" s="5"/>
      <c r="CR69" s="3"/>
      <c r="DN69" s="5"/>
      <c r="DP69" s="3"/>
      <c r="EB69" s="7"/>
      <c r="EC69" s="7"/>
      <c r="EF69" s="4"/>
      <c r="EG69" s="4"/>
      <c r="EQ69" s="2"/>
      <c r="ER69" s="2"/>
    </row>
    <row r="70" spans="1:148">
      <c r="A70" s="227">
        <v>3561</v>
      </c>
      <c r="B70" s="228" t="s">
        <v>1505</v>
      </c>
      <c r="C70" s="228" t="s">
        <v>278</v>
      </c>
      <c r="D70" s="228" t="s">
        <v>127</v>
      </c>
      <c r="E70" s="228" t="s">
        <v>1506</v>
      </c>
      <c r="F70" s="228" t="s">
        <v>35</v>
      </c>
      <c r="G70" s="228" t="s">
        <v>1293</v>
      </c>
      <c r="H70" s="228" t="s">
        <v>1290</v>
      </c>
      <c r="I70" s="228" t="s">
        <v>814</v>
      </c>
      <c r="J70" s="228" t="s">
        <v>668</v>
      </c>
      <c r="K70" s="229">
        <v>43473</v>
      </c>
      <c r="L70" s="230">
        <v>1.175</v>
      </c>
      <c r="M70" s="230">
        <v>2.1389999999999998</v>
      </c>
      <c r="N70" s="228">
        <v>3.4</v>
      </c>
      <c r="O70" s="228" t="s">
        <v>687</v>
      </c>
      <c r="P70" s="231" t="s">
        <v>629</v>
      </c>
      <c r="Q70" s="231" t="s">
        <v>652</v>
      </c>
      <c r="R70" s="228" t="s">
        <v>24</v>
      </c>
      <c r="S70" s="228"/>
      <c r="T70" s="232" t="s">
        <v>120</v>
      </c>
      <c r="U70" s="228" t="s">
        <v>1699</v>
      </c>
      <c r="V70" s="232" t="s">
        <v>120</v>
      </c>
      <c r="W70" s="228"/>
      <c r="X70" s="232" t="s">
        <v>120</v>
      </c>
      <c r="Y70" s="228" t="s">
        <v>1507</v>
      </c>
      <c r="Z70" s="233" t="s">
        <v>120</v>
      </c>
      <c r="AA70" s="234"/>
      <c r="AB70" s="234"/>
      <c r="AC70" s="235" t="s">
        <v>123</v>
      </c>
      <c r="AD70" s="228" t="s">
        <v>1556</v>
      </c>
      <c r="AE70" s="232" t="s">
        <v>120</v>
      </c>
      <c r="AF70" s="229" t="s">
        <v>1423</v>
      </c>
      <c r="AG70" s="236"/>
      <c r="AH70" s="236"/>
      <c r="AI70" s="228" t="s">
        <v>1700</v>
      </c>
      <c r="AJ70" s="232" t="s">
        <v>120</v>
      </c>
      <c r="AK70" s="228" t="s">
        <v>123</v>
      </c>
      <c r="AL70" s="228" t="s">
        <v>935</v>
      </c>
      <c r="AM70" s="232"/>
      <c r="AN70" s="228"/>
      <c r="AO70" s="228"/>
      <c r="AP70" s="237"/>
      <c r="AQ70" s="228"/>
      <c r="AR70" s="232"/>
      <c r="AS70" s="228"/>
      <c r="AT70" s="229">
        <v>43474.500813310202</v>
      </c>
      <c r="AU70" s="229">
        <v>43479.7354635417</v>
      </c>
      <c r="AV70" s="229">
        <v>43475.726966550901</v>
      </c>
      <c r="AW70" s="229">
        <v>43474.500813310202</v>
      </c>
      <c r="AX70" s="229">
        <v>43480.732222569401</v>
      </c>
      <c r="AY70" s="229">
        <v>43475.973937037001</v>
      </c>
      <c r="AZ70" s="238">
        <v>43481.412550347202</v>
      </c>
      <c r="BA70" s="1" t="s">
        <v>7684</v>
      </c>
      <c r="BB70">
        <v>130</v>
      </c>
      <c r="BC70">
        <v>45</v>
      </c>
      <c r="BD70">
        <v>3491</v>
      </c>
      <c r="BE7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8.4125503472023411</v>
      </c>
      <c r="BF70" s="240">
        <f>COUNTIFS(_05preva_view43[Site ID],_05preva_view43[[#This Row],[Site ID]],_05preva_view43[Prevalidation Status],"Under Prevalidation")</f>
        <v>0</v>
      </c>
      <c r="BG7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0" s="242" t="str">
        <f>CONCATENATE(_05preva_view43[[#This Row],[Site ID]]," (",_05preva_view43[[#This Row],[tenant id]],") Application",IF(_05preva_view43[[#This Row],[Colo Rev]]&gt;0," Rev "&amp;_05preva_view43[[#This Row],[Colo Rev]],""),".xlsx")</f>
        <v>1-01-10013-005 (MDY01364) Application Rev 1.xlsx</v>
      </c>
      <c r="BI70" s="64" t="e">
        <f t="shared" ca="1" si="1"/>
        <v>#VALUE!</v>
      </c>
      <c r="BJ70" s="104" t="e">
        <f ca="1">LEFT(CELL("filename",A55),_05preva_view43[[#This Row],[Find Process &amp; Database]]-1)</f>
        <v>#VALUE!</v>
      </c>
      <c r="BK70" s="104" t="e">
        <f ca="1">_05preva_view43[Folder Path1]&amp;"Process &amp; Database\Documentation\Colo Applications"</f>
        <v>#VALUE!</v>
      </c>
      <c r="BL70" s="104" t="e">
        <f ca="1">_05preva_view43[Folder Path2]&amp;"\Colo App "&amp;_05preva_view43[[#This Row],[Operator]]&amp;"\"</f>
        <v>#VALUE!</v>
      </c>
      <c r="BM70" s="63" t="e">
        <f ca="1">_05preva_view43[[#This Row],[Folder Path3]]&amp;_05preva_view43[[#This Row],[File Name]]</f>
        <v>#VALUE!</v>
      </c>
      <c r="BN70" s="104"/>
      <c r="CF70" s="5"/>
      <c r="CG70" s="5"/>
      <c r="CH70" s="3"/>
      <c r="CJ70" s="5"/>
      <c r="CN70" s="3"/>
      <c r="CO70" s="3"/>
      <c r="CP70" s="5"/>
      <c r="CR70" s="3"/>
      <c r="DN70" s="5"/>
      <c r="DP70" s="3"/>
      <c r="EB70" s="7"/>
      <c r="EC70" s="7"/>
      <c r="EF70" s="4"/>
      <c r="EG70" s="4"/>
      <c r="EQ70" s="2"/>
      <c r="ER70" s="2"/>
    </row>
    <row r="71" spans="1:148">
      <c r="A71" s="227">
        <v>3562</v>
      </c>
      <c r="B71" s="228" t="s">
        <v>1508</v>
      </c>
      <c r="C71" s="228" t="s">
        <v>116</v>
      </c>
      <c r="D71" s="228" t="s">
        <v>127</v>
      </c>
      <c r="E71" s="228" t="s">
        <v>1509</v>
      </c>
      <c r="F71" s="228" t="s">
        <v>35</v>
      </c>
      <c r="G71" s="228" t="s">
        <v>1287</v>
      </c>
      <c r="H71" s="228" t="s">
        <v>1285</v>
      </c>
      <c r="I71" s="228" t="s">
        <v>1006</v>
      </c>
      <c r="J71" s="228" t="s">
        <v>686</v>
      </c>
      <c r="K71" s="229">
        <v>43473</v>
      </c>
      <c r="L71" s="230">
        <v>1.329</v>
      </c>
      <c r="M71" s="230">
        <v>2.1989999999999998</v>
      </c>
      <c r="N71" s="228">
        <v>5.53</v>
      </c>
      <c r="O71" s="228" t="s">
        <v>119</v>
      </c>
      <c r="P71" s="231" t="s">
        <v>228</v>
      </c>
      <c r="Q71" s="231" t="s">
        <v>284</v>
      </c>
      <c r="R71" s="228" t="s">
        <v>24</v>
      </c>
      <c r="S71" s="228"/>
      <c r="T71" s="232" t="s">
        <v>120</v>
      </c>
      <c r="U71" s="228" t="s">
        <v>1557</v>
      </c>
      <c r="V71" s="232" t="s">
        <v>120</v>
      </c>
      <c r="W71" s="228"/>
      <c r="X71" s="232" t="s">
        <v>120</v>
      </c>
      <c r="Y71" s="228" t="s">
        <v>1510</v>
      </c>
      <c r="Z71" s="233" t="s">
        <v>120</v>
      </c>
      <c r="AA71" s="234"/>
      <c r="AB71" s="234"/>
      <c r="AC71" s="235" t="s">
        <v>123</v>
      </c>
      <c r="AD71" s="228" t="s">
        <v>1558</v>
      </c>
      <c r="AE71" s="232" t="s">
        <v>120</v>
      </c>
      <c r="AF71" s="229"/>
      <c r="AG71" s="236"/>
      <c r="AH71" s="236"/>
      <c r="AI71" s="228"/>
      <c r="AJ71" s="232" t="s">
        <v>120</v>
      </c>
      <c r="AK71" s="228" t="s">
        <v>206</v>
      </c>
      <c r="AL71" s="228" t="s">
        <v>935</v>
      </c>
      <c r="AM71" s="232"/>
      <c r="AN71" s="228"/>
      <c r="AO71" s="228"/>
      <c r="AP71" s="237"/>
      <c r="AQ71" s="228"/>
      <c r="AR71" s="232"/>
      <c r="AS71" s="228"/>
      <c r="AT71" s="229">
        <v>43474.500815046304</v>
      </c>
      <c r="AU71" s="229">
        <v>43479.735463888901</v>
      </c>
      <c r="AV71" s="229">
        <v>43475.5996662037</v>
      </c>
      <c r="AW71" s="229">
        <v>43474.500815046304</v>
      </c>
      <c r="AX71" s="229">
        <v>43475.646629166702</v>
      </c>
      <c r="AY71" s="229">
        <v>43473.725847337999</v>
      </c>
      <c r="AZ71" s="238">
        <v>43480.437814814803</v>
      </c>
      <c r="BA71" s="1" t="s">
        <v>7684</v>
      </c>
      <c r="BB71"/>
      <c r="BC71">
        <v>50</v>
      </c>
      <c r="BD71">
        <v>678</v>
      </c>
      <c r="BE7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7.4378148148025502</v>
      </c>
      <c r="BF71" s="240">
        <f>COUNTIFS(_05preva_view43[Site ID],_05preva_view43[[#This Row],[Site ID]],_05preva_view43[Prevalidation Status],"Under Prevalidation")</f>
        <v>0</v>
      </c>
      <c r="BG7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1" s="242" t="str">
        <f>CONCATENATE(_05preva_view43[[#This Row],[Site ID]]," (",_05preva_view43[[#This Row],[tenant id]],") Application",IF(_05preva_view43[[#This Row],[Colo Rev]]&gt;0," Rev "&amp;_05preva_view43[[#This Row],[Colo Rev]],""),".xlsx")</f>
        <v>ANSG_0466 (SGG00230) Application Rev 2.xlsx</v>
      </c>
      <c r="BI71" s="64" t="e">
        <f t="shared" ca="1" si="1"/>
        <v>#VALUE!</v>
      </c>
      <c r="BJ71" s="104" t="e">
        <f ca="1">LEFT(CELL("filename",A56),_05preva_view43[[#This Row],[Find Process &amp; Database]]-1)</f>
        <v>#VALUE!</v>
      </c>
      <c r="BK71" s="104" t="e">
        <f ca="1">_05preva_view43[Folder Path1]&amp;"Process &amp; Database\Documentation\Colo Applications"</f>
        <v>#VALUE!</v>
      </c>
      <c r="BL71" s="104" t="e">
        <f ca="1">_05preva_view43[Folder Path2]&amp;"\Colo App "&amp;_05preva_view43[[#This Row],[Operator]]&amp;"\"</f>
        <v>#VALUE!</v>
      </c>
      <c r="BM71" s="63" t="e">
        <f ca="1">_05preva_view43[[#This Row],[Folder Path3]]&amp;_05preva_view43[[#This Row],[File Name]]</f>
        <v>#VALUE!</v>
      </c>
      <c r="BN71" s="104"/>
      <c r="CF71" s="5"/>
      <c r="CG71" s="5"/>
      <c r="CH71" s="3"/>
      <c r="CJ71" s="5"/>
      <c r="CN71" s="3"/>
      <c r="CO71" s="3"/>
      <c r="CP71" s="5"/>
      <c r="CR71" s="3"/>
      <c r="DN71" s="5"/>
      <c r="DP71" s="3"/>
      <c r="EB71" s="7"/>
      <c r="EC71" s="7"/>
      <c r="EF71" s="4"/>
      <c r="EG71" s="4"/>
      <c r="EQ71" s="2"/>
      <c r="ER71" s="2"/>
    </row>
    <row r="72" spans="1:148">
      <c r="A72" s="227">
        <v>3563</v>
      </c>
      <c r="B72" s="228" t="s">
        <v>623</v>
      </c>
      <c r="C72" s="228" t="s">
        <v>116</v>
      </c>
      <c r="D72" s="228" t="s">
        <v>153</v>
      </c>
      <c r="E72" s="228" t="s">
        <v>1511</v>
      </c>
      <c r="F72" s="228" t="s">
        <v>41</v>
      </c>
      <c r="G72" s="228" t="s">
        <v>1286</v>
      </c>
      <c r="H72" s="228" t="s">
        <v>1285</v>
      </c>
      <c r="I72" s="228" t="s">
        <v>949</v>
      </c>
      <c r="J72" s="228" t="s">
        <v>668</v>
      </c>
      <c r="K72" s="229">
        <v>43473</v>
      </c>
      <c r="L72" s="230">
        <v>3.8</v>
      </c>
      <c r="M72" s="230"/>
      <c r="N72" s="228">
        <v>3</v>
      </c>
      <c r="O72" s="228" t="s">
        <v>119</v>
      </c>
      <c r="P72" s="231" t="s">
        <v>962</v>
      </c>
      <c r="Q72" s="231"/>
      <c r="R72" s="228" t="s">
        <v>24</v>
      </c>
      <c r="S72" s="228"/>
      <c r="T72" s="232" t="s">
        <v>120</v>
      </c>
      <c r="U72" s="228" t="s">
        <v>1559</v>
      </c>
      <c r="V72" s="232" t="s">
        <v>120</v>
      </c>
      <c r="W72" s="228"/>
      <c r="X72" s="232" t="s">
        <v>120</v>
      </c>
      <c r="Y72" s="228" t="s">
        <v>1512</v>
      </c>
      <c r="Z72" s="233" t="s">
        <v>120</v>
      </c>
      <c r="AA72" s="234"/>
      <c r="AB72" s="234"/>
      <c r="AC72" s="235"/>
      <c r="AD72" s="228" t="s">
        <v>1560</v>
      </c>
      <c r="AE72" s="232" t="s">
        <v>120</v>
      </c>
      <c r="AF72" s="229" t="s">
        <v>904</v>
      </c>
      <c r="AG72" s="236"/>
      <c r="AH72" s="236"/>
      <c r="AI72" s="228" t="s">
        <v>1134</v>
      </c>
      <c r="AJ72" s="232" t="s">
        <v>120</v>
      </c>
      <c r="AK72" s="228" t="s">
        <v>123</v>
      </c>
      <c r="AL72" s="228" t="s">
        <v>935</v>
      </c>
      <c r="AM72" s="232"/>
      <c r="AN72" s="228"/>
      <c r="AO72" s="228"/>
      <c r="AP72" s="237"/>
      <c r="AQ72" s="228"/>
      <c r="AR72" s="232" t="s">
        <v>120</v>
      </c>
      <c r="AS72" s="228" t="s">
        <v>1561</v>
      </c>
      <c r="AT72" s="229">
        <v>43474.500816782398</v>
      </c>
      <c r="AU72" s="229">
        <v>43479.735464236102</v>
      </c>
      <c r="AV72" s="229">
        <v>43475.588291088003</v>
      </c>
      <c r="AW72" s="229">
        <v>43474.500816782398</v>
      </c>
      <c r="AX72" s="229">
        <v>43475.646634490702</v>
      </c>
      <c r="AY72" s="229">
        <v>43473.725849768503</v>
      </c>
      <c r="AZ72" s="238">
        <v>43476.400662847198</v>
      </c>
      <c r="BA72" s="1" t="s">
        <v>7691</v>
      </c>
      <c r="BB72"/>
      <c r="BC72">
        <v>6</v>
      </c>
      <c r="BD72">
        <v>140</v>
      </c>
      <c r="BE7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3.4006628471979639</v>
      </c>
      <c r="BF72" s="240">
        <f>COUNTIFS(_05preva_view43[Site ID],_05preva_view43[[#This Row],[Site ID]],_05preva_view43[Prevalidation Status],"Under Prevalidation")</f>
        <v>0</v>
      </c>
      <c r="BG7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2" s="242" t="str">
        <f>CONCATENATE(_05preva_view43[[#This Row],[Site ID]]," (",_05preva_view43[[#This Row],[tenant id]],") Application",IF(_05preva_view43[[#This Row],[Colo Rev]]&gt;0," Rev "&amp;_05preva_view43[[#This Row],[Colo Rev]],""),".xlsx")</f>
        <v>AYYN_0530 (YGNDMNH014) Application Rev 1.xlsx</v>
      </c>
      <c r="BI72" s="64" t="e">
        <f t="shared" ca="1" si="1"/>
        <v>#VALUE!</v>
      </c>
      <c r="BJ72" s="104" t="e">
        <f ca="1">LEFT(CELL("filename",A57),_05preva_view43[[#This Row],[Find Process &amp; Database]]-1)</f>
        <v>#VALUE!</v>
      </c>
      <c r="BK72" s="104" t="e">
        <f ca="1">_05preva_view43[Folder Path1]&amp;"Process &amp; Database\Documentation\Colo Applications"</f>
        <v>#VALUE!</v>
      </c>
      <c r="BL72" s="104" t="e">
        <f ca="1">_05preva_view43[Folder Path2]&amp;"\Colo App "&amp;_05preva_view43[[#This Row],[Operator]]&amp;"\"</f>
        <v>#VALUE!</v>
      </c>
      <c r="BM72" s="63" t="e">
        <f ca="1">_05preva_view43[[#This Row],[Folder Path3]]&amp;_05preva_view43[[#This Row],[File Name]]</f>
        <v>#VALUE!</v>
      </c>
      <c r="BN72" s="104"/>
      <c r="CF72" s="5"/>
      <c r="CG72" s="5"/>
      <c r="CH72" s="3"/>
      <c r="CJ72" s="5"/>
      <c r="CN72" s="3"/>
      <c r="CO72" s="3"/>
      <c r="CP72" s="5"/>
      <c r="CR72" s="3"/>
      <c r="DN72" s="5"/>
      <c r="DP72" s="3"/>
      <c r="EB72" s="7"/>
      <c r="EC72" s="7"/>
      <c r="EF72" s="4"/>
      <c r="EG72" s="4"/>
      <c r="EQ72" s="2"/>
      <c r="ER72" s="2"/>
    </row>
    <row r="73" spans="1:148">
      <c r="A73" s="227">
        <v>3564</v>
      </c>
      <c r="B73" s="228" t="s">
        <v>1513</v>
      </c>
      <c r="C73" s="228" t="s">
        <v>116</v>
      </c>
      <c r="D73" s="228" t="s">
        <v>153</v>
      </c>
      <c r="E73" s="228" t="s">
        <v>1514</v>
      </c>
      <c r="F73" s="228" t="s">
        <v>41</v>
      </c>
      <c r="G73" s="228" t="s">
        <v>1286</v>
      </c>
      <c r="H73" s="228" t="s">
        <v>1285</v>
      </c>
      <c r="I73" s="228" t="s">
        <v>949</v>
      </c>
      <c r="J73" s="228" t="s">
        <v>668</v>
      </c>
      <c r="K73" s="229">
        <v>43473</v>
      </c>
      <c r="L73" s="230">
        <v>2.5</v>
      </c>
      <c r="M73" s="230"/>
      <c r="N73" s="228">
        <v>3</v>
      </c>
      <c r="O73" s="228" t="s">
        <v>119</v>
      </c>
      <c r="P73" s="231" t="s">
        <v>612</v>
      </c>
      <c r="Q73" s="231" t="s">
        <v>246</v>
      </c>
      <c r="R73" s="228" t="s">
        <v>24</v>
      </c>
      <c r="S73" s="228"/>
      <c r="T73" s="232" t="s">
        <v>120</v>
      </c>
      <c r="U73" s="228" t="s">
        <v>1562</v>
      </c>
      <c r="V73" s="232" t="s">
        <v>120</v>
      </c>
      <c r="W73" s="228"/>
      <c r="X73" s="232" t="s">
        <v>120</v>
      </c>
      <c r="Y73" s="228" t="s">
        <v>1515</v>
      </c>
      <c r="Z73" s="233" t="s">
        <v>120</v>
      </c>
      <c r="AA73" s="234"/>
      <c r="AB73" s="234"/>
      <c r="AC73" s="235"/>
      <c r="AD73" s="228" t="s">
        <v>1560</v>
      </c>
      <c r="AE73" s="232" t="s">
        <v>120</v>
      </c>
      <c r="AF73" s="229" t="s">
        <v>904</v>
      </c>
      <c r="AG73" s="236"/>
      <c r="AH73" s="236"/>
      <c r="AI73" s="228" t="s">
        <v>1134</v>
      </c>
      <c r="AJ73" s="232" t="s">
        <v>120</v>
      </c>
      <c r="AK73" s="228" t="s">
        <v>123</v>
      </c>
      <c r="AL73" s="228" t="s">
        <v>935</v>
      </c>
      <c r="AM73" s="232"/>
      <c r="AN73" s="228"/>
      <c r="AO73" s="228"/>
      <c r="AP73" s="237"/>
      <c r="AQ73" s="228"/>
      <c r="AR73" s="232" t="s">
        <v>120</v>
      </c>
      <c r="AS73" s="228" t="s">
        <v>1561</v>
      </c>
      <c r="AT73" s="229">
        <v>43474.500818287001</v>
      </c>
      <c r="AU73" s="229">
        <v>43479.735467129598</v>
      </c>
      <c r="AV73" s="229">
        <v>43475.588291435197</v>
      </c>
      <c r="AW73" s="229">
        <v>43474.500818287001</v>
      </c>
      <c r="AX73" s="229">
        <v>43475.646638657403</v>
      </c>
      <c r="AY73" s="229">
        <v>43473.725851157396</v>
      </c>
      <c r="AZ73" s="238">
        <v>43476.400664930603</v>
      </c>
      <c r="BA73" s="1" t="s">
        <v>7684</v>
      </c>
      <c r="BB73">
        <v>195</v>
      </c>
      <c r="BC73">
        <v>40</v>
      </c>
      <c r="BD73">
        <v>49</v>
      </c>
      <c r="BE7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3.4006649306029431</v>
      </c>
      <c r="BF73" s="240">
        <f>COUNTIFS(_05preva_view43[Site ID],_05preva_view43[[#This Row],[Site ID]],_05preva_view43[Prevalidation Status],"Under Prevalidation")</f>
        <v>0</v>
      </c>
      <c r="BG7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3" s="242" t="str">
        <f>CONCATENATE(_05preva_view43[[#This Row],[Site ID]]," (",_05preva_view43[[#This Row],[tenant id]],") Application",IF(_05preva_view43[[#This Row],[Colo Rev]]&gt;0," Rev "&amp;_05preva_view43[[#This Row],[Colo Rev]],""),".xlsx")</f>
        <v>AYYN_0620 (YGNDMSH008) Application Rev 1.xlsx</v>
      </c>
      <c r="BI73" s="64" t="e">
        <f t="shared" ca="1" si="1"/>
        <v>#VALUE!</v>
      </c>
      <c r="BJ73" s="104" t="e">
        <f ca="1">LEFT(CELL("filename",A58),_05preva_view43[[#This Row],[Find Process &amp; Database]]-1)</f>
        <v>#VALUE!</v>
      </c>
      <c r="BK73" s="104" t="e">
        <f ca="1">_05preva_view43[Folder Path1]&amp;"Process &amp; Database\Documentation\Colo Applications"</f>
        <v>#VALUE!</v>
      </c>
      <c r="BL73" s="104" t="e">
        <f ca="1">_05preva_view43[Folder Path2]&amp;"\Colo App "&amp;_05preva_view43[[#This Row],[Operator]]&amp;"\"</f>
        <v>#VALUE!</v>
      </c>
      <c r="BM73" s="63" t="e">
        <f ca="1">_05preva_view43[[#This Row],[Folder Path3]]&amp;_05preva_view43[[#This Row],[File Name]]</f>
        <v>#VALUE!</v>
      </c>
      <c r="BN73" s="104"/>
      <c r="CF73" s="5"/>
      <c r="CG73" s="5"/>
      <c r="CH73" s="3"/>
      <c r="CJ73" s="5"/>
      <c r="CN73" s="3"/>
      <c r="CO73" s="3"/>
      <c r="CP73" s="5"/>
      <c r="CR73" s="3"/>
      <c r="DN73" s="5"/>
      <c r="DP73" s="3"/>
      <c r="EB73" s="7"/>
      <c r="EC73" s="7"/>
      <c r="EF73" s="4"/>
      <c r="EG73" s="4"/>
      <c r="EQ73" s="2"/>
      <c r="ER73" s="2"/>
    </row>
    <row r="74" spans="1:148">
      <c r="A74" s="227">
        <v>3565</v>
      </c>
      <c r="B74" s="228" t="s">
        <v>1118</v>
      </c>
      <c r="C74" s="228" t="s">
        <v>278</v>
      </c>
      <c r="D74" s="228" t="s">
        <v>127</v>
      </c>
      <c r="E74" s="228" t="s">
        <v>1119</v>
      </c>
      <c r="F74" s="228" t="s">
        <v>35</v>
      </c>
      <c r="G74" s="228" t="s">
        <v>1292</v>
      </c>
      <c r="H74" s="228" t="s">
        <v>1285</v>
      </c>
      <c r="I74" s="228" t="s">
        <v>790</v>
      </c>
      <c r="J74" s="228" t="s">
        <v>694</v>
      </c>
      <c r="K74" s="229">
        <v>43473</v>
      </c>
      <c r="L74" s="230">
        <v>1.9890000000000001</v>
      </c>
      <c r="M74" s="230">
        <v>3.6110000000000002</v>
      </c>
      <c r="N74" s="228">
        <v>5.21</v>
      </c>
      <c r="O74" s="228" t="s">
        <v>687</v>
      </c>
      <c r="P74" s="231" t="s">
        <v>993</v>
      </c>
      <c r="Q74" s="231" t="s">
        <v>994</v>
      </c>
      <c r="R74" s="228" t="s">
        <v>24</v>
      </c>
      <c r="S74" s="228"/>
      <c r="T74" s="232" t="s">
        <v>120</v>
      </c>
      <c r="U74" s="228"/>
      <c r="V74" s="232" t="s">
        <v>120</v>
      </c>
      <c r="W74" s="228"/>
      <c r="X74" s="232" t="s">
        <v>120</v>
      </c>
      <c r="Y74" s="228" t="s">
        <v>1516</v>
      </c>
      <c r="Z74" s="233" t="s">
        <v>120</v>
      </c>
      <c r="AA74" s="234"/>
      <c r="AB74" s="234"/>
      <c r="AC74" s="235" t="s">
        <v>123</v>
      </c>
      <c r="AD74" s="228" t="s">
        <v>1701</v>
      </c>
      <c r="AE74" s="232" t="s">
        <v>120</v>
      </c>
      <c r="AF74" s="229" t="s">
        <v>1423</v>
      </c>
      <c r="AG74" s="236"/>
      <c r="AH74" s="236"/>
      <c r="AI74" s="228" t="s">
        <v>1702</v>
      </c>
      <c r="AJ74" s="232" t="s">
        <v>120</v>
      </c>
      <c r="AK74" s="228" t="s">
        <v>123</v>
      </c>
      <c r="AL74" s="228" t="s">
        <v>935</v>
      </c>
      <c r="AM74" s="232"/>
      <c r="AN74" s="228"/>
      <c r="AO74" s="228"/>
      <c r="AP74" s="237"/>
      <c r="AQ74" s="228"/>
      <c r="AR74" s="232"/>
      <c r="AS74" s="228"/>
      <c r="AT74" s="229">
        <v>43474.500819675901</v>
      </c>
      <c r="AU74" s="229">
        <v>43479.735467476901</v>
      </c>
      <c r="AV74" s="229">
        <v>43479.504158680596</v>
      </c>
      <c r="AW74" s="229">
        <v>43474.500819675901</v>
      </c>
      <c r="AX74" s="229">
        <v>43480.732223148101</v>
      </c>
      <c r="AY74" s="229">
        <v>43475.973942361103</v>
      </c>
      <c r="AZ74" s="238">
        <v>43481.4125510417</v>
      </c>
      <c r="BA74" s="1" t="s">
        <v>7684</v>
      </c>
      <c r="BB74">
        <v>130</v>
      </c>
      <c r="BC74">
        <v>60</v>
      </c>
      <c r="BD74">
        <v>3137</v>
      </c>
      <c r="BE7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8.4125510416997713</v>
      </c>
      <c r="BF74" s="240">
        <f>COUNTIFS(_05preva_view43[Site ID],_05preva_view43[[#This Row],[Site ID]],_05preva_view43[Prevalidation Status],"Under Prevalidation")</f>
        <v>0</v>
      </c>
      <c r="BG7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4" s="242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4.xlsx</v>
      </c>
      <c r="BI74" s="64" t="e">
        <f t="shared" ca="1" si="1"/>
        <v>#VALUE!</v>
      </c>
      <c r="BJ74" s="104" t="e">
        <f ca="1">LEFT(CELL("filename",A59),_05preva_view43[[#This Row],[Find Process &amp; Database]]-1)</f>
        <v>#VALUE!</v>
      </c>
      <c r="BK74" s="104" t="e">
        <f ca="1">_05preva_view43[Folder Path1]&amp;"Process &amp; Database\Documentation\Colo Applications"</f>
        <v>#VALUE!</v>
      </c>
      <c r="BL74" s="104" t="e">
        <f ca="1">_05preva_view43[Folder Path2]&amp;"\Colo App "&amp;_05preva_view43[[#This Row],[Operator]]&amp;"\"</f>
        <v>#VALUE!</v>
      </c>
      <c r="BM74" s="63" t="e">
        <f ca="1">_05preva_view43[[#This Row],[Folder Path3]]&amp;_05preva_view43[[#This Row],[File Name]]</f>
        <v>#VALUE!</v>
      </c>
      <c r="BN74" s="104"/>
      <c r="CF74" s="5"/>
      <c r="CG74" s="5"/>
      <c r="CH74" s="3"/>
      <c r="CJ74" s="5"/>
      <c r="CN74" s="3"/>
      <c r="CO74" s="3"/>
      <c r="CP74" s="5"/>
      <c r="CR74" s="3"/>
      <c r="DN74" s="5"/>
      <c r="DP74" s="3"/>
      <c r="EB74" s="7"/>
      <c r="EC74" s="7"/>
      <c r="EF74" s="4"/>
      <c r="EG74" s="4"/>
      <c r="EQ74" s="2"/>
      <c r="ER74" s="2"/>
    </row>
    <row r="75" spans="1:148">
      <c r="A75" s="227">
        <v>3566</v>
      </c>
      <c r="B75" s="228" t="s">
        <v>1517</v>
      </c>
      <c r="C75" s="228" t="s">
        <v>278</v>
      </c>
      <c r="D75" s="228" t="s">
        <v>127</v>
      </c>
      <c r="E75" s="228" t="s">
        <v>1518</v>
      </c>
      <c r="F75" s="228" t="s">
        <v>35</v>
      </c>
      <c r="G75" s="228" t="s">
        <v>1292</v>
      </c>
      <c r="H75" s="228" t="s">
        <v>1285</v>
      </c>
      <c r="I75" s="228" t="s">
        <v>790</v>
      </c>
      <c r="J75" s="228" t="s">
        <v>668</v>
      </c>
      <c r="K75" s="229">
        <v>43473</v>
      </c>
      <c r="L75" s="230">
        <v>1.9890000000000001</v>
      </c>
      <c r="M75" s="230">
        <v>3.6110000000000002</v>
      </c>
      <c r="N75" s="228">
        <v>4.7300000000000004</v>
      </c>
      <c r="O75" s="228" t="s">
        <v>687</v>
      </c>
      <c r="P75" s="231" t="s">
        <v>695</v>
      </c>
      <c r="Q75" s="231" t="s">
        <v>696</v>
      </c>
      <c r="R75" s="228" t="s">
        <v>24</v>
      </c>
      <c r="S75" s="228"/>
      <c r="T75" s="232" t="s">
        <v>120</v>
      </c>
      <c r="U75" s="228"/>
      <c r="V75" s="232" t="s">
        <v>120</v>
      </c>
      <c r="W75" s="228"/>
      <c r="X75" s="232" t="s">
        <v>120</v>
      </c>
      <c r="Y75" s="228" t="s">
        <v>1519</v>
      </c>
      <c r="Z75" s="233" t="s">
        <v>120</v>
      </c>
      <c r="AA75" s="234"/>
      <c r="AB75" s="234"/>
      <c r="AC75" s="235" t="s">
        <v>123</v>
      </c>
      <c r="AD75" s="228" t="s">
        <v>1703</v>
      </c>
      <c r="AE75" s="232" t="s">
        <v>120</v>
      </c>
      <c r="AF75" s="229" t="s">
        <v>1704</v>
      </c>
      <c r="AG75" s="236"/>
      <c r="AH75" s="236"/>
      <c r="AI75" s="228" t="s">
        <v>1705</v>
      </c>
      <c r="AJ75" s="232" t="s">
        <v>120</v>
      </c>
      <c r="AK75" s="228" t="s">
        <v>123</v>
      </c>
      <c r="AL75" s="228" t="s">
        <v>935</v>
      </c>
      <c r="AM75" s="232"/>
      <c r="AN75" s="228"/>
      <c r="AO75" s="228"/>
      <c r="AP75" s="237"/>
      <c r="AQ75" s="228"/>
      <c r="AR75" s="232"/>
      <c r="AS75" s="228"/>
      <c r="AT75" s="229">
        <v>43474.500821412003</v>
      </c>
      <c r="AU75" s="229">
        <v>43481.501133796301</v>
      </c>
      <c r="AV75" s="229">
        <v>43479.504159374999</v>
      </c>
      <c r="AW75" s="229">
        <v>43474.500821412003</v>
      </c>
      <c r="AX75" s="229">
        <v>43480.732223726904</v>
      </c>
      <c r="AY75" s="229">
        <v>43475.972884374998</v>
      </c>
      <c r="AZ75" s="238">
        <v>43481.630474305603</v>
      </c>
      <c r="BA75" s="1" t="s">
        <v>7684</v>
      </c>
      <c r="BB75">
        <v>130</v>
      </c>
      <c r="BC75">
        <v>60</v>
      </c>
      <c r="BD75">
        <v>3127</v>
      </c>
      <c r="BE7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8.6304743056025472</v>
      </c>
      <c r="BF75" s="240">
        <f>COUNTIFS(_05preva_view43[Site ID],_05preva_view43[[#This Row],[Site ID]],_05preva_view43[Prevalidation Status],"Under Prevalidation")</f>
        <v>0</v>
      </c>
      <c r="BG7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5" s="242" t="str">
        <f>CONCATENATE(_05preva_view43[[#This Row],[Site ID]]," (",_05preva_view43[[#This Row],[tenant id]],") Application",IF(_05preva_view43[[#This Row],[Colo Rev]]&gt;0," Rev "&amp;_05preva_view43[[#This Row],[Colo Rev]],""),".xlsx")</f>
        <v>1-01-15002-002 (SHN00062) Application Rev 1.xlsx</v>
      </c>
      <c r="BI75" s="64" t="e">
        <f t="shared" ca="1" si="1"/>
        <v>#VALUE!</v>
      </c>
      <c r="BJ75" s="104" t="e">
        <f ca="1">LEFT(CELL("filename",A60),_05preva_view43[[#This Row],[Find Process &amp; Database]]-1)</f>
        <v>#VALUE!</v>
      </c>
      <c r="BK75" s="104" t="e">
        <f ca="1">_05preva_view43[Folder Path1]&amp;"Process &amp; Database\Documentation\Colo Applications"</f>
        <v>#VALUE!</v>
      </c>
      <c r="BL75" s="104" t="e">
        <f ca="1">_05preva_view43[Folder Path2]&amp;"\Colo App "&amp;_05preva_view43[[#This Row],[Operator]]&amp;"\"</f>
        <v>#VALUE!</v>
      </c>
      <c r="BM75" s="63" t="e">
        <f ca="1">_05preva_view43[[#This Row],[Folder Path3]]&amp;_05preva_view43[[#This Row],[File Name]]</f>
        <v>#VALUE!</v>
      </c>
      <c r="BN75" s="104"/>
      <c r="CF75" s="5"/>
      <c r="CG75" s="5"/>
      <c r="CH75" s="3"/>
      <c r="CJ75" s="5"/>
      <c r="CN75" s="3"/>
      <c r="CO75" s="3"/>
      <c r="CP75" s="5"/>
      <c r="CR75" s="3"/>
      <c r="DN75" s="5"/>
      <c r="DP75" s="3"/>
      <c r="EB75" s="7"/>
      <c r="EC75" s="7"/>
      <c r="EF75" s="4"/>
      <c r="EG75" s="4"/>
      <c r="EQ75" s="2"/>
      <c r="ER75" s="2"/>
    </row>
    <row r="76" spans="1:148">
      <c r="A76" s="227">
        <v>3567</v>
      </c>
      <c r="B76" s="228" t="s">
        <v>1520</v>
      </c>
      <c r="C76" s="228" t="s">
        <v>278</v>
      </c>
      <c r="D76" s="228" t="s">
        <v>127</v>
      </c>
      <c r="E76" s="228" t="s">
        <v>1521</v>
      </c>
      <c r="F76" s="228" t="s">
        <v>35</v>
      </c>
      <c r="G76" s="228" t="s">
        <v>1292</v>
      </c>
      <c r="H76" s="228" t="s">
        <v>1285</v>
      </c>
      <c r="I76" s="228" t="s">
        <v>790</v>
      </c>
      <c r="J76" s="228" t="s">
        <v>686</v>
      </c>
      <c r="K76" s="229">
        <v>43473</v>
      </c>
      <c r="L76" s="230">
        <v>2.0590000000000002</v>
      </c>
      <c r="M76" s="230">
        <v>3.6110000000000002</v>
      </c>
      <c r="N76" s="228">
        <v>5.47</v>
      </c>
      <c r="O76" s="228" t="s">
        <v>687</v>
      </c>
      <c r="P76" s="231" t="s">
        <v>1522</v>
      </c>
      <c r="Q76" s="231" t="s">
        <v>1523</v>
      </c>
      <c r="R76" s="228" t="s">
        <v>24</v>
      </c>
      <c r="S76" s="228"/>
      <c r="T76" s="232" t="s">
        <v>120</v>
      </c>
      <c r="U76" s="228"/>
      <c r="V76" s="232" t="s">
        <v>120</v>
      </c>
      <c r="W76" s="228"/>
      <c r="X76" s="232" t="s">
        <v>120</v>
      </c>
      <c r="Y76" s="228" t="s">
        <v>1524</v>
      </c>
      <c r="Z76" s="233" t="s">
        <v>141</v>
      </c>
      <c r="AA76" s="234"/>
      <c r="AB76" s="234"/>
      <c r="AC76" s="235" t="s">
        <v>123</v>
      </c>
      <c r="AD76" s="228" t="s">
        <v>1706</v>
      </c>
      <c r="AE76" s="232" t="s">
        <v>120</v>
      </c>
      <c r="AF76" s="229" t="s">
        <v>1704</v>
      </c>
      <c r="AG76" s="236"/>
      <c r="AH76" s="236"/>
      <c r="AI76" s="228" t="s">
        <v>1707</v>
      </c>
      <c r="AJ76" s="232" t="s">
        <v>120</v>
      </c>
      <c r="AK76" s="228" t="s">
        <v>123</v>
      </c>
      <c r="AL76" s="228" t="s">
        <v>935</v>
      </c>
      <c r="AM76" s="232"/>
      <c r="AN76" s="228"/>
      <c r="AO76" s="228"/>
      <c r="AP76" s="237"/>
      <c r="AQ76" s="228"/>
      <c r="AR76" s="232" t="s">
        <v>1545</v>
      </c>
      <c r="AS76" s="228" t="s">
        <v>1742</v>
      </c>
      <c r="AT76" s="229">
        <v>43474.500823379603</v>
      </c>
      <c r="AU76" s="229">
        <v>43481.501134375001</v>
      </c>
      <c r="AV76" s="229"/>
      <c r="AW76" s="229">
        <v>43474.500823379603</v>
      </c>
      <c r="AX76" s="229">
        <v>43480.732230208298</v>
      </c>
      <c r="AY76" s="229">
        <v>43475.972885763898</v>
      </c>
      <c r="AZ76" s="238">
        <v>43488.480394560203</v>
      </c>
      <c r="BA76" s="1" t="s">
        <v>7684</v>
      </c>
      <c r="BB76">
        <v>130</v>
      </c>
      <c r="BC76">
        <v>60</v>
      </c>
      <c r="BD76">
        <v>3125</v>
      </c>
      <c r="BE7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15.480394560203422</v>
      </c>
      <c r="BF76" s="240">
        <f>COUNTIFS(_05preva_view43[Site ID],_05preva_view43[[#This Row],[Site ID]],_05preva_view43[Prevalidation Status],"Under Prevalidation")</f>
        <v>0</v>
      </c>
      <c r="BG7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6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1-01-14007-013 (SHN00081) Application Rev 2.xlsx</v>
      </c>
      <c r="BI76" s="64" t="e">
        <f t="shared" ca="1" si="1"/>
        <v>#VALUE!</v>
      </c>
      <c r="BJ76" s="104" t="e">
        <f ca="1">LEFT(CELL("filename",A61),_05preva_view43[[#This Row],[Find Process &amp; Database]]-1)</f>
        <v>#VALUE!</v>
      </c>
      <c r="BK76" s="104" t="e">
        <f ca="1">_05preva_view43[Folder Path1]&amp;"Process &amp; Database\Documentation\Colo Applications"</f>
        <v>#VALUE!</v>
      </c>
      <c r="BL76" s="104" t="e">
        <f ca="1">_05preva_view43[Folder Path2]&amp;"\Colo App "&amp;_05preva_view43[[#This Row],[Operator]]&amp;"\"</f>
        <v>#VALUE!</v>
      </c>
      <c r="BM76" s="63" t="e">
        <f ca="1">_05preva_view43[[#This Row],[Folder Path3]]&amp;_05preva_view43[[#This Row],[File Name]]</f>
        <v>#VALUE!</v>
      </c>
      <c r="BN76" s="104"/>
      <c r="CF76" s="5"/>
      <c r="CG76" s="5"/>
      <c r="CH76" s="3"/>
      <c r="CJ76" s="5"/>
      <c r="CN76" s="3"/>
      <c r="CO76" s="3"/>
      <c r="CP76" s="5"/>
      <c r="CR76" s="3"/>
      <c r="DN76" s="5"/>
      <c r="DP76" s="3"/>
      <c r="EB76" s="7"/>
      <c r="EC76" s="7"/>
      <c r="EF76" s="4"/>
      <c r="EG76" s="4"/>
      <c r="EQ76" s="2"/>
      <c r="ER76" s="2"/>
    </row>
    <row r="77" spans="1:148">
      <c r="A77" s="227">
        <v>3568</v>
      </c>
      <c r="B77" s="228" t="s">
        <v>1525</v>
      </c>
      <c r="C77" s="228" t="s">
        <v>116</v>
      </c>
      <c r="D77" s="228" t="s">
        <v>153</v>
      </c>
      <c r="E77" s="228" t="s">
        <v>1526</v>
      </c>
      <c r="F77" s="228" t="s">
        <v>41</v>
      </c>
      <c r="G77" s="228" t="s">
        <v>1286</v>
      </c>
      <c r="H77" s="228" t="s">
        <v>1285</v>
      </c>
      <c r="I77" s="228" t="s">
        <v>949</v>
      </c>
      <c r="J77" s="228" t="s">
        <v>668</v>
      </c>
      <c r="K77" s="229">
        <v>43473</v>
      </c>
      <c r="L77" s="230">
        <v>3.8</v>
      </c>
      <c r="M77" s="230"/>
      <c r="N77" s="228">
        <v>3</v>
      </c>
      <c r="O77" s="228" t="s">
        <v>119</v>
      </c>
      <c r="P77" s="231" t="s">
        <v>962</v>
      </c>
      <c r="Q77" s="231"/>
      <c r="R77" s="228" t="s">
        <v>24</v>
      </c>
      <c r="S77" s="228"/>
      <c r="T77" s="232" t="s">
        <v>120</v>
      </c>
      <c r="U77" s="228" t="s">
        <v>1563</v>
      </c>
      <c r="V77" s="232" t="s">
        <v>120</v>
      </c>
      <c r="W77" s="228"/>
      <c r="X77" s="232" t="s">
        <v>120</v>
      </c>
      <c r="Y77" s="228" t="s">
        <v>1527</v>
      </c>
      <c r="Z77" s="233" t="s">
        <v>120</v>
      </c>
      <c r="AA77" s="234"/>
      <c r="AB77" s="234"/>
      <c r="AC77" s="235"/>
      <c r="AD77" s="228" t="s">
        <v>1560</v>
      </c>
      <c r="AE77" s="232" t="s">
        <v>120</v>
      </c>
      <c r="AF77" s="229" t="s">
        <v>904</v>
      </c>
      <c r="AG77" s="236"/>
      <c r="AH77" s="236"/>
      <c r="AI77" s="228" t="s">
        <v>1134</v>
      </c>
      <c r="AJ77" s="232" t="s">
        <v>120</v>
      </c>
      <c r="AK77" s="228" t="s">
        <v>123</v>
      </c>
      <c r="AL77" s="228" t="s">
        <v>935</v>
      </c>
      <c r="AM77" s="232"/>
      <c r="AN77" s="228"/>
      <c r="AO77" s="228"/>
      <c r="AP77" s="237"/>
      <c r="AQ77" s="228"/>
      <c r="AR77" s="232" t="s">
        <v>120</v>
      </c>
      <c r="AS77" s="228" t="s">
        <v>1561</v>
      </c>
      <c r="AT77" s="229">
        <v>43474.500825231502</v>
      </c>
      <c r="AU77" s="229">
        <v>43479.735470717598</v>
      </c>
      <c r="AV77" s="229">
        <v>43475.588293287001</v>
      </c>
      <c r="AW77" s="229">
        <v>43474.500825231502</v>
      </c>
      <c r="AX77" s="229">
        <v>43475.646645023102</v>
      </c>
      <c r="AY77" s="229">
        <v>43473.725857638899</v>
      </c>
      <c r="AZ77" s="238">
        <v>43476.400667013899</v>
      </c>
      <c r="BA77" s="1" t="s">
        <v>7691</v>
      </c>
      <c r="BB77"/>
      <c r="BC77">
        <v>6</v>
      </c>
      <c r="BD77">
        <v>26</v>
      </c>
      <c r="BE7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3.4006670138987829</v>
      </c>
      <c r="BF77" s="240">
        <f>COUNTIFS(_05preva_view43[Site ID],_05preva_view43[[#This Row],[Site ID]],_05preva_view43[Prevalidation Status],"Under Prevalidation")</f>
        <v>0</v>
      </c>
      <c r="BG7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7" s="242" t="str">
        <f>CONCATENATE(_05preva_view43[[#This Row],[Site ID]]," (",_05preva_view43[[#This Row],[tenant id]],") Application",IF(_05preva_view43[[#This Row],[Colo Rev]]&gt;0," Rev "&amp;_05preva_view43[[#This Row],[Colo Rev]],""),".xlsx")</f>
        <v>AYYN_0284 (YGNINSN005) Application Rev 1.xlsx</v>
      </c>
      <c r="BI77" s="64" t="e">
        <f t="shared" ca="1" si="1"/>
        <v>#VALUE!</v>
      </c>
      <c r="BJ77" s="104" t="e">
        <f ca="1">LEFT(CELL("filename",A62),_05preva_view43[[#This Row],[Find Process &amp; Database]]-1)</f>
        <v>#VALUE!</v>
      </c>
      <c r="BK77" s="104" t="e">
        <f ca="1">_05preva_view43[Folder Path1]&amp;"Process &amp; Database\Documentation\Colo Applications"</f>
        <v>#VALUE!</v>
      </c>
      <c r="BL77" s="104" t="e">
        <f ca="1">_05preva_view43[Folder Path2]&amp;"\Colo App "&amp;_05preva_view43[[#This Row],[Operator]]&amp;"\"</f>
        <v>#VALUE!</v>
      </c>
      <c r="BM77" s="63" t="e">
        <f ca="1">_05preva_view43[[#This Row],[Folder Path3]]&amp;_05preva_view43[[#This Row],[File Name]]</f>
        <v>#VALUE!</v>
      </c>
      <c r="BN77" s="104"/>
      <c r="CF77" s="5"/>
      <c r="CG77" s="5"/>
      <c r="CH77" s="3"/>
      <c r="CJ77" s="5"/>
      <c r="CN77" s="3"/>
      <c r="CO77" s="3"/>
      <c r="CP77" s="5"/>
      <c r="CR77" s="3"/>
      <c r="DN77" s="5"/>
      <c r="DP77" s="3"/>
      <c r="EB77" s="7"/>
      <c r="EC77" s="7"/>
      <c r="EF77" s="4"/>
      <c r="EG77" s="4"/>
      <c r="EQ77" s="2"/>
      <c r="ER77" s="2"/>
    </row>
    <row r="78" spans="1:148">
      <c r="A78" s="227">
        <v>3569</v>
      </c>
      <c r="B78" s="228" t="s">
        <v>1528</v>
      </c>
      <c r="C78" s="228" t="s">
        <v>116</v>
      </c>
      <c r="D78" s="228" t="s">
        <v>153</v>
      </c>
      <c r="E78" s="228" t="s">
        <v>1529</v>
      </c>
      <c r="F78" s="228" t="s">
        <v>41</v>
      </c>
      <c r="G78" s="228" t="s">
        <v>1286</v>
      </c>
      <c r="H78" s="228" t="s">
        <v>1285</v>
      </c>
      <c r="I78" s="228" t="s">
        <v>949</v>
      </c>
      <c r="J78" s="228" t="s">
        <v>668</v>
      </c>
      <c r="K78" s="229">
        <v>43473</v>
      </c>
      <c r="L78" s="230">
        <v>2.5</v>
      </c>
      <c r="M78" s="230"/>
      <c r="N78" s="228">
        <v>3</v>
      </c>
      <c r="O78" s="228" t="s">
        <v>119</v>
      </c>
      <c r="P78" s="231" t="s">
        <v>281</v>
      </c>
      <c r="Q78" s="231" t="s">
        <v>647</v>
      </c>
      <c r="R78" s="228" t="s">
        <v>24</v>
      </c>
      <c r="S78" s="228"/>
      <c r="T78" s="232" t="s">
        <v>120</v>
      </c>
      <c r="U78" s="228" t="s">
        <v>1564</v>
      </c>
      <c r="V78" s="232" t="s">
        <v>120</v>
      </c>
      <c r="W78" s="228"/>
      <c r="X78" s="232" t="s">
        <v>120</v>
      </c>
      <c r="Y78" s="228" t="s">
        <v>1530</v>
      </c>
      <c r="Z78" s="233" t="s">
        <v>120</v>
      </c>
      <c r="AA78" s="234"/>
      <c r="AB78" s="234"/>
      <c r="AC78" s="235"/>
      <c r="AD78" s="228" t="s">
        <v>1560</v>
      </c>
      <c r="AE78" s="232" t="s">
        <v>120</v>
      </c>
      <c r="AF78" s="229" t="s">
        <v>904</v>
      </c>
      <c r="AG78" s="236"/>
      <c r="AH78" s="236"/>
      <c r="AI78" s="228" t="s">
        <v>1134</v>
      </c>
      <c r="AJ78" s="232" t="s">
        <v>120</v>
      </c>
      <c r="AK78" s="228" t="s">
        <v>123</v>
      </c>
      <c r="AL78" s="228" t="s">
        <v>935</v>
      </c>
      <c r="AM78" s="232"/>
      <c r="AN78" s="228"/>
      <c r="AO78" s="228"/>
      <c r="AP78" s="237"/>
      <c r="AQ78" s="228"/>
      <c r="AR78" s="232" t="s">
        <v>120</v>
      </c>
      <c r="AS78" s="228" t="s">
        <v>1561</v>
      </c>
      <c r="AT78" s="229">
        <v>43474.500826967596</v>
      </c>
      <c r="AU78" s="229">
        <v>43479.7354710648</v>
      </c>
      <c r="AV78" s="229">
        <v>43475.588293749999</v>
      </c>
      <c r="AW78" s="229">
        <v>43474.500826967596</v>
      </c>
      <c r="AX78" s="229">
        <v>43475.646649189803</v>
      </c>
      <c r="AY78" s="229">
        <v>43473.725860185201</v>
      </c>
      <c r="AZ78" s="238">
        <v>43476.400668865703</v>
      </c>
      <c r="BA78" s="1" t="s">
        <v>7684</v>
      </c>
      <c r="BB78">
        <v>160</v>
      </c>
      <c r="BC78">
        <v>35</v>
      </c>
      <c r="BD78">
        <v>1447</v>
      </c>
      <c r="BE7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3.4006688657027553</v>
      </c>
      <c r="BF78" s="240">
        <f>COUNTIFS(_05preva_view43[Site ID],_05preva_view43[[#This Row],[Site ID]],_05preva_view43[Prevalidation Status],"Under Prevalidation")</f>
        <v>0</v>
      </c>
      <c r="BG7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8" s="242" t="str">
        <f>CONCATENATE(_05preva_view43[[#This Row],[Site ID]]," (",_05preva_view43[[#This Row],[tenant id]],") Application",IF(_05preva_view43[[#This Row],[Colo Rev]]&gt;0," Rev "&amp;_05preva_view43[[#This Row],[Colo Rev]],""),".xlsx")</f>
        <v>AYYN_0575 (YGNSPTR001) Application Rev 1.xlsx</v>
      </c>
      <c r="BI78" s="64" t="e">
        <f t="shared" ca="1" si="1"/>
        <v>#VALUE!</v>
      </c>
      <c r="BJ78" s="104" t="e">
        <f ca="1">LEFT(CELL("filename",A63),_05preva_view43[[#This Row],[Find Process &amp; Database]]-1)</f>
        <v>#VALUE!</v>
      </c>
      <c r="BK78" s="104" t="e">
        <f ca="1">_05preva_view43[Folder Path1]&amp;"Process &amp; Database\Documentation\Colo Applications"</f>
        <v>#VALUE!</v>
      </c>
      <c r="BL78" s="104" t="e">
        <f ca="1">_05preva_view43[Folder Path2]&amp;"\Colo App "&amp;_05preva_view43[[#This Row],[Operator]]&amp;"\"</f>
        <v>#VALUE!</v>
      </c>
      <c r="BM78" s="63" t="e">
        <f ca="1">_05preva_view43[[#This Row],[Folder Path3]]&amp;_05preva_view43[[#This Row],[File Name]]</f>
        <v>#VALUE!</v>
      </c>
      <c r="BN78" s="104"/>
      <c r="CF78" s="5"/>
      <c r="CG78" s="5"/>
      <c r="CH78" s="3"/>
      <c r="CJ78" s="5"/>
      <c r="CN78" s="3"/>
      <c r="CO78" s="3"/>
      <c r="CP78" s="5"/>
      <c r="CR78" s="3"/>
      <c r="DN78" s="5"/>
      <c r="DP78" s="3"/>
      <c r="EB78" s="7"/>
      <c r="EC78" s="7"/>
      <c r="EF78" s="4"/>
      <c r="EG78" s="4"/>
      <c r="EQ78" s="2"/>
      <c r="ER78" s="2"/>
    </row>
    <row r="79" spans="1:148">
      <c r="A79" s="227">
        <v>3570</v>
      </c>
      <c r="B79" s="228" t="s">
        <v>1531</v>
      </c>
      <c r="C79" s="228" t="s">
        <v>116</v>
      </c>
      <c r="D79" s="228" t="s">
        <v>153</v>
      </c>
      <c r="E79" s="228" t="s">
        <v>1532</v>
      </c>
      <c r="F79" s="228" t="s">
        <v>41</v>
      </c>
      <c r="G79" s="228" t="s">
        <v>1286</v>
      </c>
      <c r="H79" s="228" t="s">
        <v>1285</v>
      </c>
      <c r="I79" s="228" t="s">
        <v>949</v>
      </c>
      <c r="J79" s="228" t="s">
        <v>668</v>
      </c>
      <c r="K79" s="229">
        <v>43473</v>
      </c>
      <c r="L79" s="230">
        <v>2.5</v>
      </c>
      <c r="M79" s="230"/>
      <c r="N79" s="228">
        <v>3</v>
      </c>
      <c r="O79" s="228" t="s">
        <v>119</v>
      </c>
      <c r="P79" s="231" t="s">
        <v>962</v>
      </c>
      <c r="Q79" s="231"/>
      <c r="R79" s="228" t="s">
        <v>24</v>
      </c>
      <c r="S79" s="228"/>
      <c r="T79" s="232" t="s">
        <v>120</v>
      </c>
      <c r="U79" s="228" t="s">
        <v>1565</v>
      </c>
      <c r="V79" s="232" t="s">
        <v>120</v>
      </c>
      <c r="W79" s="228"/>
      <c r="X79" s="232" t="s">
        <v>120</v>
      </c>
      <c r="Y79" s="228" t="s">
        <v>1533</v>
      </c>
      <c r="Z79" s="233" t="s">
        <v>120</v>
      </c>
      <c r="AA79" s="234"/>
      <c r="AB79" s="234"/>
      <c r="AC79" s="235"/>
      <c r="AD79" s="228" t="s">
        <v>1560</v>
      </c>
      <c r="AE79" s="232" t="s">
        <v>120</v>
      </c>
      <c r="AF79" s="229" t="s">
        <v>904</v>
      </c>
      <c r="AG79" s="236"/>
      <c r="AH79" s="236"/>
      <c r="AI79" s="228" t="s">
        <v>1134</v>
      </c>
      <c r="AJ79" s="232" t="s">
        <v>120</v>
      </c>
      <c r="AK79" s="228" t="s">
        <v>123</v>
      </c>
      <c r="AL79" s="228" t="s">
        <v>935</v>
      </c>
      <c r="AM79" s="232"/>
      <c r="AN79" s="228"/>
      <c r="AO79" s="228"/>
      <c r="AP79" s="237"/>
      <c r="AQ79" s="228"/>
      <c r="AR79" s="232" t="s">
        <v>120</v>
      </c>
      <c r="AS79" s="228" t="s">
        <v>1561</v>
      </c>
      <c r="AT79" s="229">
        <v>43474.500828935197</v>
      </c>
      <c r="AU79" s="229">
        <v>43479.735471527798</v>
      </c>
      <c r="AV79" s="229">
        <v>43475.588294097201</v>
      </c>
      <c r="AW79" s="229">
        <v>43474.500828935197</v>
      </c>
      <c r="AX79" s="229">
        <v>43475.646653009302</v>
      </c>
      <c r="AY79" s="229">
        <v>43473.725861574101</v>
      </c>
      <c r="AZ79" s="238">
        <v>43476.400671064803</v>
      </c>
      <c r="BA79" s="1" t="s">
        <v>7691</v>
      </c>
      <c r="BB79"/>
      <c r="BC79">
        <v>6</v>
      </c>
      <c r="BD79">
        <v>1187</v>
      </c>
      <c r="BE7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3.4006710648027365</v>
      </c>
      <c r="BF79" s="240">
        <f>COUNTIFS(_05preva_view43[Site ID],_05preva_view43[[#This Row],[Site ID]],_05preva_view43[Prevalidation Status],"Under Prevalidation")</f>
        <v>0</v>
      </c>
      <c r="BG7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79" s="242" t="str">
        <f>CONCATENATE(_05preva_view43[[#This Row],[Site ID]]," (",_05preva_view43[[#This Row],[tenant id]],") Application",IF(_05preva_view43[[#This Row],[Colo Rev]]&gt;0," Rev "&amp;_05preva_view43[[#This Row],[Colo Rev]],""),".xlsx")</f>
        <v>AYYN_0403 (YGNTKTA002) Application Rev 1.xlsx</v>
      </c>
      <c r="BI79" s="64" t="e">
        <f t="shared" ca="1" si="1"/>
        <v>#VALUE!</v>
      </c>
      <c r="BJ79" s="104" t="e">
        <f ca="1">LEFT(CELL("filename",A64),_05preva_view43[[#This Row],[Find Process &amp; Database]]-1)</f>
        <v>#VALUE!</v>
      </c>
      <c r="BK79" s="104" t="e">
        <f ca="1">_05preva_view43[Folder Path1]&amp;"Process &amp; Database\Documentation\Colo Applications"</f>
        <v>#VALUE!</v>
      </c>
      <c r="BL79" s="104" t="e">
        <f ca="1">_05preva_view43[Folder Path2]&amp;"\Colo App "&amp;_05preva_view43[[#This Row],[Operator]]&amp;"\"</f>
        <v>#VALUE!</v>
      </c>
      <c r="BM79" s="63" t="e">
        <f ca="1">_05preva_view43[[#This Row],[Folder Path3]]&amp;_05preva_view43[[#This Row],[File Name]]</f>
        <v>#VALUE!</v>
      </c>
      <c r="BN79" s="104"/>
      <c r="CF79" s="5"/>
      <c r="CG79" s="5"/>
      <c r="CH79" s="3"/>
      <c r="CJ79" s="5"/>
      <c r="CN79" s="3"/>
      <c r="CO79" s="3"/>
      <c r="CP79" s="5"/>
      <c r="CR79" s="3"/>
      <c r="DN79" s="5"/>
      <c r="DP79" s="3"/>
      <c r="EB79" s="7"/>
      <c r="EC79" s="7"/>
      <c r="EF79" s="4"/>
      <c r="EG79" s="4"/>
      <c r="EQ79" s="2"/>
      <c r="ER79" s="2"/>
    </row>
    <row r="80" spans="1:148">
      <c r="A80" s="227">
        <v>3571</v>
      </c>
      <c r="B80" s="228" t="s">
        <v>1534</v>
      </c>
      <c r="C80" s="228" t="s">
        <v>116</v>
      </c>
      <c r="D80" s="228" t="s">
        <v>153</v>
      </c>
      <c r="E80" s="228" t="s">
        <v>1535</v>
      </c>
      <c r="F80" s="228" t="s">
        <v>41</v>
      </c>
      <c r="G80" s="228" t="s">
        <v>1286</v>
      </c>
      <c r="H80" s="228" t="s">
        <v>1285</v>
      </c>
      <c r="I80" s="228" t="s">
        <v>949</v>
      </c>
      <c r="J80" s="228" t="s">
        <v>668</v>
      </c>
      <c r="K80" s="229">
        <v>43473</v>
      </c>
      <c r="L80" s="230">
        <v>1.1000000000000001</v>
      </c>
      <c r="M80" s="230"/>
      <c r="N80" s="228">
        <v>3</v>
      </c>
      <c r="O80" s="228" t="s">
        <v>119</v>
      </c>
      <c r="P80" s="231" t="s">
        <v>246</v>
      </c>
      <c r="Q80" s="231" t="s">
        <v>247</v>
      </c>
      <c r="R80" s="228" t="s">
        <v>24</v>
      </c>
      <c r="S80" s="228"/>
      <c r="T80" s="232" t="s">
        <v>120</v>
      </c>
      <c r="U80" s="228" t="s">
        <v>1566</v>
      </c>
      <c r="V80" s="232" t="s">
        <v>120</v>
      </c>
      <c r="W80" s="228"/>
      <c r="X80" s="232" t="s">
        <v>120</v>
      </c>
      <c r="Y80" s="228" t="s">
        <v>1536</v>
      </c>
      <c r="Z80" s="233" t="s">
        <v>120</v>
      </c>
      <c r="AA80" s="234"/>
      <c r="AB80" s="234"/>
      <c r="AC80" s="235"/>
      <c r="AD80" s="228" t="s">
        <v>1560</v>
      </c>
      <c r="AE80" s="232" t="s">
        <v>120</v>
      </c>
      <c r="AF80" s="229" t="s">
        <v>904</v>
      </c>
      <c r="AG80" s="236"/>
      <c r="AH80" s="236"/>
      <c r="AI80" s="228" t="s">
        <v>1134</v>
      </c>
      <c r="AJ80" s="232" t="s">
        <v>120</v>
      </c>
      <c r="AK80" s="228" t="s">
        <v>123</v>
      </c>
      <c r="AL80" s="228" t="s">
        <v>935</v>
      </c>
      <c r="AM80" s="232"/>
      <c r="AN80" s="228"/>
      <c r="AO80" s="228"/>
      <c r="AP80" s="237"/>
      <c r="AQ80" s="228"/>
      <c r="AR80" s="232" t="s">
        <v>120</v>
      </c>
      <c r="AS80" s="228" t="s">
        <v>1561</v>
      </c>
      <c r="AT80" s="229">
        <v>43474.500830671299</v>
      </c>
      <c r="AU80" s="229">
        <v>43479.735474189802</v>
      </c>
      <c r="AV80" s="229">
        <v>43475.588294675901</v>
      </c>
      <c r="AW80" s="229">
        <v>43474.500830671299</v>
      </c>
      <c r="AX80" s="229">
        <v>43475.646653703698</v>
      </c>
      <c r="AY80" s="229">
        <v>43473.725863194399</v>
      </c>
      <c r="AZ80" s="238">
        <v>43476.400672916701</v>
      </c>
      <c r="BA80" s="1" t="s">
        <v>7684</v>
      </c>
      <c r="BB80">
        <v>160</v>
      </c>
      <c r="BC80">
        <v>45</v>
      </c>
      <c r="BD80">
        <v>1795</v>
      </c>
      <c r="BE8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3.4006729167012963</v>
      </c>
      <c r="BF80" s="240">
        <f>COUNTIFS(_05preva_view43[Site ID],_05preva_view43[[#This Row],[Site ID]],_05preva_view43[Prevalidation Status],"Under Prevalidation")</f>
        <v>0</v>
      </c>
      <c r="BG8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0" s="242" t="str">
        <f>CONCATENATE(_05preva_view43[[#This Row],[Site ID]]," (",_05preva_view43[[#This Row],[tenant id]],") Application",IF(_05preva_view43[[#This Row],[Colo Rev]]&gt;0," Rev "&amp;_05preva_view43[[#This Row],[Colo Rev]],""),".xlsx")</f>
        <v>AYYN_0570 (YGNSPTR022) Application Rev 1.xlsx</v>
      </c>
      <c r="BI80" s="64" t="e">
        <f t="shared" ref="BI80:BI143" ca="1" si="2">FIND("Process &amp; Database\",CELL("filename",$A$1))</f>
        <v>#VALUE!</v>
      </c>
      <c r="BJ80" s="104" t="e">
        <f ca="1">LEFT(CELL("filename",A65),_05preva_view43[[#This Row],[Find Process &amp; Database]]-1)</f>
        <v>#VALUE!</v>
      </c>
      <c r="BK80" s="104" t="e">
        <f ca="1">_05preva_view43[Folder Path1]&amp;"Process &amp; Database\Documentation\Colo Applications"</f>
        <v>#VALUE!</v>
      </c>
      <c r="BL80" s="104" t="e">
        <f ca="1">_05preva_view43[Folder Path2]&amp;"\Colo App "&amp;_05preva_view43[[#This Row],[Operator]]&amp;"\"</f>
        <v>#VALUE!</v>
      </c>
      <c r="BM80" s="63" t="e">
        <f ca="1">_05preva_view43[[#This Row],[Folder Path3]]&amp;_05preva_view43[[#This Row],[File Name]]</f>
        <v>#VALUE!</v>
      </c>
      <c r="BN80" s="104"/>
      <c r="CF80" s="5"/>
      <c r="CG80" s="5"/>
      <c r="CH80" s="3"/>
      <c r="CJ80" s="5"/>
      <c r="CN80" s="3"/>
      <c r="CO80" s="3"/>
      <c r="CP80" s="5"/>
      <c r="CR80" s="3"/>
      <c r="DN80" s="5"/>
      <c r="DP80" s="3"/>
      <c r="EB80" s="7"/>
      <c r="EC80" s="7"/>
      <c r="EF80" s="4"/>
      <c r="EG80" s="4"/>
      <c r="EQ80" s="2"/>
      <c r="ER80" s="2"/>
    </row>
    <row r="81" spans="1:148">
      <c r="A81" s="227">
        <v>3551</v>
      </c>
      <c r="B81" s="228" t="s">
        <v>6163</v>
      </c>
      <c r="C81" s="228" t="s">
        <v>116</v>
      </c>
      <c r="D81" s="228" t="s">
        <v>153</v>
      </c>
      <c r="E81" s="228" t="s">
        <v>7639</v>
      </c>
      <c r="F81" s="228" t="s">
        <v>40</v>
      </c>
      <c r="G81" s="228" t="s">
        <v>7640</v>
      </c>
      <c r="H81" s="228" t="s">
        <v>1328</v>
      </c>
      <c r="I81" s="228" t="s">
        <v>880</v>
      </c>
      <c r="J81" s="228" t="s">
        <v>828</v>
      </c>
      <c r="K81" s="229">
        <v>43472</v>
      </c>
      <c r="L81" s="230">
        <v>3</v>
      </c>
      <c r="M81" s="230">
        <v>4</v>
      </c>
      <c r="N81" s="228">
        <v>6</v>
      </c>
      <c r="O81" s="228" t="s">
        <v>687</v>
      </c>
      <c r="P81" s="231" t="s">
        <v>705</v>
      </c>
      <c r="Q81" s="231" t="s">
        <v>706</v>
      </c>
      <c r="R81" s="228" t="s">
        <v>24</v>
      </c>
      <c r="S81" s="228"/>
      <c r="T81" s="232" t="s">
        <v>120</v>
      </c>
      <c r="U81" s="228"/>
      <c r="V81" s="232" t="s">
        <v>120</v>
      </c>
      <c r="W81" s="228"/>
      <c r="X81" s="232" t="s">
        <v>120</v>
      </c>
      <c r="Y81" s="228" t="s">
        <v>7645</v>
      </c>
      <c r="Z81" s="233" t="s">
        <v>120</v>
      </c>
      <c r="AA81" s="234" t="s">
        <v>1724</v>
      </c>
      <c r="AB81" s="234" t="s">
        <v>1725</v>
      </c>
      <c r="AC81" s="235" t="s">
        <v>123</v>
      </c>
      <c r="AD81" s="228" t="s">
        <v>7646</v>
      </c>
      <c r="AE81" s="232" t="s">
        <v>120</v>
      </c>
      <c r="AF81" s="229"/>
      <c r="AG81" s="236"/>
      <c r="AH81" s="236"/>
      <c r="AI81" s="228"/>
      <c r="AJ81" s="232" t="s">
        <v>120</v>
      </c>
      <c r="AK81" s="228" t="s">
        <v>123</v>
      </c>
      <c r="AL81" s="228" t="s">
        <v>1135</v>
      </c>
      <c r="AM81" s="232"/>
      <c r="AN81" s="228"/>
      <c r="AO81" s="228"/>
      <c r="AP81" s="237"/>
      <c r="AQ81" s="228"/>
      <c r="AR81" s="232"/>
      <c r="AS81" s="228"/>
      <c r="AT81" s="229">
        <v>43472.659166898098</v>
      </c>
      <c r="AU81" s="229">
        <v>43479.735454282403</v>
      </c>
      <c r="AV81" s="229">
        <v>43474.476503587997</v>
      </c>
      <c r="AW81" s="229">
        <v>43472.659166898098</v>
      </c>
      <c r="AX81" s="229">
        <v>43472.676697685201</v>
      </c>
      <c r="AY81" s="229">
        <v>43472.438912963</v>
      </c>
      <c r="AZ81" s="238">
        <v>43494.386338078701</v>
      </c>
      <c r="BA81" s="1" t="s">
        <v>7684</v>
      </c>
      <c r="BB81"/>
      <c r="BC81">
        <v>50</v>
      </c>
      <c r="BD81">
        <v>674</v>
      </c>
      <c r="BE8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22.386338078700646</v>
      </c>
      <c r="BF81" s="240">
        <f>COUNTIFS(_05preva_view43[Site ID],_05preva_view43[[#This Row],[Site ID]],_05preva_view43[Prevalidation Status],"Under Prevalidation")</f>
        <v>0</v>
      </c>
      <c r="BG8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1" s="242" t="str">
        <f>CONCATENATE(_05preva_view43[[#This Row],[Site ID]]," (",_05preva_view43[[#This Row],[tenant id]],") Application",IF(_05preva_view43[[#This Row],[Colo Rev]]&gt;0," Rev "&amp;_05preva_view43[[#This Row],[Colo Rev]],""),".xlsx")</f>
        <v>ASMO_0207 (MOW6137) Application Rev .xlsx</v>
      </c>
      <c r="BI81" s="64" t="e">
        <f t="shared" ca="1" si="2"/>
        <v>#VALUE!</v>
      </c>
      <c r="BJ81" s="104" t="e">
        <f ca="1">LEFT(CELL("filename",A66),_05preva_view43[[#This Row],[Find Process &amp; Database]]-1)</f>
        <v>#VALUE!</v>
      </c>
      <c r="BK81" s="104" t="e">
        <f ca="1">_05preva_view43[Folder Path1]&amp;"Process &amp; Database\Documentation\Colo Applications"</f>
        <v>#VALUE!</v>
      </c>
      <c r="BL81" s="104" t="e">
        <f ca="1">_05preva_view43[Folder Path2]&amp;"\Colo App "&amp;_05preva_view43[[#This Row],[Operator]]&amp;"\"</f>
        <v>#VALUE!</v>
      </c>
      <c r="BM81" s="63" t="e">
        <f ca="1">_05preva_view43[[#This Row],[Folder Path3]]&amp;_05preva_view43[[#This Row],[File Name]]</f>
        <v>#VALUE!</v>
      </c>
      <c r="BN81" s="104"/>
      <c r="CF81" s="5"/>
      <c r="CG81" s="5"/>
      <c r="CH81" s="3"/>
      <c r="CJ81" s="5"/>
      <c r="CN81" s="3"/>
      <c r="CO81" s="3"/>
      <c r="CP81" s="5"/>
      <c r="CR81" s="3"/>
      <c r="DN81" s="5"/>
      <c r="DP81" s="3"/>
      <c r="EB81" s="7"/>
      <c r="EC81" s="7"/>
      <c r="EF81" s="4"/>
      <c r="EG81" s="4"/>
      <c r="EQ81" s="2"/>
      <c r="ER81" s="2"/>
    </row>
    <row r="82" spans="1:148">
      <c r="A82" s="227">
        <v>3552</v>
      </c>
      <c r="B82" s="228" t="s">
        <v>6027</v>
      </c>
      <c r="C82" s="228" t="s">
        <v>116</v>
      </c>
      <c r="D82" s="228" t="s">
        <v>153</v>
      </c>
      <c r="E82" s="228" t="s">
        <v>7641</v>
      </c>
      <c r="F82" s="228" t="s">
        <v>40</v>
      </c>
      <c r="G82" s="228" t="s">
        <v>7640</v>
      </c>
      <c r="H82" s="228" t="s">
        <v>1328</v>
      </c>
      <c r="I82" s="228" t="s">
        <v>880</v>
      </c>
      <c r="J82" s="228" t="s">
        <v>828</v>
      </c>
      <c r="K82" s="229">
        <v>43472</v>
      </c>
      <c r="L82" s="230">
        <v>3</v>
      </c>
      <c r="M82" s="230">
        <v>4</v>
      </c>
      <c r="N82" s="228">
        <v>6</v>
      </c>
      <c r="O82" s="228" t="s">
        <v>687</v>
      </c>
      <c r="P82" s="231" t="s">
        <v>1475</v>
      </c>
      <c r="Q82" s="231" t="s">
        <v>241</v>
      </c>
      <c r="R82" s="228" t="s">
        <v>24</v>
      </c>
      <c r="S82" s="228"/>
      <c r="T82" s="232" t="s">
        <v>120</v>
      </c>
      <c r="U82" s="228" t="s">
        <v>7647</v>
      </c>
      <c r="V82" s="232" t="s">
        <v>120</v>
      </c>
      <c r="W82" s="228"/>
      <c r="X82" s="232" t="s">
        <v>120</v>
      </c>
      <c r="Y82" s="228" t="s">
        <v>7648</v>
      </c>
      <c r="Z82" s="233" t="s">
        <v>120</v>
      </c>
      <c r="AA82" s="234" t="s">
        <v>1724</v>
      </c>
      <c r="AB82" s="234" t="s">
        <v>1725</v>
      </c>
      <c r="AC82" s="235" t="s">
        <v>123</v>
      </c>
      <c r="AD82" s="228" t="s">
        <v>7649</v>
      </c>
      <c r="AE82" s="232" t="s">
        <v>120</v>
      </c>
      <c r="AF82" s="229"/>
      <c r="AG82" s="236"/>
      <c r="AH82" s="236"/>
      <c r="AI82" s="228" t="s">
        <v>7650</v>
      </c>
      <c r="AJ82" s="232" t="s">
        <v>120</v>
      </c>
      <c r="AK82" s="228" t="s">
        <v>123</v>
      </c>
      <c r="AL82" s="228" t="s">
        <v>1135</v>
      </c>
      <c r="AM82" s="232"/>
      <c r="AN82" s="228"/>
      <c r="AO82" s="228"/>
      <c r="AP82" s="237"/>
      <c r="AQ82" s="228"/>
      <c r="AR82" s="232"/>
      <c r="AS82" s="228"/>
      <c r="AT82" s="229">
        <v>43472.659168865699</v>
      </c>
      <c r="AU82" s="229">
        <v>43479.735457060196</v>
      </c>
      <c r="AV82" s="229">
        <v>43474.4765042824</v>
      </c>
      <c r="AW82" s="229">
        <v>43472.659168865699</v>
      </c>
      <c r="AX82" s="229">
        <v>43472.676698379597</v>
      </c>
      <c r="AY82" s="229">
        <v>43472.438917476902</v>
      </c>
      <c r="AZ82" s="238">
        <v>43494.386338425902</v>
      </c>
      <c r="BA82" s="1" t="s">
        <v>7684</v>
      </c>
      <c r="BB82"/>
      <c r="BC82">
        <v>50</v>
      </c>
      <c r="BD82">
        <v>706</v>
      </c>
      <c r="BE8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22.386338425902068</v>
      </c>
      <c r="BF82" s="240">
        <f>COUNTIFS(_05preva_view43[Site ID],_05preva_view43[[#This Row],[Site ID]],_05preva_view43[Prevalidation Status],"Under Prevalidation")</f>
        <v>0</v>
      </c>
      <c r="BG8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2" s="242" t="str">
        <f>CONCATENATE(_05preva_view43[[#This Row],[Site ID]]," (",_05preva_view43[[#This Row],[tenant id]],") Application",IF(_05preva_view43[[#This Row],[Colo Rev]]&gt;0," Rev "&amp;_05preva_view43[[#This Row],[Colo Rev]],""),".xlsx")</f>
        <v>ASMO_0199 (MOW6153) Application Rev .xlsx</v>
      </c>
      <c r="BI82" s="64" t="e">
        <f t="shared" ca="1" si="2"/>
        <v>#VALUE!</v>
      </c>
      <c r="BJ82" s="104" t="e">
        <f ca="1">LEFT(CELL("filename",A67),_05preva_view43[[#This Row],[Find Process &amp; Database]]-1)</f>
        <v>#VALUE!</v>
      </c>
      <c r="BK82" s="104" t="e">
        <f ca="1">_05preva_view43[Folder Path1]&amp;"Process &amp; Database\Documentation\Colo Applications"</f>
        <v>#VALUE!</v>
      </c>
      <c r="BL82" s="104" t="e">
        <f ca="1">_05preva_view43[Folder Path2]&amp;"\Colo App "&amp;_05preva_view43[[#This Row],[Operator]]&amp;"\"</f>
        <v>#VALUE!</v>
      </c>
      <c r="BM82" s="63" t="e">
        <f ca="1">_05preva_view43[[#This Row],[Folder Path3]]&amp;_05preva_view43[[#This Row],[File Name]]</f>
        <v>#VALUE!</v>
      </c>
      <c r="BN82" s="104"/>
      <c r="CF82" s="5"/>
      <c r="CG82" s="5"/>
      <c r="CH82" s="3"/>
      <c r="CJ82" s="5"/>
      <c r="CN82" s="3"/>
      <c r="CO82" s="3"/>
      <c r="CP82" s="5"/>
      <c r="CR82" s="3"/>
      <c r="DN82" s="5"/>
      <c r="DP82" s="3"/>
      <c r="EB82" s="7"/>
      <c r="EC82" s="7"/>
      <c r="EF82" s="4"/>
      <c r="EG82" s="4"/>
      <c r="EQ82" s="2"/>
      <c r="ER82" s="2"/>
    </row>
    <row r="83" spans="1:148">
      <c r="A83" s="227">
        <v>3554</v>
      </c>
      <c r="B83" s="228" t="s">
        <v>1476</v>
      </c>
      <c r="C83" s="228" t="s">
        <v>278</v>
      </c>
      <c r="D83" s="228" t="s">
        <v>117</v>
      </c>
      <c r="E83" s="228" t="s">
        <v>1477</v>
      </c>
      <c r="F83" s="228" t="s">
        <v>35</v>
      </c>
      <c r="G83" s="228" t="s">
        <v>1292</v>
      </c>
      <c r="H83" s="228" t="s">
        <v>1285</v>
      </c>
      <c r="I83" s="228" t="s">
        <v>790</v>
      </c>
      <c r="J83" s="228" t="s">
        <v>727</v>
      </c>
      <c r="K83" s="229">
        <v>43472</v>
      </c>
      <c r="L83" s="230">
        <v>3.44</v>
      </c>
      <c r="M83" s="230">
        <v>4.3</v>
      </c>
      <c r="N83" s="228">
        <v>5.12</v>
      </c>
      <c r="O83" s="228" t="s">
        <v>687</v>
      </c>
      <c r="P83" s="231" t="s">
        <v>766</v>
      </c>
      <c r="Q83" s="231" t="s">
        <v>1478</v>
      </c>
      <c r="R83" s="228" t="s">
        <v>24</v>
      </c>
      <c r="S83" s="228"/>
      <c r="T83" s="232" t="s">
        <v>120</v>
      </c>
      <c r="U83" s="228"/>
      <c r="V83" s="232" t="s">
        <v>120</v>
      </c>
      <c r="W83" s="228"/>
      <c r="X83" s="232" t="s">
        <v>120</v>
      </c>
      <c r="Y83" s="228" t="s">
        <v>1479</v>
      </c>
      <c r="Z83" s="233" t="s">
        <v>120</v>
      </c>
      <c r="AA83" s="234"/>
      <c r="AB83" s="234"/>
      <c r="AC83" s="235" t="s">
        <v>123</v>
      </c>
      <c r="AD83" s="228" t="s">
        <v>1567</v>
      </c>
      <c r="AE83" s="232" t="s">
        <v>120</v>
      </c>
      <c r="AF83" s="229" t="s">
        <v>1704</v>
      </c>
      <c r="AG83" s="236"/>
      <c r="AH83" s="236"/>
      <c r="AI83" s="228" t="s">
        <v>1708</v>
      </c>
      <c r="AJ83" s="232" t="s">
        <v>120</v>
      </c>
      <c r="AK83" s="228" t="s">
        <v>123</v>
      </c>
      <c r="AL83" s="228" t="s">
        <v>935</v>
      </c>
      <c r="AM83" s="232"/>
      <c r="AN83" s="228"/>
      <c r="AO83" s="228"/>
      <c r="AP83" s="237"/>
      <c r="AQ83" s="228"/>
      <c r="AR83" s="232"/>
      <c r="AS83" s="228"/>
      <c r="AT83" s="229">
        <v>43472.659171180603</v>
      </c>
      <c r="AU83" s="229">
        <v>43481.501132870399</v>
      </c>
      <c r="AV83" s="229">
        <v>43475.466540277797</v>
      </c>
      <c r="AW83" s="229">
        <v>43479.694292592598</v>
      </c>
      <c r="AX83" s="229">
        <v>43472.656828240702</v>
      </c>
      <c r="AY83" s="229">
        <v>43475.973932523098</v>
      </c>
      <c r="AZ83" s="238">
        <v>43481.630470601798</v>
      </c>
      <c r="BA83" s="1" t="s">
        <v>7684</v>
      </c>
      <c r="BB83">
        <v>130</v>
      </c>
      <c r="BC83">
        <v>60</v>
      </c>
      <c r="BD83">
        <v>3081</v>
      </c>
      <c r="BE8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9.6304706017981516</v>
      </c>
      <c r="BF83" s="240">
        <f>COUNTIFS(_05preva_view43[Site ID],_05preva_view43[[#This Row],[Site ID]],_05preva_view43[Prevalidation Status],"Under Prevalidation")</f>
        <v>0</v>
      </c>
      <c r="BG8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3" s="242" t="str">
        <f>CONCATENATE(_05preva_view43[[#This Row],[Site ID]]," (",_05preva_view43[[#This Row],[tenant id]],") Application",IF(_05preva_view43[[#This Row],[Colo Rev]]&gt;0," Rev "&amp;_05preva_view43[[#This Row],[Colo Rev]],""),".xlsx")</f>
        <v>1-01-14013-003 (SHS00383) Application Rev 3.xlsx</v>
      </c>
      <c r="BI83" s="64" t="e">
        <f t="shared" ca="1" si="2"/>
        <v>#VALUE!</v>
      </c>
      <c r="BJ83" s="104" t="e">
        <f ca="1">LEFT(CELL("filename",A68),_05preva_view43[[#This Row],[Find Process &amp; Database]]-1)</f>
        <v>#VALUE!</v>
      </c>
      <c r="BK83" s="104" t="e">
        <f ca="1">_05preva_view43[Folder Path1]&amp;"Process &amp; Database\Documentation\Colo Applications"</f>
        <v>#VALUE!</v>
      </c>
      <c r="BL83" s="104" t="e">
        <f ca="1">_05preva_view43[Folder Path2]&amp;"\Colo App "&amp;_05preva_view43[[#This Row],[Operator]]&amp;"\"</f>
        <v>#VALUE!</v>
      </c>
      <c r="BM83" s="63" t="e">
        <f ca="1">_05preva_view43[[#This Row],[Folder Path3]]&amp;_05preva_view43[[#This Row],[File Name]]</f>
        <v>#VALUE!</v>
      </c>
      <c r="BN83" s="104"/>
      <c r="CF83" s="5"/>
      <c r="CG83" s="5"/>
      <c r="CH83" s="3"/>
      <c r="CJ83" s="5"/>
      <c r="CN83" s="3"/>
      <c r="CO83" s="3"/>
      <c r="CP83" s="5"/>
      <c r="CR83" s="3"/>
      <c r="DN83" s="5"/>
      <c r="DP83" s="3"/>
      <c r="EB83" s="7"/>
      <c r="EC83" s="7"/>
      <c r="EF83" s="4"/>
      <c r="EG83" s="4"/>
      <c r="EQ83" s="2"/>
      <c r="ER83" s="2"/>
    </row>
    <row r="84" spans="1:148">
      <c r="A84" s="227">
        <v>3555</v>
      </c>
      <c r="B84" s="228" t="s">
        <v>1480</v>
      </c>
      <c r="C84" s="228" t="s">
        <v>278</v>
      </c>
      <c r="D84" s="228" t="s">
        <v>153</v>
      </c>
      <c r="E84" s="228" t="s">
        <v>1481</v>
      </c>
      <c r="F84" s="228" t="s">
        <v>38</v>
      </c>
      <c r="G84" s="228" t="s">
        <v>1295</v>
      </c>
      <c r="H84" s="228" t="s">
        <v>1328</v>
      </c>
      <c r="I84" s="228" t="s">
        <v>880</v>
      </c>
      <c r="J84" s="228" t="s">
        <v>677</v>
      </c>
      <c r="K84" s="229">
        <v>43472</v>
      </c>
      <c r="L84" s="230"/>
      <c r="M84" s="230"/>
      <c r="N84" s="228">
        <v>2.81</v>
      </c>
      <c r="O84" s="228" t="s">
        <v>687</v>
      </c>
      <c r="P84" s="231" t="s">
        <v>765</v>
      </c>
      <c r="Q84" s="231" t="s">
        <v>766</v>
      </c>
      <c r="R84" s="228" t="s">
        <v>24</v>
      </c>
      <c r="S84" s="228"/>
      <c r="T84" s="232" t="s">
        <v>615</v>
      </c>
      <c r="U84" s="228"/>
      <c r="V84" s="232" t="s">
        <v>615</v>
      </c>
      <c r="W84" s="228"/>
      <c r="X84" s="232" t="s">
        <v>120</v>
      </c>
      <c r="Y84" s="228" t="s">
        <v>1482</v>
      </c>
      <c r="Z84" s="233" t="s">
        <v>120</v>
      </c>
      <c r="AA84" s="234"/>
      <c r="AB84" s="234"/>
      <c r="AC84" s="235" t="s">
        <v>123</v>
      </c>
      <c r="AD84" s="228" t="s">
        <v>1568</v>
      </c>
      <c r="AE84" s="232" t="s">
        <v>615</v>
      </c>
      <c r="AF84" s="229"/>
      <c r="AG84" s="236"/>
      <c r="AH84" s="236"/>
      <c r="AI84" s="228"/>
      <c r="AJ84" s="232" t="s">
        <v>120</v>
      </c>
      <c r="AK84" s="228" t="s">
        <v>206</v>
      </c>
      <c r="AL84" s="228" t="s">
        <v>1483</v>
      </c>
      <c r="AM84" s="232"/>
      <c r="AN84" s="228"/>
      <c r="AO84" s="228"/>
      <c r="AP84" s="237"/>
      <c r="AQ84" s="228"/>
      <c r="AR84" s="232" t="s">
        <v>120</v>
      </c>
      <c r="AS84" s="228" t="s">
        <v>1569</v>
      </c>
      <c r="AT84" s="229">
        <v>43472.659172337997</v>
      </c>
      <c r="AU84" s="229"/>
      <c r="AV84" s="229">
        <v>43475.715647685203</v>
      </c>
      <c r="AW84" s="229">
        <v>43472.659172337997</v>
      </c>
      <c r="AX84" s="229"/>
      <c r="AY84" s="229"/>
      <c r="AZ84" s="238">
        <v>43475.729218055603</v>
      </c>
      <c r="BA84" s="1" t="s">
        <v>7684</v>
      </c>
      <c r="BB84">
        <v>130</v>
      </c>
      <c r="BC84">
        <v>60</v>
      </c>
      <c r="BD84">
        <v>2813</v>
      </c>
      <c r="BE8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3.729218055603269</v>
      </c>
      <c r="BF84" s="240">
        <f>COUNTIFS(_05preva_view43[Site ID],_05preva_view43[[#This Row],[Site ID]],_05preva_view43[Prevalidation Status],"Under Prevalidation")</f>
        <v>0</v>
      </c>
      <c r="BG8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4" s="242" t="str">
        <f>CONCATENATE(_05preva_view43[[#This Row],[Site ID]]," (",_05preva_view43[[#This Row],[tenant id]],") Application",IF(_05preva_view43[[#This Row],[Colo Rev]]&gt;0," Rev "&amp;_05preva_view43[[#This Row],[Colo Rev]],""),".xlsx")</f>
        <v>1-01-03007-002 (KA3411) Application Rev 0.xlsx</v>
      </c>
      <c r="BI84" s="64" t="e">
        <f t="shared" ca="1" si="2"/>
        <v>#VALUE!</v>
      </c>
      <c r="BJ84" s="104" t="e">
        <f ca="1">LEFT(CELL("filename",A69),_05preva_view43[[#This Row],[Find Process &amp; Database]]-1)</f>
        <v>#VALUE!</v>
      </c>
      <c r="BK84" s="104" t="e">
        <f ca="1">_05preva_view43[Folder Path1]&amp;"Process &amp; Database\Documentation\Colo Applications"</f>
        <v>#VALUE!</v>
      </c>
      <c r="BL84" s="104" t="e">
        <f ca="1">_05preva_view43[Folder Path2]&amp;"\Colo App "&amp;_05preva_view43[[#This Row],[Operator]]&amp;"\"</f>
        <v>#VALUE!</v>
      </c>
      <c r="BM84" s="63" t="e">
        <f ca="1">_05preva_view43[[#This Row],[Folder Path3]]&amp;_05preva_view43[[#This Row],[File Name]]</f>
        <v>#VALUE!</v>
      </c>
      <c r="BN84" s="104"/>
      <c r="CF84" s="5"/>
      <c r="CG84" s="5"/>
      <c r="CH84" s="3"/>
      <c r="CJ84" s="5"/>
      <c r="CN84" s="3"/>
      <c r="CO84" s="3"/>
      <c r="CP84" s="5"/>
      <c r="CR84" s="3"/>
      <c r="DN84" s="5"/>
      <c r="DP84" s="3"/>
      <c r="EB84" s="7"/>
      <c r="EC84" s="7"/>
      <c r="EF84" s="4"/>
      <c r="EG84" s="4"/>
      <c r="EQ84" s="2"/>
      <c r="ER84" s="2"/>
    </row>
    <row r="85" spans="1:148">
      <c r="A85" s="227">
        <v>3556</v>
      </c>
      <c r="B85" s="228" t="s">
        <v>1484</v>
      </c>
      <c r="C85" s="228" t="s">
        <v>278</v>
      </c>
      <c r="D85" s="228" t="s">
        <v>127</v>
      </c>
      <c r="E85" s="228" t="s">
        <v>1485</v>
      </c>
      <c r="F85" s="228" t="s">
        <v>38</v>
      </c>
      <c r="G85" s="228" t="s">
        <v>1295</v>
      </c>
      <c r="H85" s="228" t="s">
        <v>1328</v>
      </c>
      <c r="I85" s="228" t="s">
        <v>880</v>
      </c>
      <c r="J85" s="228" t="s">
        <v>677</v>
      </c>
      <c r="K85" s="229">
        <v>43472</v>
      </c>
      <c r="L85" s="230"/>
      <c r="M85" s="230"/>
      <c r="N85" s="228">
        <v>4.13</v>
      </c>
      <c r="O85" s="228" t="s">
        <v>687</v>
      </c>
      <c r="P85" s="231" t="s">
        <v>765</v>
      </c>
      <c r="Q85" s="231" t="s">
        <v>766</v>
      </c>
      <c r="R85" s="228" t="s">
        <v>24</v>
      </c>
      <c r="S85" s="228"/>
      <c r="T85" s="232" t="s">
        <v>615</v>
      </c>
      <c r="U85" s="228"/>
      <c r="V85" s="232" t="s">
        <v>120</v>
      </c>
      <c r="W85" s="228"/>
      <c r="X85" s="232" t="s">
        <v>120</v>
      </c>
      <c r="Y85" s="228" t="s">
        <v>1486</v>
      </c>
      <c r="Z85" s="233"/>
      <c r="AA85" s="234"/>
      <c r="AB85" s="234"/>
      <c r="AC85" s="235" t="s">
        <v>123</v>
      </c>
      <c r="AD85" s="228" t="s">
        <v>1579</v>
      </c>
      <c r="AE85" s="232" t="s">
        <v>615</v>
      </c>
      <c r="AF85" s="229"/>
      <c r="AG85" s="236"/>
      <c r="AH85" s="236"/>
      <c r="AI85" s="228"/>
      <c r="AJ85" s="232" t="s">
        <v>120</v>
      </c>
      <c r="AK85" s="228" t="s">
        <v>206</v>
      </c>
      <c r="AL85" s="228" t="s">
        <v>1483</v>
      </c>
      <c r="AM85" s="232"/>
      <c r="AN85" s="228"/>
      <c r="AO85" s="228"/>
      <c r="AP85" s="237"/>
      <c r="AQ85" s="228"/>
      <c r="AR85" s="232"/>
      <c r="AS85" s="228"/>
      <c r="AT85" s="229">
        <v>43472.659172916698</v>
      </c>
      <c r="AU85" s="229"/>
      <c r="AV85" s="229">
        <v>43476.442651041703</v>
      </c>
      <c r="AW85" s="229">
        <v>43472.659172916698</v>
      </c>
      <c r="AX85" s="229"/>
      <c r="AY85" s="229">
        <v>43475.973933449102</v>
      </c>
      <c r="AZ85" s="238">
        <v>43476.4463650463</v>
      </c>
      <c r="BA85" s="1" t="s">
        <v>7684</v>
      </c>
      <c r="BB85">
        <v>130</v>
      </c>
      <c r="BC85">
        <v>60</v>
      </c>
      <c r="BD85">
        <v>3738</v>
      </c>
      <c r="BE8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4.4463650463003432</v>
      </c>
      <c r="BF85" s="240">
        <f>COUNTIFS(_05preva_view43[Site ID],_05preva_view43[[#This Row],[Site ID]],_05preva_view43[Prevalidation Status],"Under Prevalidation")</f>
        <v>0</v>
      </c>
      <c r="BG8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5" s="242" t="str">
        <f>CONCATENATE(_05preva_view43[[#This Row],[Site ID]]," (",_05preva_view43[[#This Row],[tenant id]],") Application",IF(_05preva_view43[[#This Row],[Colo Rev]]&gt;0," Rev "&amp;_05preva_view43[[#This Row],[Colo Rev]],""),".xlsx")</f>
        <v>1-03-01014-017 (KC0459) Application Rev 0.xlsx</v>
      </c>
      <c r="BI85" s="64" t="e">
        <f t="shared" ca="1" si="2"/>
        <v>#VALUE!</v>
      </c>
      <c r="BJ85" s="104" t="e">
        <f ca="1">LEFT(CELL("filename",A70),_05preva_view43[[#This Row],[Find Process &amp; Database]]-1)</f>
        <v>#VALUE!</v>
      </c>
      <c r="BK85" s="104" t="e">
        <f ca="1">_05preva_view43[Folder Path1]&amp;"Process &amp; Database\Documentation\Colo Applications"</f>
        <v>#VALUE!</v>
      </c>
      <c r="BL85" s="104" t="e">
        <f ca="1">_05preva_view43[Folder Path2]&amp;"\Colo App "&amp;_05preva_view43[[#This Row],[Operator]]&amp;"\"</f>
        <v>#VALUE!</v>
      </c>
      <c r="BM85" s="63" t="e">
        <f ca="1">_05preva_view43[[#This Row],[Folder Path3]]&amp;_05preva_view43[[#This Row],[File Name]]</f>
        <v>#VALUE!</v>
      </c>
      <c r="BN85" s="104"/>
      <c r="CF85" s="5"/>
      <c r="CG85" s="5"/>
      <c r="CH85" s="3"/>
      <c r="CJ85" s="5"/>
      <c r="CN85" s="3"/>
      <c r="CO85" s="3"/>
      <c r="CP85" s="5"/>
      <c r="CR85" s="3"/>
      <c r="DN85" s="5"/>
      <c r="DP85" s="3"/>
      <c r="EB85" s="7"/>
      <c r="EC85" s="7"/>
      <c r="EF85" s="4"/>
      <c r="EG85" s="4"/>
      <c r="EQ85" s="2"/>
      <c r="ER85" s="2"/>
    </row>
    <row r="86" spans="1:148">
      <c r="A86" s="227">
        <v>3557</v>
      </c>
      <c r="B86" s="228" t="s">
        <v>997</v>
      </c>
      <c r="C86" s="228" t="s">
        <v>278</v>
      </c>
      <c r="D86" s="228" t="s">
        <v>127</v>
      </c>
      <c r="E86" s="228" t="s">
        <v>1487</v>
      </c>
      <c r="F86" s="228" t="s">
        <v>38</v>
      </c>
      <c r="G86" s="228" t="s">
        <v>1295</v>
      </c>
      <c r="H86" s="228" t="s">
        <v>1328</v>
      </c>
      <c r="I86" s="228" t="s">
        <v>880</v>
      </c>
      <c r="J86" s="228" t="s">
        <v>677</v>
      </c>
      <c r="K86" s="229">
        <v>43472</v>
      </c>
      <c r="L86" s="230"/>
      <c r="M86" s="230"/>
      <c r="N86" s="228">
        <v>4.2699999999999996</v>
      </c>
      <c r="O86" s="228" t="s">
        <v>687</v>
      </c>
      <c r="P86" s="231" t="s">
        <v>765</v>
      </c>
      <c r="Q86" s="231" t="s">
        <v>766</v>
      </c>
      <c r="R86" s="228" t="s">
        <v>24</v>
      </c>
      <c r="S86" s="228"/>
      <c r="T86" s="232" t="s">
        <v>615</v>
      </c>
      <c r="U86" s="228"/>
      <c r="V86" s="232" t="s">
        <v>615</v>
      </c>
      <c r="W86" s="228"/>
      <c r="X86" s="232" t="s">
        <v>120</v>
      </c>
      <c r="Y86" s="228" t="s">
        <v>1488</v>
      </c>
      <c r="Z86" s="233" t="s">
        <v>120</v>
      </c>
      <c r="AA86" s="234"/>
      <c r="AB86" s="234"/>
      <c r="AC86" s="235" t="s">
        <v>123</v>
      </c>
      <c r="AD86" s="228" t="s">
        <v>1570</v>
      </c>
      <c r="AE86" s="232" t="s">
        <v>615</v>
      </c>
      <c r="AF86" s="229"/>
      <c r="AG86" s="236"/>
      <c r="AH86" s="236"/>
      <c r="AI86" s="228"/>
      <c r="AJ86" s="232" t="s">
        <v>120</v>
      </c>
      <c r="AK86" s="228" t="s">
        <v>206</v>
      </c>
      <c r="AL86" s="228" t="s">
        <v>1483</v>
      </c>
      <c r="AM86" s="232"/>
      <c r="AN86" s="228"/>
      <c r="AO86" s="228"/>
      <c r="AP86" s="237"/>
      <c r="AQ86" s="228"/>
      <c r="AR86" s="232" t="s">
        <v>120</v>
      </c>
      <c r="AS86" s="228" t="s">
        <v>1569</v>
      </c>
      <c r="AT86" s="229">
        <v>43472.659173958302</v>
      </c>
      <c r="AU86" s="229"/>
      <c r="AV86" s="229">
        <v>43475.6627010417</v>
      </c>
      <c r="AW86" s="229">
        <v>43472.659173958302</v>
      </c>
      <c r="AX86" s="229"/>
      <c r="AY86" s="229"/>
      <c r="AZ86" s="238">
        <v>43475.729218634297</v>
      </c>
      <c r="BA86" s="1" t="s">
        <v>7684</v>
      </c>
      <c r="BB86">
        <v>130</v>
      </c>
      <c r="BC86">
        <v>60</v>
      </c>
      <c r="BD86">
        <v>3058</v>
      </c>
      <c r="BE8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3.7292186342965579</v>
      </c>
      <c r="BF86" s="240">
        <f>COUNTIFS(_05preva_view43[Site ID],_05preva_view43[[#This Row],[Site ID]],_05preva_view43[Prevalidation Status],"Under Prevalidation")</f>
        <v>0</v>
      </c>
      <c r="BG8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6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(SH4020) Application Rev 0.xlsx</v>
      </c>
      <c r="BI86" s="64" t="e">
        <f t="shared" ca="1" si="2"/>
        <v>#VALUE!</v>
      </c>
      <c r="BJ86" s="104" t="e">
        <f ca="1">LEFT(CELL("filename",A71),_05preva_view43[[#This Row],[Find Process &amp; Database]]-1)</f>
        <v>#VALUE!</v>
      </c>
      <c r="BK86" s="104" t="e">
        <f ca="1">_05preva_view43[Folder Path1]&amp;"Process &amp; Database\Documentation\Colo Applications"</f>
        <v>#VALUE!</v>
      </c>
      <c r="BL86" s="104" t="e">
        <f ca="1">_05preva_view43[Folder Path2]&amp;"\Colo App "&amp;_05preva_view43[[#This Row],[Operator]]&amp;"\"</f>
        <v>#VALUE!</v>
      </c>
      <c r="BM86" s="63" t="e">
        <f ca="1">_05preva_view43[[#This Row],[Folder Path3]]&amp;_05preva_view43[[#This Row],[File Name]]</f>
        <v>#VALUE!</v>
      </c>
      <c r="BN86" s="104"/>
      <c r="CF86" s="5"/>
      <c r="CG86" s="5"/>
      <c r="CH86" s="3"/>
      <c r="CJ86" s="5"/>
      <c r="CN86" s="3"/>
      <c r="CO86" s="3"/>
      <c r="CP86" s="5"/>
      <c r="CR86" s="3"/>
      <c r="DN86" s="5"/>
      <c r="DP86" s="3"/>
      <c r="EB86" s="7"/>
      <c r="EC86" s="7"/>
      <c r="EF86" s="4"/>
      <c r="EG86" s="4"/>
      <c r="EQ86" s="2"/>
      <c r="ER86" s="2"/>
    </row>
    <row r="87" spans="1:148">
      <c r="A87" s="227">
        <v>3558</v>
      </c>
      <c r="B87" s="228" t="s">
        <v>1489</v>
      </c>
      <c r="C87" s="228" t="s">
        <v>278</v>
      </c>
      <c r="D87" s="228" t="s">
        <v>127</v>
      </c>
      <c r="E87" s="228" t="s">
        <v>1490</v>
      </c>
      <c r="F87" s="228" t="s">
        <v>38</v>
      </c>
      <c r="G87" s="228" t="s">
        <v>1295</v>
      </c>
      <c r="H87" s="228" t="s">
        <v>1328</v>
      </c>
      <c r="I87" s="228" t="s">
        <v>880</v>
      </c>
      <c r="J87" s="228" t="s">
        <v>677</v>
      </c>
      <c r="K87" s="229">
        <v>43472</v>
      </c>
      <c r="L87" s="230"/>
      <c r="M87" s="230"/>
      <c r="N87" s="228">
        <v>3.78</v>
      </c>
      <c r="O87" s="228" t="s">
        <v>687</v>
      </c>
      <c r="P87" s="231" t="s">
        <v>1475</v>
      </c>
      <c r="Q87" s="231" t="s">
        <v>755</v>
      </c>
      <c r="R87" s="228" t="s">
        <v>24</v>
      </c>
      <c r="S87" s="228"/>
      <c r="T87" s="232" t="s">
        <v>615</v>
      </c>
      <c r="U87" s="228"/>
      <c r="V87" s="232" t="s">
        <v>615</v>
      </c>
      <c r="W87" s="228"/>
      <c r="X87" s="232" t="s">
        <v>120</v>
      </c>
      <c r="Y87" s="228" t="s">
        <v>1491</v>
      </c>
      <c r="Z87" s="233" t="s">
        <v>120</v>
      </c>
      <c r="AA87" s="234"/>
      <c r="AB87" s="234"/>
      <c r="AC87" s="235" t="s">
        <v>123</v>
      </c>
      <c r="AD87" s="228" t="s">
        <v>1571</v>
      </c>
      <c r="AE87" s="232" t="s">
        <v>615</v>
      </c>
      <c r="AF87" s="229"/>
      <c r="AG87" s="236"/>
      <c r="AH87" s="236"/>
      <c r="AI87" s="228"/>
      <c r="AJ87" s="232" t="s">
        <v>120</v>
      </c>
      <c r="AK87" s="228" t="s">
        <v>206</v>
      </c>
      <c r="AL87" s="228" t="s">
        <v>1483</v>
      </c>
      <c r="AM87" s="232"/>
      <c r="AN87" s="228"/>
      <c r="AO87" s="228"/>
      <c r="AP87" s="237"/>
      <c r="AQ87" s="228"/>
      <c r="AR87" s="232" t="s">
        <v>120</v>
      </c>
      <c r="AS87" s="228" t="s">
        <v>1569</v>
      </c>
      <c r="AT87" s="229">
        <v>43472.659174884298</v>
      </c>
      <c r="AU87" s="229"/>
      <c r="AV87" s="229">
        <v>43475.662701504603</v>
      </c>
      <c r="AW87" s="229">
        <v>43472.659174884298</v>
      </c>
      <c r="AX87" s="229"/>
      <c r="AY87" s="229"/>
      <c r="AZ87" s="238">
        <v>43475.729218981498</v>
      </c>
      <c r="BA87" s="1" t="s">
        <v>7684</v>
      </c>
      <c r="BB87">
        <v>130</v>
      </c>
      <c r="BC87">
        <v>60</v>
      </c>
      <c r="BD87">
        <v>3304</v>
      </c>
      <c r="BE8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3.7292189814979793</v>
      </c>
      <c r="BF87" s="240">
        <f>COUNTIFS(_05preva_view43[Site ID],_05preva_view43[[#This Row],[Site ID]],_05preva_view43[Prevalidation Status],"Under Prevalidation")</f>
        <v>0</v>
      </c>
      <c r="BG8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7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1-01-01015-020 (KC0091) Application Rev 0.xlsx</v>
      </c>
      <c r="BI87" s="64" t="e">
        <f t="shared" ca="1" si="2"/>
        <v>#VALUE!</v>
      </c>
      <c r="BJ87" s="104" t="e">
        <f ca="1">LEFT(CELL("filename",A72),_05preva_view43[[#This Row],[Find Process &amp; Database]]-1)</f>
        <v>#VALUE!</v>
      </c>
      <c r="BK87" s="104" t="e">
        <f ca="1">_05preva_view43[Folder Path1]&amp;"Process &amp; Database\Documentation\Colo Applications"</f>
        <v>#VALUE!</v>
      </c>
      <c r="BL87" s="104" t="e">
        <f ca="1">_05preva_view43[Folder Path2]&amp;"\Colo App "&amp;_05preva_view43[[#This Row],[Operator]]&amp;"\"</f>
        <v>#VALUE!</v>
      </c>
      <c r="BM87" s="63" t="e">
        <f ca="1">_05preva_view43[[#This Row],[Folder Path3]]&amp;_05preva_view43[[#This Row],[File Name]]</f>
        <v>#VALUE!</v>
      </c>
      <c r="BN87" s="104"/>
      <c r="CF87" s="5"/>
      <c r="CG87" s="5"/>
      <c r="CH87" s="3"/>
      <c r="CJ87" s="5"/>
      <c r="CN87" s="3"/>
      <c r="CO87" s="3"/>
      <c r="CP87" s="5"/>
      <c r="CR87" s="3"/>
      <c r="DN87" s="5"/>
      <c r="DP87" s="3"/>
      <c r="EB87" s="7"/>
      <c r="EC87" s="7"/>
      <c r="EF87" s="4"/>
      <c r="EG87" s="4"/>
      <c r="EQ87" s="2"/>
      <c r="ER87" s="2"/>
    </row>
    <row r="88" spans="1:148">
      <c r="A88" s="227">
        <v>3550</v>
      </c>
      <c r="B88" s="228" t="s">
        <v>1376</v>
      </c>
      <c r="C88" s="228" t="s">
        <v>116</v>
      </c>
      <c r="D88" s="228" t="s">
        <v>153</v>
      </c>
      <c r="E88" s="228" t="s">
        <v>1377</v>
      </c>
      <c r="F88" s="228" t="s">
        <v>35</v>
      </c>
      <c r="G88" s="228" t="s">
        <v>1287</v>
      </c>
      <c r="H88" s="228" t="s">
        <v>1285</v>
      </c>
      <c r="I88" s="228" t="s">
        <v>790</v>
      </c>
      <c r="J88" s="228" t="s">
        <v>727</v>
      </c>
      <c r="K88" s="229">
        <v>43468</v>
      </c>
      <c r="L88" s="230">
        <v>2.48</v>
      </c>
      <c r="M88" s="230">
        <v>3.1</v>
      </c>
      <c r="N88" s="228">
        <v>6.0839999999999996</v>
      </c>
      <c r="O88" s="228" t="s">
        <v>119</v>
      </c>
      <c r="P88" s="231" t="s">
        <v>1378</v>
      </c>
      <c r="Q88" s="231" t="s">
        <v>1379</v>
      </c>
      <c r="R88" s="228" t="s">
        <v>24</v>
      </c>
      <c r="S88" s="228"/>
      <c r="T88" s="232" t="s">
        <v>120</v>
      </c>
      <c r="U88" s="228"/>
      <c r="V88" s="232" t="s">
        <v>120</v>
      </c>
      <c r="W88" s="228"/>
      <c r="X88" s="232" t="s">
        <v>120</v>
      </c>
      <c r="Y88" s="228" t="s">
        <v>1466</v>
      </c>
      <c r="Z88" s="233" t="s">
        <v>141</v>
      </c>
      <c r="AA88" s="234" t="s">
        <v>1735</v>
      </c>
      <c r="AB88" s="234" t="s">
        <v>1725</v>
      </c>
      <c r="AC88" s="235" t="s">
        <v>123</v>
      </c>
      <c r="AD88" s="228" t="s">
        <v>1537</v>
      </c>
      <c r="AE88" s="232" t="s">
        <v>120</v>
      </c>
      <c r="AF88" s="229"/>
      <c r="AG88" s="236"/>
      <c r="AH88" s="236"/>
      <c r="AI88" s="228" t="s">
        <v>1709</v>
      </c>
      <c r="AJ88" s="232" t="s">
        <v>120</v>
      </c>
      <c r="AK88" s="228" t="s">
        <v>123</v>
      </c>
      <c r="AL88" s="228" t="s">
        <v>935</v>
      </c>
      <c r="AM88" s="232"/>
      <c r="AN88" s="228"/>
      <c r="AO88" s="228"/>
      <c r="AP88" s="237"/>
      <c r="AQ88" s="228"/>
      <c r="AR88" s="232" t="s">
        <v>1545</v>
      </c>
      <c r="AS88" s="228" t="s">
        <v>1742</v>
      </c>
      <c r="AT88" s="229">
        <v>43472.382203240697</v>
      </c>
      <c r="AU88" s="229">
        <v>43479.735453703703</v>
      </c>
      <c r="AV88" s="229"/>
      <c r="AW88" s="229">
        <v>43472.382203240697</v>
      </c>
      <c r="AX88" s="229">
        <v>43472.656825810198</v>
      </c>
      <c r="AY88" s="229">
        <v>43472.437080902797</v>
      </c>
      <c r="AZ88" s="238">
        <v>43488.480393634301</v>
      </c>
      <c r="BA88" s="1" t="s">
        <v>7684</v>
      </c>
      <c r="BB88"/>
      <c r="BC88">
        <v>50</v>
      </c>
      <c r="BD88">
        <v>382</v>
      </c>
      <c r="BE8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20.480393634301436</v>
      </c>
      <c r="BF88" s="240">
        <f>COUNTIFS(_05preva_view43[Site ID],_05preva_view43[[#This Row],[Site ID]],_05preva_view43[Prevalidation Status],"Under Prevalidation")</f>
        <v>0</v>
      </c>
      <c r="BG8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8" s="242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3.xlsx</v>
      </c>
      <c r="BI88" s="64" t="e">
        <f t="shared" ca="1" si="2"/>
        <v>#VALUE!</v>
      </c>
      <c r="BJ88" s="104" t="e">
        <f ca="1">LEFT(CELL("filename",A73),_05preva_view43[[#This Row],[Find Process &amp; Database]]-1)</f>
        <v>#VALUE!</v>
      </c>
      <c r="BK88" s="104" t="e">
        <f ca="1">_05preva_view43[Folder Path1]&amp;"Process &amp; Database\Documentation\Colo Applications"</f>
        <v>#VALUE!</v>
      </c>
      <c r="BL88" s="104" t="e">
        <f ca="1">_05preva_view43[Folder Path2]&amp;"\Colo App "&amp;_05preva_view43[[#This Row],[Operator]]&amp;"\"</f>
        <v>#VALUE!</v>
      </c>
      <c r="BM88" s="63" t="e">
        <f ca="1">_05preva_view43[[#This Row],[Folder Path3]]&amp;_05preva_view43[[#This Row],[File Name]]</f>
        <v>#VALUE!</v>
      </c>
      <c r="BN88" s="104"/>
      <c r="CF88" s="5"/>
      <c r="CG88" s="5"/>
      <c r="CH88" s="3"/>
      <c r="CJ88" s="5"/>
      <c r="CN88" s="3"/>
      <c r="CO88" s="3"/>
      <c r="CP88" s="5"/>
      <c r="CR88" s="3"/>
      <c r="DN88" s="5"/>
      <c r="DP88" s="3"/>
      <c r="EB88" s="7"/>
      <c r="EC88" s="7"/>
      <c r="EF88" s="4"/>
      <c r="EG88" s="4"/>
      <c r="EQ88" s="2"/>
      <c r="ER88" s="2"/>
    </row>
    <row r="89" spans="1:148">
      <c r="A89" s="227">
        <v>3548</v>
      </c>
      <c r="B89" s="228" t="s">
        <v>1222</v>
      </c>
      <c r="C89" s="228" t="s">
        <v>278</v>
      </c>
      <c r="D89" s="228" t="s">
        <v>127</v>
      </c>
      <c r="E89" s="228" t="s">
        <v>1223</v>
      </c>
      <c r="F89" s="228" t="s">
        <v>35</v>
      </c>
      <c r="G89" s="228" t="s">
        <v>1292</v>
      </c>
      <c r="H89" s="228" t="s">
        <v>1290</v>
      </c>
      <c r="I89" s="228" t="s">
        <v>981</v>
      </c>
      <c r="J89" s="228" t="s">
        <v>686</v>
      </c>
      <c r="K89" s="229">
        <v>43467</v>
      </c>
      <c r="L89" s="230">
        <v>1.621</v>
      </c>
      <c r="M89" s="230">
        <v>3.6989999999999998</v>
      </c>
      <c r="N89" s="228">
        <v>2.5099999999999998</v>
      </c>
      <c r="O89" s="228" t="s">
        <v>687</v>
      </c>
      <c r="P89" s="231" t="s">
        <v>526</v>
      </c>
      <c r="Q89" s="231" t="s">
        <v>629</v>
      </c>
      <c r="R89" s="228" t="s">
        <v>24</v>
      </c>
      <c r="S89" s="228"/>
      <c r="T89" s="232" t="s">
        <v>120</v>
      </c>
      <c r="U89" s="228"/>
      <c r="V89" s="232" t="s">
        <v>120</v>
      </c>
      <c r="W89" s="228"/>
      <c r="X89" s="232" t="s">
        <v>120</v>
      </c>
      <c r="Y89" s="228" t="s">
        <v>1467</v>
      </c>
      <c r="Z89" s="233" t="s">
        <v>120</v>
      </c>
      <c r="AA89" s="234"/>
      <c r="AB89" s="234"/>
      <c r="AC89" s="235" t="s">
        <v>123</v>
      </c>
      <c r="AD89" s="228" t="s">
        <v>1538</v>
      </c>
      <c r="AE89" s="232" t="s">
        <v>120</v>
      </c>
      <c r="AF89" s="229" t="s">
        <v>1710</v>
      </c>
      <c r="AG89" s="236"/>
      <c r="AH89" s="236"/>
      <c r="AI89" s="228" t="s">
        <v>1700</v>
      </c>
      <c r="AJ89" s="232" t="s">
        <v>120</v>
      </c>
      <c r="AK89" s="228" t="s">
        <v>123</v>
      </c>
      <c r="AL89" s="228" t="s">
        <v>935</v>
      </c>
      <c r="AM89" s="232"/>
      <c r="AN89" s="228"/>
      <c r="AO89" s="228"/>
      <c r="AP89" s="237"/>
      <c r="AQ89" s="228"/>
      <c r="AR89" s="232"/>
      <c r="AS89" s="228"/>
      <c r="AT89" s="229">
        <v>43472.382201620399</v>
      </c>
      <c r="AU89" s="229">
        <v>43479.735450462998</v>
      </c>
      <c r="AV89" s="229">
        <v>43474.653560300903</v>
      </c>
      <c r="AW89" s="229">
        <v>43472.382201620399</v>
      </c>
      <c r="AX89" s="229">
        <v>43472.656823263897</v>
      </c>
      <c r="AY89" s="229">
        <v>43467.595315625003</v>
      </c>
      <c r="AZ89" s="238">
        <v>43480.437809953699</v>
      </c>
      <c r="BA89" s="1" t="s">
        <v>7684</v>
      </c>
      <c r="BB89">
        <v>130</v>
      </c>
      <c r="BC89">
        <v>45</v>
      </c>
      <c r="BD89">
        <v>3586</v>
      </c>
      <c r="BE8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13.437809953698888</v>
      </c>
      <c r="BF89" s="240">
        <f>COUNTIFS(_05preva_view43[Site ID],_05preva_view43[[#This Row],[Site ID]],_05preva_view43[Prevalidation Status],"Under Prevalidation")</f>
        <v>0</v>
      </c>
      <c r="BG8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89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2.xlsx</v>
      </c>
      <c r="BI89" s="64" t="e">
        <f t="shared" ca="1" si="2"/>
        <v>#VALUE!</v>
      </c>
      <c r="BJ89" s="104" t="e">
        <f ca="1">LEFT(CELL("filename",A74),_05preva_view43[[#This Row],[Find Process &amp; Database]]-1)</f>
        <v>#VALUE!</v>
      </c>
      <c r="BK89" s="104" t="e">
        <f ca="1">_05preva_view43[Folder Path1]&amp;"Process &amp; Database\Documentation\Colo Applications"</f>
        <v>#VALUE!</v>
      </c>
      <c r="BL89" s="104" t="e">
        <f ca="1">_05preva_view43[Folder Path2]&amp;"\Colo App "&amp;_05preva_view43[[#This Row],[Operator]]&amp;"\"</f>
        <v>#VALUE!</v>
      </c>
      <c r="BM89" s="63" t="e">
        <f ca="1">_05preva_view43[[#This Row],[Folder Path3]]&amp;_05preva_view43[[#This Row],[File Name]]</f>
        <v>#VALUE!</v>
      </c>
      <c r="BN89" s="104"/>
      <c r="CF89" s="5"/>
      <c r="CG89" s="5"/>
      <c r="CH89" s="3"/>
      <c r="CJ89" s="5"/>
      <c r="CN89" s="3"/>
      <c r="CO89" s="3"/>
      <c r="CP89" s="5"/>
      <c r="CR89" s="3"/>
      <c r="DN89" s="5"/>
      <c r="DP89" s="3"/>
      <c r="EB89" s="7"/>
      <c r="EC89" s="7"/>
      <c r="EF89" s="4"/>
      <c r="EG89" s="4"/>
      <c r="EQ89" s="2"/>
      <c r="ER89" s="2"/>
    </row>
    <row r="90" spans="1:148">
      <c r="A90" s="227">
        <v>3549</v>
      </c>
      <c r="B90" s="228" t="s">
        <v>1468</v>
      </c>
      <c r="C90" s="228" t="s">
        <v>116</v>
      </c>
      <c r="D90" s="228" t="s">
        <v>153</v>
      </c>
      <c r="E90" s="228" t="s">
        <v>1469</v>
      </c>
      <c r="F90" s="228" t="s">
        <v>35</v>
      </c>
      <c r="G90" s="228" t="s">
        <v>1470</v>
      </c>
      <c r="H90" s="228" t="s">
        <v>1328</v>
      </c>
      <c r="I90" s="228" t="s">
        <v>814</v>
      </c>
      <c r="J90" s="228" t="s">
        <v>677</v>
      </c>
      <c r="K90" s="229">
        <v>43467</v>
      </c>
      <c r="L90" s="230">
        <v>0.72</v>
      </c>
      <c r="M90" s="230">
        <v>0.9</v>
      </c>
      <c r="N90" s="228">
        <v>3.18</v>
      </c>
      <c r="O90" s="228" t="s">
        <v>119</v>
      </c>
      <c r="P90" s="231" t="s">
        <v>597</v>
      </c>
      <c r="Q90" s="231" t="s">
        <v>688</v>
      </c>
      <c r="R90" s="228" t="s">
        <v>24</v>
      </c>
      <c r="S90" s="228"/>
      <c r="T90" s="232" t="s">
        <v>120</v>
      </c>
      <c r="U90" s="228"/>
      <c r="V90" s="232" t="s">
        <v>120</v>
      </c>
      <c r="W90" s="228"/>
      <c r="X90" s="232" t="s">
        <v>120</v>
      </c>
      <c r="Y90" s="228" t="s">
        <v>1471</v>
      </c>
      <c r="Z90" s="233" t="s">
        <v>120</v>
      </c>
      <c r="AA90" s="234"/>
      <c r="AB90" s="234"/>
      <c r="AC90" s="235" t="s">
        <v>123</v>
      </c>
      <c r="AD90" s="228" t="s">
        <v>1539</v>
      </c>
      <c r="AE90" s="232" t="s">
        <v>120</v>
      </c>
      <c r="AF90" s="229"/>
      <c r="AG90" s="236"/>
      <c r="AH90" s="236"/>
      <c r="AI90" s="228"/>
      <c r="AJ90" s="232" t="s">
        <v>120</v>
      </c>
      <c r="AK90" s="228" t="s">
        <v>123</v>
      </c>
      <c r="AL90" s="228" t="s">
        <v>1135</v>
      </c>
      <c r="AM90" s="232"/>
      <c r="AN90" s="228"/>
      <c r="AO90" s="228"/>
      <c r="AP90" s="237"/>
      <c r="AQ90" s="228"/>
      <c r="AR90" s="232"/>
      <c r="AS90" s="228"/>
      <c r="AT90" s="229">
        <v>43472.382202314802</v>
      </c>
      <c r="AU90" s="229">
        <v>43479.7354508102</v>
      </c>
      <c r="AV90" s="229">
        <v>43474.501626388897</v>
      </c>
      <c r="AW90" s="229">
        <v>43472.382202314802</v>
      </c>
      <c r="AX90" s="229">
        <v>43472.656824189798</v>
      </c>
      <c r="AY90" s="229">
        <v>43468.615674884299</v>
      </c>
      <c r="AZ90" s="238">
        <v>43480.437810648102</v>
      </c>
      <c r="BA90" s="1" t="s">
        <v>7684</v>
      </c>
      <c r="BB90"/>
      <c r="BC90">
        <v>60</v>
      </c>
      <c r="BD90">
        <v>1369</v>
      </c>
      <c r="BE9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13.437810648101731</v>
      </c>
      <c r="BF90" s="240">
        <f>COUNTIFS(_05preva_view43[Site ID],_05preva_view43[[#This Row],[Site ID]],_05preva_view43[Prevalidation Status],"Under Prevalidation")</f>
        <v>0</v>
      </c>
      <c r="BG9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0" s="242" t="str">
        <f>CONCATENATE(_05preva_view43[[#This Row],[Site ID]]," (",_05preva_view43[[#This Row],[tenant id]],") Application",IF(_05preva_view43[[#This Row],[Colo Rev]]&gt;0," Rev "&amp;_05preva_view43[[#This Row],[Colo Rev]],""),".xlsx")</f>
        <v>ASMO_0155 (MON00618) Application Rev 0.xlsx</v>
      </c>
      <c r="BI90" s="64" t="e">
        <f t="shared" ca="1" si="2"/>
        <v>#VALUE!</v>
      </c>
      <c r="BJ90" s="104" t="e">
        <f ca="1">LEFT(CELL("filename",A75),_05preva_view43[[#This Row],[Find Process &amp; Database]]-1)</f>
        <v>#VALUE!</v>
      </c>
      <c r="BK90" s="104" t="e">
        <f ca="1">_05preva_view43[Folder Path1]&amp;"Process &amp; Database\Documentation\Colo Applications"</f>
        <v>#VALUE!</v>
      </c>
      <c r="BL90" s="104" t="e">
        <f ca="1">_05preva_view43[Folder Path2]&amp;"\Colo App "&amp;_05preva_view43[[#This Row],[Operator]]&amp;"\"</f>
        <v>#VALUE!</v>
      </c>
      <c r="BM90" s="63" t="e">
        <f ca="1">_05preva_view43[[#This Row],[Folder Path3]]&amp;_05preva_view43[[#This Row],[File Name]]</f>
        <v>#VALUE!</v>
      </c>
      <c r="BN90" s="104"/>
      <c r="CF90" s="5"/>
      <c r="CG90" s="5"/>
      <c r="CH90" s="3"/>
      <c r="CJ90" s="5"/>
      <c r="CN90" s="3"/>
      <c r="CO90" s="3"/>
      <c r="CP90" s="5"/>
      <c r="CR90" s="3"/>
      <c r="DN90" s="5"/>
      <c r="DP90" s="3"/>
      <c r="EB90" s="7"/>
      <c r="EC90" s="7"/>
      <c r="EF90" s="4"/>
      <c r="EG90" s="4"/>
      <c r="EQ90" s="2"/>
      <c r="ER90" s="2"/>
    </row>
    <row r="91" spans="1:148">
      <c r="A91" s="227">
        <v>3536</v>
      </c>
      <c r="B91" s="228" t="s">
        <v>1325</v>
      </c>
      <c r="C91" s="228" t="s">
        <v>116</v>
      </c>
      <c r="D91" s="228" t="s">
        <v>117</v>
      </c>
      <c r="E91" s="228" t="s">
        <v>1326</v>
      </c>
      <c r="F91" s="228" t="s">
        <v>35</v>
      </c>
      <c r="G91" s="228" t="s">
        <v>1327</v>
      </c>
      <c r="H91" s="228" t="s">
        <v>1328</v>
      </c>
      <c r="I91" s="228" t="s">
        <v>814</v>
      </c>
      <c r="J91" s="228" t="s">
        <v>677</v>
      </c>
      <c r="K91" s="229">
        <v>43461</v>
      </c>
      <c r="L91" s="230">
        <v>0.72</v>
      </c>
      <c r="M91" s="230">
        <v>0.9</v>
      </c>
      <c r="N91" s="228">
        <v>3.18</v>
      </c>
      <c r="O91" s="228" t="s">
        <v>119</v>
      </c>
      <c r="P91" s="231" t="s">
        <v>248</v>
      </c>
      <c r="Q91" s="231" t="s">
        <v>249</v>
      </c>
      <c r="R91" s="228" t="s">
        <v>24</v>
      </c>
      <c r="S91" s="228"/>
      <c r="T91" s="232" t="s">
        <v>120</v>
      </c>
      <c r="U91" s="228"/>
      <c r="V91" s="232" t="s">
        <v>120</v>
      </c>
      <c r="W91" s="228"/>
      <c r="X91" s="232" t="s">
        <v>120</v>
      </c>
      <c r="Y91" s="228" t="s">
        <v>1329</v>
      </c>
      <c r="Z91" s="233" t="s">
        <v>120</v>
      </c>
      <c r="AA91" s="234"/>
      <c r="AB91" s="234"/>
      <c r="AC91" s="235" t="s">
        <v>123</v>
      </c>
      <c r="AD91" s="228" t="s">
        <v>1580</v>
      </c>
      <c r="AE91" s="232" t="s">
        <v>120</v>
      </c>
      <c r="AF91" s="229"/>
      <c r="AG91" s="236"/>
      <c r="AH91" s="236"/>
      <c r="AI91" s="228"/>
      <c r="AJ91" s="232" t="s">
        <v>120</v>
      </c>
      <c r="AK91" s="228" t="s">
        <v>123</v>
      </c>
      <c r="AL91" s="228" t="s">
        <v>1135</v>
      </c>
      <c r="AM91" s="232"/>
      <c r="AN91" s="228"/>
      <c r="AO91" s="228"/>
      <c r="AP91" s="237"/>
      <c r="AQ91" s="228"/>
      <c r="AR91" s="232"/>
      <c r="AS91" s="228"/>
      <c r="AT91" s="229">
        <v>43461.456340625002</v>
      </c>
      <c r="AU91" s="229">
        <v>43479.735439120399</v>
      </c>
      <c r="AV91" s="229">
        <v>43476.689971527798</v>
      </c>
      <c r="AW91" s="229">
        <v>43461.456340625002</v>
      </c>
      <c r="AX91" s="229">
        <v>43472.6568140046</v>
      </c>
      <c r="AY91" s="229">
        <v>43461.444858217597</v>
      </c>
      <c r="AZ91" s="238">
        <v>43480.437805208298</v>
      </c>
      <c r="BA91" s="1" t="s">
        <v>7684</v>
      </c>
      <c r="BB91"/>
      <c r="BC91">
        <v>60</v>
      </c>
      <c r="BD91">
        <v>396</v>
      </c>
      <c r="BE9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19.437805208297505</v>
      </c>
      <c r="BF91" s="240">
        <f>COUNTIFS(_05preva_view43[Site ID],_05preva_view43[[#This Row],[Site ID]],_05preva_view43[Prevalidation Status],"Under Prevalidation")</f>
        <v>0</v>
      </c>
      <c r="BG9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1" s="242" t="str">
        <f>CONCATENATE(_05preva_view43[[#This Row],[Site ID]]," (",_05preva_view43[[#This Row],[tenant id]],") Application",IF(_05preva_view43[[#This Row],[Colo Rev]]&gt;0," Rev "&amp;_05preva_view43[[#This Row],[Colo Rev]],""),".xlsx")</f>
        <v>ASKH_0007 (KYH00181) Application Rev 0.xlsx</v>
      </c>
      <c r="BI91" s="64" t="e">
        <f t="shared" ca="1" si="2"/>
        <v>#VALUE!</v>
      </c>
      <c r="BJ91" s="104" t="e">
        <f ca="1">LEFT(CELL("filename",A76),_05preva_view43[[#This Row],[Find Process &amp; Database]]-1)</f>
        <v>#VALUE!</v>
      </c>
      <c r="BK91" s="104" t="e">
        <f ca="1">_05preva_view43[Folder Path1]&amp;"Process &amp; Database\Documentation\Colo Applications"</f>
        <v>#VALUE!</v>
      </c>
      <c r="BL91" s="104" t="e">
        <f ca="1">_05preva_view43[Folder Path2]&amp;"\Colo App "&amp;_05preva_view43[[#This Row],[Operator]]&amp;"\"</f>
        <v>#VALUE!</v>
      </c>
      <c r="BM91" s="63" t="e">
        <f ca="1">_05preva_view43[[#This Row],[Folder Path3]]&amp;_05preva_view43[[#This Row],[File Name]]</f>
        <v>#VALUE!</v>
      </c>
      <c r="BN91" s="104"/>
      <c r="CF91" s="5"/>
      <c r="CG91" s="5"/>
      <c r="CH91" s="3"/>
      <c r="CJ91" s="5"/>
      <c r="CN91" s="3"/>
      <c r="CO91" s="3"/>
      <c r="CP91" s="5"/>
      <c r="CR91" s="3"/>
      <c r="DN91" s="5"/>
      <c r="DP91" s="3"/>
      <c r="EB91" s="7"/>
      <c r="EC91" s="7"/>
      <c r="EF91" s="4"/>
      <c r="EG91" s="4"/>
      <c r="EQ91" s="2"/>
      <c r="ER91" s="2"/>
    </row>
    <row r="92" spans="1:148">
      <c r="A92" s="227">
        <v>3537</v>
      </c>
      <c r="B92" s="228" t="s">
        <v>1330</v>
      </c>
      <c r="C92" s="228" t="s">
        <v>116</v>
      </c>
      <c r="D92" s="228" t="s">
        <v>117</v>
      </c>
      <c r="E92" s="228" t="s">
        <v>1331</v>
      </c>
      <c r="F92" s="228" t="s">
        <v>35</v>
      </c>
      <c r="G92" s="228" t="s">
        <v>118</v>
      </c>
      <c r="H92" s="228" t="s">
        <v>880</v>
      </c>
      <c r="I92" s="228" t="s">
        <v>814</v>
      </c>
      <c r="J92" s="228" t="s">
        <v>677</v>
      </c>
      <c r="K92" s="229">
        <v>43461</v>
      </c>
      <c r="L92" s="230">
        <v>0.72</v>
      </c>
      <c r="M92" s="230">
        <v>0.9</v>
      </c>
      <c r="N92" s="228">
        <v>3.18</v>
      </c>
      <c r="O92" s="228" t="s">
        <v>119</v>
      </c>
      <c r="P92" s="231" t="s">
        <v>695</v>
      </c>
      <c r="Q92" s="231" t="s">
        <v>696</v>
      </c>
      <c r="R92" s="228" t="s">
        <v>24</v>
      </c>
      <c r="S92" s="228"/>
      <c r="T92" s="232" t="s">
        <v>120</v>
      </c>
      <c r="U92" s="228"/>
      <c r="V92" s="232" t="s">
        <v>120</v>
      </c>
      <c r="W92" s="228"/>
      <c r="X92" s="232" t="s">
        <v>120</v>
      </c>
      <c r="Y92" s="228" t="s">
        <v>1332</v>
      </c>
      <c r="Z92" s="233" t="s">
        <v>120</v>
      </c>
      <c r="AA92" s="234"/>
      <c r="AB92" s="234"/>
      <c r="AC92" s="235" t="s">
        <v>123</v>
      </c>
      <c r="AD92" s="228" t="s">
        <v>1540</v>
      </c>
      <c r="AE92" s="232" t="s">
        <v>120</v>
      </c>
      <c r="AF92" s="229"/>
      <c r="AG92" s="236"/>
      <c r="AH92" s="236"/>
      <c r="AI92" s="228"/>
      <c r="AJ92" s="232" t="s">
        <v>120</v>
      </c>
      <c r="AK92" s="228" t="s">
        <v>123</v>
      </c>
      <c r="AL92" s="228" t="s">
        <v>1135</v>
      </c>
      <c r="AM92" s="232"/>
      <c r="AN92" s="228"/>
      <c r="AO92" s="228"/>
      <c r="AP92" s="237"/>
      <c r="AQ92" s="228"/>
      <c r="AR92" s="232"/>
      <c r="AS92" s="228"/>
      <c r="AT92" s="229">
        <v>43461.456341550896</v>
      </c>
      <c r="AU92" s="229">
        <v>43479.7354394676</v>
      </c>
      <c r="AV92" s="229">
        <v>43473.5905802083</v>
      </c>
      <c r="AW92" s="229">
        <v>43461.456341550896</v>
      </c>
      <c r="AX92" s="229">
        <v>43472.656815046299</v>
      </c>
      <c r="AY92" s="229">
        <v>43461.444858912</v>
      </c>
      <c r="AZ92" s="238">
        <v>43480.437806597198</v>
      </c>
      <c r="BA92" s="1" t="s">
        <v>7684</v>
      </c>
      <c r="BB92"/>
      <c r="BC92">
        <v>60</v>
      </c>
      <c r="BD92">
        <v>1839</v>
      </c>
      <c r="BE9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19.437806597197778</v>
      </c>
      <c r="BF92" s="240">
        <f>COUNTIFS(_05preva_view43[Site ID],_05preva_view43[[#This Row],[Site ID]],_05preva_view43[Prevalidation Status],"Under Prevalidation")</f>
        <v>0</v>
      </c>
      <c r="BG9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2" s="242" t="str">
        <f>CONCATENATE(_05preva_view43[[#This Row],[Site ID]]," (",_05preva_view43[[#This Row],[tenant id]],") Application",IF(_05preva_view43[[#This Row],[Colo Rev]]&gt;0," Rev "&amp;_05preva_view43[[#This Row],[Colo Rev]],""),".xlsx")</f>
        <v>ANNP_0222 (NPT00514) Application Rev 0.xlsx</v>
      </c>
      <c r="BI92" s="64" t="e">
        <f t="shared" ca="1" si="2"/>
        <v>#VALUE!</v>
      </c>
      <c r="BJ92" s="104" t="e">
        <f ca="1">LEFT(CELL("filename",A77),_05preva_view43[[#This Row],[Find Process &amp; Database]]-1)</f>
        <v>#VALUE!</v>
      </c>
      <c r="BK92" s="104" t="e">
        <f ca="1">_05preva_view43[Folder Path1]&amp;"Process &amp; Database\Documentation\Colo Applications"</f>
        <v>#VALUE!</v>
      </c>
      <c r="BL92" s="104" t="e">
        <f ca="1">_05preva_view43[Folder Path2]&amp;"\Colo App "&amp;_05preva_view43[[#This Row],[Operator]]&amp;"\"</f>
        <v>#VALUE!</v>
      </c>
      <c r="BM92" s="63" t="e">
        <f ca="1">_05preva_view43[[#This Row],[Folder Path3]]&amp;_05preva_view43[[#This Row],[File Name]]</f>
        <v>#VALUE!</v>
      </c>
      <c r="BN92" s="104"/>
      <c r="CF92" s="5"/>
      <c r="CG92" s="5"/>
      <c r="CH92" s="3"/>
      <c r="CJ92" s="5"/>
      <c r="CN92" s="3"/>
      <c r="CO92" s="3"/>
      <c r="CP92" s="5"/>
      <c r="CR92" s="3"/>
      <c r="DN92" s="5"/>
      <c r="DP92" s="3"/>
      <c r="EB92" s="7"/>
      <c r="EC92" s="7"/>
      <c r="EF92" s="4"/>
      <c r="EG92" s="4"/>
      <c r="EQ92" s="2"/>
      <c r="ER92" s="2"/>
    </row>
    <row r="93" spans="1:148">
      <c r="A93" s="227">
        <v>3538</v>
      </c>
      <c r="B93" s="228" t="s">
        <v>1333</v>
      </c>
      <c r="C93" s="228" t="s">
        <v>278</v>
      </c>
      <c r="D93" s="228" t="s">
        <v>127</v>
      </c>
      <c r="E93" s="228" t="s">
        <v>1334</v>
      </c>
      <c r="F93" s="228" t="s">
        <v>35</v>
      </c>
      <c r="G93" s="228" t="s">
        <v>1292</v>
      </c>
      <c r="H93" s="228" t="s">
        <v>1285</v>
      </c>
      <c r="I93" s="228" t="s">
        <v>981</v>
      </c>
      <c r="J93" s="228" t="s">
        <v>727</v>
      </c>
      <c r="K93" s="229">
        <v>43461</v>
      </c>
      <c r="L93" s="230">
        <v>1.054</v>
      </c>
      <c r="M93" s="230">
        <v>1.46</v>
      </c>
      <c r="N93" s="228">
        <v>3.59</v>
      </c>
      <c r="O93" s="228" t="s">
        <v>687</v>
      </c>
      <c r="P93" s="231" t="s">
        <v>809</v>
      </c>
      <c r="Q93" s="231" t="s">
        <v>964</v>
      </c>
      <c r="R93" s="228" t="s">
        <v>24</v>
      </c>
      <c r="S93" s="228"/>
      <c r="T93" s="232" t="s">
        <v>120</v>
      </c>
      <c r="U93" s="228"/>
      <c r="V93" s="232" t="s">
        <v>120</v>
      </c>
      <c r="W93" s="228"/>
      <c r="X93" s="232" t="s">
        <v>120</v>
      </c>
      <c r="Y93" s="228" t="s">
        <v>1335</v>
      </c>
      <c r="Z93" s="233" t="s">
        <v>120</v>
      </c>
      <c r="AA93" s="234"/>
      <c r="AB93" s="234"/>
      <c r="AC93" s="235" t="s">
        <v>123</v>
      </c>
      <c r="AD93" s="228" t="s">
        <v>1336</v>
      </c>
      <c r="AE93" s="232" t="s">
        <v>615</v>
      </c>
      <c r="AF93" s="229"/>
      <c r="AG93" s="236"/>
      <c r="AH93" s="236"/>
      <c r="AI93" s="228" t="s">
        <v>1711</v>
      </c>
      <c r="AJ93" s="232" t="s">
        <v>120</v>
      </c>
      <c r="AK93" s="228" t="s">
        <v>123</v>
      </c>
      <c r="AL93" s="228" t="s">
        <v>935</v>
      </c>
      <c r="AM93" s="232"/>
      <c r="AN93" s="228"/>
      <c r="AO93" s="228"/>
      <c r="AP93" s="237"/>
      <c r="AQ93" s="228"/>
      <c r="AR93" s="232"/>
      <c r="AS93" s="228"/>
      <c r="AT93" s="229">
        <v>43461.484659143498</v>
      </c>
      <c r="AU93" s="229"/>
      <c r="AV93" s="229">
        <v>43462.497513078699</v>
      </c>
      <c r="AW93" s="229">
        <v>43461.484659143498</v>
      </c>
      <c r="AX93" s="229">
        <v>43472.656815740702</v>
      </c>
      <c r="AY93" s="229">
        <v>43461.439167476798</v>
      </c>
      <c r="AZ93" s="238">
        <v>43480.577520717598</v>
      </c>
      <c r="BA93" s="1" t="s">
        <v>7684</v>
      </c>
      <c r="BB93">
        <v>130</v>
      </c>
      <c r="BC93">
        <v>60</v>
      </c>
      <c r="BD93">
        <v>3453</v>
      </c>
      <c r="BE9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19.577520717597508</v>
      </c>
      <c r="BF93" s="240">
        <f>COUNTIFS(_05preva_view43[Site ID],_05preva_view43[[#This Row],[Site ID]],_05preva_view43[Prevalidation Status],"Under Prevalidation")</f>
        <v>0</v>
      </c>
      <c r="BG9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3" s="242" t="str">
        <f>CONCATENATE(_05preva_view43[[#This Row],[Site ID]]," (",_05preva_view43[[#This Row],[tenant id]],") Application",IF(_05preva_view43[[#This Row],[Colo Rev]]&gt;0," Rev "&amp;_05preva_view43[[#This Row],[Colo Rev]],""),".xlsx")</f>
        <v>3-00-01014-003 (KCN00120) Application Rev 3.xlsx</v>
      </c>
      <c r="BI93" s="64" t="e">
        <f t="shared" ca="1" si="2"/>
        <v>#VALUE!</v>
      </c>
      <c r="BJ93" s="104" t="e">
        <f ca="1">LEFT(CELL("filename",A78),_05preva_view43[[#This Row],[Find Process &amp; Database]]-1)</f>
        <v>#VALUE!</v>
      </c>
      <c r="BK93" s="104" t="e">
        <f ca="1">_05preva_view43[Folder Path1]&amp;"Process &amp; Database\Documentation\Colo Applications"</f>
        <v>#VALUE!</v>
      </c>
      <c r="BL93" s="104" t="e">
        <f ca="1">_05preva_view43[Folder Path2]&amp;"\Colo App "&amp;_05preva_view43[[#This Row],[Operator]]&amp;"\"</f>
        <v>#VALUE!</v>
      </c>
      <c r="BM93" s="63" t="e">
        <f ca="1">_05preva_view43[[#This Row],[Folder Path3]]&amp;_05preva_view43[[#This Row],[File Name]]</f>
        <v>#VALUE!</v>
      </c>
      <c r="BN93" s="104"/>
      <c r="CF93" s="5"/>
      <c r="CG93" s="5"/>
      <c r="CH93" s="3"/>
      <c r="CJ93" s="5"/>
      <c r="CN93" s="3"/>
      <c r="CO93" s="3"/>
      <c r="CP93" s="5"/>
      <c r="CR93" s="3"/>
      <c r="DN93" s="5"/>
      <c r="DP93" s="3"/>
      <c r="EB93" s="7"/>
      <c r="EC93" s="7"/>
      <c r="EF93" s="4"/>
      <c r="EG93" s="4"/>
      <c r="EQ93" s="2"/>
      <c r="ER93" s="2"/>
    </row>
    <row r="94" spans="1:148">
      <c r="A94" s="227">
        <v>3539</v>
      </c>
      <c r="B94" s="228" t="s">
        <v>1337</v>
      </c>
      <c r="C94" s="228" t="s">
        <v>278</v>
      </c>
      <c r="D94" s="228" t="s">
        <v>127</v>
      </c>
      <c r="E94" s="228" t="s">
        <v>1338</v>
      </c>
      <c r="F94" s="228" t="s">
        <v>35</v>
      </c>
      <c r="G94" s="228" t="s">
        <v>1292</v>
      </c>
      <c r="H94" s="228" t="s">
        <v>1285</v>
      </c>
      <c r="I94" s="228" t="s">
        <v>981</v>
      </c>
      <c r="J94" s="228" t="s">
        <v>727</v>
      </c>
      <c r="K94" s="229">
        <v>43461</v>
      </c>
      <c r="L94" s="230">
        <v>1.1080000000000001</v>
      </c>
      <c r="M94" s="230">
        <v>1.52</v>
      </c>
      <c r="N94" s="228">
        <v>4.25</v>
      </c>
      <c r="O94" s="228" t="s">
        <v>687</v>
      </c>
      <c r="P94" s="231" t="s">
        <v>809</v>
      </c>
      <c r="Q94" s="231" t="s">
        <v>964</v>
      </c>
      <c r="R94" s="228" t="s">
        <v>24</v>
      </c>
      <c r="S94" s="228"/>
      <c r="T94" s="232" t="s">
        <v>120</v>
      </c>
      <c r="U94" s="228"/>
      <c r="V94" s="232" t="s">
        <v>120</v>
      </c>
      <c r="W94" s="228"/>
      <c r="X94" s="232" t="s">
        <v>120</v>
      </c>
      <c r="Y94" s="228" t="s">
        <v>1339</v>
      </c>
      <c r="Z94" s="233" t="s">
        <v>120</v>
      </c>
      <c r="AA94" s="234"/>
      <c r="AB94" s="234"/>
      <c r="AC94" s="235" t="s">
        <v>123</v>
      </c>
      <c r="AD94" s="228" t="s">
        <v>1472</v>
      </c>
      <c r="AE94" s="232" t="s">
        <v>615</v>
      </c>
      <c r="AF94" s="229"/>
      <c r="AG94" s="236"/>
      <c r="AH94" s="236"/>
      <c r="AI94" s="228" t="s">
        <v>1711</v>
      </c>
      <c r="AJ94" s="232" t="s">
        <v>120</v>
      </c>
      <c r="AK94" s="228" t="s">
        <v>123</v>
      </c>
      <c r="AL94" s="228" t="s">
        <v>935</v>
      </c>
      <c r="AM94" s="232"/>
      <c r="AN94" s="228"/>
      <c r="AO94" s="228"/>
      <c r="AP94" s="237"/>
      <c r="AQ94" s="228"/>
      <c r="AR94" s="232"/>
      <c r="AS94" s="228"/>
      <c r="AT94" s="229">
        <v>43461.484659722199</v>
      </c>
      <c r="AU94" s="229"/>
      <c r="AV94" s="229">
        <v>43462.701907638897</v>
      </c>
      <c r="AW94" s="229">
        <v>43461.484659722199</v>
      </c>
      <c r="AX94" s="229">
        <v>43472.656817129602</v>
      </c>
      <c r="AY94" s="229">
        <v>43461.439167939803</v>
      </c>
      <c r="AZ94" s="238">
        <v>43480.577521180603</v>
      </c>
      <c r="BA94" s="1" t="s">
        <v>7684</v>
      </c>
      <c r="BB94">
        <v>130</v>
      </c>
      <c r="BC94">
        <v>60</v>
      </c>
      <c r="BD94">
        <v>3451</v>
      </c>
      <c r="BE9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19.577521180603071</v>
      </c>
      <c r="BF94" s="240">
        <f>COUNTIFS(_05preva_view43[Site ID],_05preva_view43[[#This Row],[Site ID]],_05preva_view43[Prevalidation Status],"Under Prevalidation")</f>
        <v>0</v>
      </c>
      <c r="BG9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4" s="242" t="str">
        <f>CONCATENATE(_05preva_view43[[#This Row],[Site ID]]," (",_05preva_view43[[#This Row],[tenant id]],") Application",IF(_05preva_view43[[#This Row],[Colo Rev]]&gt;0," Rev "&amp;_05preva_view43[[#This Row],[Colo Rev]],""),".xlsx")</f>
        <v>3-00-01014-002 (KCN00121) Application Rev 3.xlsx</v>
      </c>
      <c r="BI94" s="64" t="e">
        <f t="shared" ca="1" si="2"/>
        <v>#VALUE!</v>
      </c>
      <c r="BJ94" s="104" t="e">
        <f ca="1">LEFT(CELL("filename",A79),_05preva_view43[[#This Row],[Find Process &amp; Database]]-1)</f>
        <v>#VALUE!</v>
      </c>
      <c r="BK94" s="104" t="e">
        <f ca="1">_05preva_view43[Folder Path1]&amp;"Process &amp; Database\Documentation\Colo Applications"</f>
        <v>#VALUE!</v>
      </c>
      <c r="BL94" s="104" t="e">
        <f ca="1">_05preva_view43[Folder Path2]&amp;"\Colo App "&amp;_05preva_view43[[#This Row],[Operator]]&amp;"\"</f>
        <v>#VALUE!</v>
      </c>
      <c r="BM94" s="63" t="e">
        <f ca="1">_05preva_view43[[#This Row],[Folder Path3]]&amp;_05preva_view43[[#This Row],[File Name]]</f>
        <v>#VALUE!</v>
      </c>
      <c r="BN94" s="104"/>
      <c r="CF94" s="5"/>
      <c r="CG94" s="5"/>
      <c r="CH94" s="3"/>
      <c r="CJ94" s="5"/>
      <c r="CN94" s="3"/>
      <c r="CO94" s="3"/>
      <c r="CP94" s="5"/>
      <c r="CR94" s="3"/>
      <c r="DN94" s="5"/>
      <c r="DP94" s="3"/>
      <c r="EB94" s="7"/>
      <c r="EC94" s="7"/>
      <c r="EF94" s="4"/>
      <c r="EG94" s="4"/>
      <c r="EQ94" s="2"/>
      <c r="ER94" s="2"/>
    </row>
    <row r="95" spans="1:148">
      <c r="A95" s="227">
        <v>3540</v>
      </c>
      <c r="B95" s="228" t="s">
        <v>1340</v>
      </c>
      <c r="C95" s="228" t="s">
        <v>278</v>
      </c>
      <c r="D95" s="228" t="s">
        <v>127</v>
      </c>
      <c r="E95" s="228" t="s">
        <v>1341</v>
      </c>
      <c r="F95" s="228" t="s">
        <v>35</v>
      </c>
      <c r="G95" s="228" t="s">
        <v>1292</v>
      </c>
      <c r="H95" s="228" t="s">
        <v>1285</v>
      </c>
      <c r="I95" s="228" t="s">
        <v>981</v>
      </c>
      <c r="J95" s="228" t="s">
        <v>727</v>
      </c>
      <c r="K95" s="229">
        <v>43461</v>
      </c>
      <c r="L95" s="230">
        <v>1</v>
      </c>
      <c r="M95" s="230">
        <v>1.4</v>
      </c>
      <c r="N95" s="228">
        <v>3.61</v>
      </c>
      <c r="O95" s="228" t="s">
        <v>687</v>
      </c>
      <c r="P95" s="231" t="s">
        <v>799</v>
      </c>
      <c r="Q95" s="231" t="s">
        <v>695</v>
      </c>
      <c r="R95" s="228" t="s">
        <v>24</v>
      </c>
      <c r="S95" s="228"/>
      <c r="T95" s="232" t="s">
        <v>120</v>
      </c>
      <c r="U95" s="228"/>
      <c r="V95" s="232" t="s">
        <v>120</v>
      </c>
      <c r="W95" s="228"/>
      <c r="X95" s="232" t="s">
        <v>120</v>
      </c>
      <c r="Y95" s="228" t="s">
        <v>1342</v>
      </c>
      <c r="Z95" s="233" t="s">
        <v>120</v>
      </c>
      <c r="AA95" s="234"/>
      <c r="AB95" s="234"/>
      <c r="AC95" s="235" t="s">
        <v>123</v>
      </c>
      <c r="AD95" s="228" t="s">
        <v>1473</v>
      </c>
      <c r="AE95" s="232" t="s">
        <v>120</v>
      </c>
      <c r="AF95" s="229"/>
      <c r="AG95" s="236"/>
      <c r="AH95" s="236"/>
      <c r="AI95" s="228"/>
      <c r="AJ95" s="232" t="s">
        <v>120</v>
      </c>
      <c r="AK95" s="228" t="s">
        <v>123</v>
      </c>
      <c r="AL95" s="228" t="s">
        <v>935</v>
      </c>
      <c r="AM95" s="232"/>
      <c r="AN95" s="228"/>
      <c r="AO95" s="228"/>
      <c r="AP95" s="237"/>
      <c r="AQ95" s="228"/>
      <c r="AR95" s="232"/>
      <c r="AS95" s="228"/>
      <c r="AT95" s="229">
        <v>43461.484660300899</v>
      </c>
      <c r="AU95" s="229">
        <v>43479.735444560203</v>
      </c>
      <c r="AV95" s="229">
        <v>43467.484192592601</v>
      </c>
      <c r="AW95" s="229">
        <v>43461.484660300899</v>
      </c>
      <c r="AX95" s="229">
        <v>43472.656817708303</v>
      </c>
      <c r="AY95" s="229">
        <v>43461.439168981502</v>
      </c>
      <c r="AZ95" s="238">
        <v>43480.437808796298</v>
      </c>
      <c r="BA95" s="1" t="s">
        <v>7684</v>
      </c>
      <c r="BB95">
        <v>130</v>
      </c>
      <c r="BC95">
        <v>60</v>
      </c>
      <c r="BD95">
        <v>2948</v>
      </c>
      <c r="BE9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19.437808796297759</v>
      </c>
      <c r="BF95" s="240">
        <f>COUNTIFS(_05preva_view43[Site ID],_05preva_view43[[#This Row],[Site ID]],_05preva_view43[Prevalidation Status],"Under Prevalidation")</f>
        <v>0</v>
      </c>
      <c r="BG9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5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3.xlsx</v>
      </c>
      <c r="BI95" s="64" t="e">
        <f t="shared" ca="1" si="2"/>
        <v>#VALUE!</v>
      </c>
      <c r="BJ95" s="104" t="e">
        <f ca="1">LEFT(CELL("filename",A80),_05preva_view43[[#This Row],[Find Process &amp; Database]]-1)</f>
        <v>#VALUE!</v>
      </c>
      <c r="BK95" s="104" t="e">
        <f ca="1">_05preva_view43[Folder Path1]&amp;"Process &amp; Database\Documentation\Colo Applications"</f>
        <v>#VALUE!</v>
      </c>
      <c r="BL95" s="104" t="e">
        <f ca="1">_05preva_view43[Folder Path2]&amp;"\Colo App "&amp;_05preva_view43[[#This Row],[Operator]]&amp;"\"</f>
        <v>#VALUE!</v>
      </c>
      <c r="BM95" s="63" t="e">
        <f ca="1">_05preva_view43[[#This Row],[Folder Path3]]&amp;_05preva_view43[[#This Row],[File Name]]</f>
        <v>#VALUE!</v>
      </c>
      <c r="BN95" s="104"/>
      <c r="CF95" s="5"/>
      <c r="CG95" s="5"/>
      <c r="CH95" s="3"/>
      <c r="CJ95" s="5"/>
      <c r="CN95" s="3"/>
      <c r="CO95" s="3"/>
      <c r="CP95" s="5"/>
      <c r="CR95" s="3"/>
      <c r="DN95" s="5"/>
      <c r="DP95" s="3"/>
      <c r="EB95" s="7"/>
      <c r="EC95" s="7"/>
      <c r="EF95" s="4"/>
      <c r="EG95" s="4"/>
      <c r="EQ95" s="2"/>
      <c r="ER95" s="2"/>
    </row>
    <row r="96" spans="1:148">
      <c r="A96" s="227">
        <v>3541</v>
      </c>
      <c r="B96" s="228" t="s">
        <v>713</v>
      </c>
      <c r="C96" s="228" t="s">
        <v>278</v>
      </c>
      <c r="D96" s="228" t="s">
        <v>127</v>
      </c>
      <c r="E96" s="228" t="s">
        <v>714</v>
      </c>
      <c r="F96" s="228" t="s">
        <v>35</v>
      </c>
      <c r="G96" s="228" t="s">
        <v>1292</v>
      </c>
      <c r="H96" s="228" t="s">
        <v>1285</v>
      </c>
      <c r="I96" s="228" t="s">
        <v>1343</v>
      </c>
      <c r="J96" s="228" t="s">
        <v>727</v>
      </c>
      <c r="K96" s="229">
        <v>43461</v>
      </c>
      <c r="L96" s="230">
        <v>2.2999999999999998</v>
      </c>
      <c r="M96" s="230">
        <v>3.5</v>
      </c>
      <c r="N96" s="228">
        <v>4.0599999999999996</v>
      </c>
      <c r="O96" s="228" t="s">
        <v>687</v>
      </c>
      <c r="P96" s="231" t="s">
        <v>508</v>
      </c>
      <c r="Q96" s="231" t="s">
        <v>509</v>
      </c>
      <c r="R96" s="228" t="s">
        <v>24</v>
      </c>
      <c r="S96" s="228"/>
      <c r="T96" s="232" t="s">
        <v>120</v>
      </c>
      <c r="U96" s="228"/>
      <c r="V96" s="232" t="s">
        <v>120</v>
      </c>
      <c r="W96" s="228"/>
      <c r="X96" s="232" t="s">
        <v>120</v>
      </c>
      <c r="Y96" s="228" t="s">
        <v>1344</v>
      </c>
      <c r="Z96" s="233" t="s">
        <v>120</v>
      </c>
      <c r="AA96" s="234"/>
      <c r="AB96" s="234"/>
      <c r="AC96" s="235" t="s">
        <v>123</v>
      </c>
      <c r="AD96" s="228" t="s">
        <v>1474</v>
      </c>
      <c r="AE96" s="232" t="s">
        <v>120</v>
      </c>
      <c r="AF96" s="229" t="s">
        <v>1704</v>
      </c>
      <c r="AG96" s="236"/>
      <c r="AH96" s="236"/>
      <c r="AI96" s="228" t="s">
        <v>1712</v>
      </c>
      <c r="AJ96" s="232" t="s">
        <v>120</v>
      </c>
      <c r="AK96" s="228" t="s">
        <v>123</v>
      </c>
      <c r="AL96" s="228" t="s">
        <v>935</v>
      </c>
      <c r="AM96" s="232"/>
      <c r="AN96" s="228"/>
      <c r="AO96" s="228"/>
      <c r="AP96" s="237"/>
      <c r="AQ96" s="228"/>
      <c r="AR96" s="232"/>
      <c r="AS96" s="228"/>
      <c r="AT96" s="229">
        <v>43461.702668055601</v>
      </c>
      <c r="AU96" s="229">
        <v>43481.501123611102</v>
      </c>
      <c r="AV96" s="229">
        <v>43467.618563194403</v>
      </c>
      <c r="AW96" s="229">
        <v>43461.702668055601</v>
      </c>
      <c r="AX96" s="229">
        <v>43472.656819097203</v>
      </c>
      <c r="AY96" s="229">
        <v>43461.633895370403</v>
      </c>
      <c r="AZ96" s="238">
        <v>43481.630462847199</v>
      </c>
      <c r="BA96" s="1" t="s">
        <v>7684</v>
      </c>
      <c r="BB96">
        <v>130</v>
      </c>
      <c r="BC96">
        <v>45</v>
      </c>
      <c r="BD96">
        <v>3101</v>
      </c>
      <c r="BE9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20.630462847198942</v>
      </c>
      <c r="BF96" s="240">
        <f>COUNTIFS(_05preva_view43[Site ID],_05preva_view43[[#This Row],[Site ID]],_05preva_view43[Prevalidation Status],"Under Prevalidation")</f>
        <v>0</v>
      </c>
      <c r="BG9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6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3.xlsx</v>
      </c>
      <c r="BI96" s="64" t="e">
        <f t="shared" ca="1" si="2"/>
        <v>#VALUE!</v>
      </c>
      <c r="BJ96" s="104" t="e">
        <f ca="1">LEFT(CELL("filename",A81),_05preva_view43[[#This Row],[Find Process &amp; Database]]-1)</f>
        <v>#VALUE!</v>
      </c>
      <c r="BK96" s="104" t="e">
        <f ca="1">_05preva_view43[Folder Path1]&amp;"Process &amp; Database\Documentation\Colo Applications"</f>
        <v>#VALUE!</v>
      </c>
      <c r="BL96" s="104" t="e">
        <f ca="1">_05preva_view43[Folder Path2]&amp;"\Colo App "&amp;_05preva_view43[[#This Row],[Operator]]&amp;"\"</f>
        <v>#VALUE!</v>
      </c>
      <c r="BM96" s="63" t="e">
        <f ca="1">_05preva_view43[[#This Row],[Folder Path3]]&amp;_05preva_view43[[#This Row],[File Name]]</f>
        <v>#VALUE!</v>
      </c>
      <c r="BN96" s="104"/>
      <c r="CF96" s="5"/>
      <c r="CG96" s="5"/>
      <c r="CH96" s="3"/>
      <c r="CJ96" s="5"/>
      <c r="CN96" s="3"/>
      <c r="CO96" s="3"/>
      <c r="CP96" s="5"/>
      <c r="CR96" s="3"/>
      <c r="DN96" s="5"/>
      <c r="DP96" s="3"/>
      <c r="EB96" s="7"/>
      <c r="EC96" s="7"/>
      <c r="EF96" s="4"/>
      <c r="EG96" s="4"/>
      <c r="EQ96" s="2"/>
      <c r="ER96" s="2"/>
    </row>
    <row r="97" spans="1:148">
      <c r="A97" s="227">
        <v>3542</v>
      </c>
      <c r="B97" s="228" t="s">
        <v>1345</v>
      </c>
      <c r="C97" s="228" t="s">
        <v>278</v>
      </c>
      <c r="D97" s="228" t="s">
        <v>153</v>
      </c>
      <c r="E97" s="228" t="s">
        <v>1346</v>
      </c>
      <c r="F97" s="228" t="s">
        <v>34</v>
      </c>
      <c r="G97" s="228" t="s">
        <v>1291</v>
      </c>
      <c r="H97" s="228" t="s">
        <v>1285</v>
      </c>
      <c r="I97" s="228" t="s">
        <v>1227</v>
      </c>
      <c r="J97" s="228" t="s">
        <v>686</v>
      </c>
      <c r="K97" s="229">
        <v>43461</v>
      </c>
      <c r="L97" s="230"/>
      <c r="M97" s="230"/>
      <c r="N97" s="228">
        <v>4.6399999999999997</v>
      </c>
      <c r="O97" s="228" t="s">
        <v>687</v>
      </c>
      <c r="P97" s="231" t="s">
        <v>508</v>
      </c>
      <c r="Q97" s="231" t="s">
        <v>509</v>
      </c>
      <c r="R97" s="228" t="s">
        <v>24</v>
      </c>
      <c r="S97" s="228"/>
      <c r="T97" s="232" t="s">
        <v>615</v>
      </c>
      <c r="U97" s="228"/>
      <c r="V97" s="232" t="s">
        <v>615</v>
      </c>
      <c r="W97" s="228"/>
      <c r="X97" s="232" t="s">
        <v>120</v>
      </c>
      <c r="Y97" s="228" t="s">
        <v>1347</v>
      </c>
      <c r="Z97" s="233" t="s">
        <v>120</v>
      </c>
      <c r="AA97" s="234"/>
      <c r="AB97" s="234"/>
      <c r="AC97" s="235" t="s">
        <v>123</v>
      </c>
      <c r="AD97" s="228" t="s">
        <v>1492</v>
      </c>
      <c r="AE97" s="232" t="s">
        <v>615</v>
      </c>
      <c r="AF97" s="229"/>
      <c r="AG97" s="236"/>
      <c r="AH97" s="236"/>
      <c r="AI97" s="228"/>
      <c r="AJ97" s="232" t="s">
        <v>615</v>
      </c>
      <c r="AK97" s="228"/>
      <c r="AL97" s="228"/>
      <c r="AM97" s="232" t="s">
        <v>615</v>
      </c>
      <c r="AN97" s="228"/>
      <c r="AO97" s="228" t="s">
        <v>615</v>
      </c>
      <c r="AP97" s="237"/>
      <c r="AQ97" s="228"/>
      <c r="AR97" s="232" t="s">
        <v>120</v>
      </c>
      <c r="AS97" s="228"/>
      <c r="AT97" s="229">
        <v>43461.702668749997</v>
      </c>
      <c r="AU97" s="229"/>
      <c r="AV97" s="229">
        <v>43472.675091666701</v>
      </c>
      <c r="AW97" s="229"/>
      <c r="AX97" s="229"/>
      <c r="AY97" s="229"/>
      <c r="AZ97" s="238">
        <v>43472.675091666701</v>
      </c>
      <c r="BA97" s="1" t="s">
        <v>7684</v>
      </c>
      <c r="BB97">
        <v>195</v>
      </c>
      <c r="BC97">
        <v>45</v>
      </c>
      <c r="BD97">
        <v>3355</v>
      </c>
      <c r="BE9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11.675091666700609</v>
      </c>
      <c r="BF97" s="240">
        <f>COUNTIFS(_05preva_view43[Site ID],_05preva_view43[[#This Row],[Site ID]],_05preva_view43[Prevalidation Status],"Under Prevalidation")</f>
        <v>0</v>
      </c>
      <c r="BG9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7" s="242" t="str">
        <f>CONCATENATE(_05preva_view43[[#This Row],[Site ID]]," (",_05preva_view43[[#This Row],[tenant id]],") Application",IF(_05preva_view43[[#This Row],[Colo Rev]]&gt;0," Rev "&amp;_05preva_view43[[#This Row],[Colo Rev]],""),".xlsx")</f>
        <v>1-01-17008-014 (AYY0016) Application Rev 2.xlsx</v>
      </c>
      <c r="BI97" s="64" t="e">
        <f t="shared" ca="1" si="2"/>
        <v>#VALUE!</v>
      </c>
      <c r="BJ97" s="104" t="e">
        <f ca="1">LEFT(CELL("filename",A82),_05preva_view43[[#This Row],[Find Process &amp; Database]]-1)</f>
        <v>#VALUE!</v>
      </c>
      <c r="BK97" s="104" t="e">
        <f ca="1">_05preva_view43[Folder Path1]&amp;"Process &amp; Database\Documentation\Colo Applications"</f>
        <v>#VALUE!</v>
      </c>
      <c r="BL97" s="104" t="e">
        <f ca="1">_05preva_view43[Folder Path2]&amp;"\Colo App "&amp;_05preva_view43[[#This Row],[Operator]]&amp;"\"</f>
        <v>#VALUE!</v>
      </c>
      <c r="BM97" s="63" t="e">
        <f ca="1">_05preva_view43[[#This Row],[Folder Path3]]&amp;_05preva_view43[[#This Row],[File Name]]</f>
        <v>#VALUE!</v>
      </c>
      <c r="BN97" s="104"/>
      <c r="CF97" s="5"/>
      <c r="CG97" s="5"/>
      <c r="CH97" s="3"/>
      <c r="CJ97" s="5"/>
      <c r="CN97" s="3"/>
      <c r="CO97" s="3"/>
      <c r="CP97" s="5"/>
      <c r="CR97" s="3"/>
      <c r="DN97" s="5"/>
      <c r="DP97" s="3"/>
      <c r="EB97" s="7"/>
      <c r="EC97" s="7"/>
      <c r="EF97" s="4"/>
      <c r="EG97" s="4"/>
      <c r="EQ97" s="2"/>
      <c r="ER97" s="2"/>
    </row>
    <row r="98" spans="1:148">
      <c r="A98" s="227">
        <v>3543</v>
      </c>
      <c r="B98" s="228" t="s">
        <v>1348</v>
      </c>
      <c r="C98" s="228" t="s">
        <v>278</v>
      </c>
      <c r="D98" s="228" t="s">
        <v>153</v>
      </c>
      <c r="E98" s="228" t="s">
        <v>1349</v>
      </c>
      <c r="F98" s="228" t="s">
        <v>34</v>
      </c>
      <c r="G98" s="228" t="s">
        <v>1291</v>
      </c>
      <c r="H98" s="228" t="s">
        <v>1285</v>
      </c>
      <c r="I98" s="228" t="s">
        <v>1227</v>
      </c>
      <c r="J98" s="228" t="s">
        <v>686</v>
      </c>
      <c r="K98" s="229">
        <v>43461</v>
      </c>
      <c r="L98" s="230">
        <v>1.6</v>
      </c>
      <c r="M98" s="230">
        <v>1.8</v>
      </c>
      <c r="N98" s="228">
        <v>4.92</v>
      </c>
      <c r="O98" s="228" t="s">
        <v>687</v>
      </c>
      <c r="P98" s="231" t="s">
        <v>765</v>
      </c>
      <c r="Q98" s="231" t="s">
        <v>766</v>
      </c>
      <c r="R98" s="228" t="s">
        <v>24</v>
      </c>
      <c r="S98" s="228"/>
      <c r="T98" s="232" t="s">
        <v>615</v>
      </c>
      <c r="U98" s="228"/>
      <c r="V98" s="232" t="s">
        <v>615</v>
      </c>
      <c r="W98" s="228"/>
      <c r="X98" s="232" t="s">
        <v>120</v>
      </c>
      <c r="Y98" s="228" t="s">
        <v>1350</v>
      </c>
      <c r="Z98" s="233" t="s">
        <v>120</v>
      </c>
      <c r="AA98" s="234"/>
      <c r="AB98" s="234"/>
      <c r="AC98" s="235" t="s">
        <v>123</v>
      </c>
      <c r="AD98" s="228" t="s">
        <v>1493</v>
      </c>
      <c r="AE98" s="232" t="s">
        <v>615</v>
      </c>
      <c r="AF98" s="229"/>
      <c r="AG98" s="236"/>
      <c r="AH98" s="236"/>
      <c r="AI98" s="228"/>
      <c r="AJ98" s="232" t="s">
        <v>615</v>
      </c>
      <c r="AK98" s="228"/>
      <c r="AL98" s="228"/>
      <c r="AM98" s="232" t="s">
        <v>615</v>
      </c>
      <c r="AN98" s="228"/>
      <c r="AO98" s="228" t="s">
        <v>615</v>
      </c>
      <c r="AP98" s="237"/>
      <c r="AQ98" s="228"/>
      <c r="AR98" s="232" t="s">
        <v>120</v>
      </c>
      <c r="AS98" s="228"/>
      <c r="AT98" s="229">
        <v>43461.702670023202</v>
      </c>
      <c r="AU98" s="229"/>
      <c r="AV98" s="229">
        <v>43472.675092245401</v>
      </c>
      <c r="AW98" s="229"/>
      <c r="AX98" s="229"/>
      <c r="AY98" s="229"/>
      <c r="AZ98" s="238">
        <v>43472.675092245401</v>
      </c>
      <c r="BA98" s="1" t="s">
        <v>7684</v>
      </c>
      <c r="BB98">
        <v>195</v>
      </c>
      <c r="BC98">
        <v>60</v>
      </c>
      <c r="BD98">
        <v>2761</v>
      </c>
      <c r="BE9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11.675092245401174</v>
      </c>
      <c r="BF98" s="240">
        <f>COUNTIFS(_05preva_view43[Site ID],_05preva_view43[[#This Row],[Site ID]],_05preva_view43[Prevalidation Status],"Under Prevalidation")</f>
        <v>0</v>
      </c>
      <c r="BG9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8" s="242" t="str">
        <f>CONCATENATE(_05preva_view43[[#This Row],[Site ID]]," (",_05preva_view43[[#This Row],[tenant id]],") Application",IF(_05preva_view43[[#This Row],[Colo Rev]]&gt;0," Rev "&amp;_05preva_view43[[#This Row],[Colo Rev]],""),".xlsx")</f>
        <v>1-01-17019-006 (AYY0333) Application Rev 2.xlsx</v>
      </c>
      <c r="BI98" s="64" t="e">
        <f t="shared" ca="1" si="2"/>
        <v>#VALUE!</v>
      </c>
      <c r="BJ98" s="104" t="e">
        <f ca="1">LEFT(CELL("filename",A83),_05preva_view43[[#This Row],[Find Process &amp; Database]]-1)</f>
        <v>#VALUE!</v>
      </c>
      <c r="BK98" s="104" t="e">
        <f ca="1">_05preva_view43[Folder Path1]&amp;"Process &amp; Database\Documentation\Colo Applications"</f>
        <v>#VALUE!</v>
      </c>
      <c r="BL98" s="104" t="e">
        <f ca="1">_05preva_view43[Folder Path2]&amp;"\Colo App "&amp;_05preva_view43[[#This Row],[Operator]]&amp;"\"</f>
        <v>#VALUE!</v>
      </c>
      <c r="BM98" s="63" t="e">
        <f ca="1">_05preva_view43[[#This Row],[Folder Path3]]&amp;_05preva_view43[[#This Row],[File Name]]</f>
        <v>#VALUE!</v>
      </c>
      <c r="BN98" s="104"/>
      <c r="CF98" s="5"/>
      <c r="CG98" s="5"/>
      <c r="CH98" s="3"/>
      <c r="CJ98" s="5"/>
      <c r="CN98" s="3"/>
      <c r="CO98" s="3"/>
      <c r="CP98" s="5"/>
      <c r="CR98" s="3"/>
      <c r="DN98" s="5"/>
      <c r="DP98" s="3"/>
      <c r="EB98" s="7"/>
      <c r="EC98" s="7"/>
      <c r="EF98" s="4"/>
      <c r="EG98" s="4"/>
      <c r="EQ98" s="2"/>
      <c r="ER98" s="2"/>
    </row>
    <row r="99" spans="1:148">
      <c r="A99" s="227">
        <v>3544</v>
      </c>
      <c r="B99" s="228" t="s">
        <v>1351</v>
      </c>
      <c r="C99" s="228" t="s">
        <v>278</v>
      </c>
      <c r="D99" s="228" t="s">
        <v>127</v>
      </c>
      <c r="E99" s="228" t="s">
        <v>1352</v>
      </c>
      <c r="F99" s="228" t="s">
        <v>34</v>
      </c>
      <c r="G99" s="228" t="s">
        <v>1291</v>
      </c>
      <c r="H99" s="228" t="s">
        <v>1285</v>
      </c>
      <c r="I99" s="228" t="s">
        <v>1227</v>
      </c>
      <c r="J99" s="228" t="s">
        <v>686</v>
      </c>
      <c r="K99" s="229">
        <v>43461</v>
      </c>
      <c r="L99" s="230">
        <v>1.5</v>
      </c>
      <c r="M99" s="230">
        <v>1.7</v>
      </c>
      <c r="N99" s="228">
        <v>4.07</v>
      </c>
      <c r="O99" s="228" t="s">
        <v>687</v>
      </c>
      <c r="P99" s="231" t="s">
        <v>508</v>
      </c>
      <c r="Q99" s="231" t="s">
        <v>509</v>
      </c>
      <c r="R99" s="228" t="s">
        <v>24</v>
      </c>
      <c r="S99" s="228"/>
      <c r="T99" s="232" t="s">
        <v>615</v>
      </c>
      <c r="U99" s="228"/>
      <c r="V99" s="232" t="s">
        <v>615</v>
      </c>
      <c r="W99" s="228"/>
      <c r="X99" s="232" t="s">
        <v>120</v>
      </c>
      <c r="Y99" s="228" t="s">
        <v>1353</v>
      </c>
      <c r="Z99" s="233" t="s">
        <v>120</v>
      </c>
      <c r="AA99" s="234"/>
      <c r="AB99" s="234"/>
      <c r="AC99" s="235" t="s">
        <v>123</v>
      </c>
      <c r="AD99" s="228" t="s">
        <v>1494</v>
      </c>
      <c r="AE99" s="232" t="s">
        <v>615</v>
      </c>
      <c r="AF99" s="229"/>
      <c r="AG99" s="236"/>
      <c r="AH99" s="236"/>
      <c r="AI99" s="228"/>
      <c r="AJ99" s="232" t="s">
        <v>615</v>
      </c>
      <c r="AK99" s="228"/>
      <c r="AL99" s="228"/>
      <c r="AM99" s="232" t="s">
        <v>615</v>
      </c>
      <c r="AN99" s="228"/>
      <c r="AO99" s="228" t="s">
        <v>615</v>
      </c>
      <c r="AP99" s="237"/>
      <c r="AQ99" s="228"/>
      <c r="AR99" s="232" t="s">
        <v>120</v>
      </c>
      <c r="AS99" s="228"/>
      <c r="AT99" s="229">
        <v>43461.702671064799</v>
      </c>
      <c r="AU99" s="229"/>
      <c r="AV99" s="229">
        <v>43472.510648379597</v>
      </c>
      <c r="AW99" s="229"/>
      <c r="AX99" s="229"/>
      <c r="AY99" s="229"/>
      <c r="AZ99" s="238">
        <v>43472.510648379597</v>
      </c>
      <c r="BA99" s="1" t="s">
        <v>7684</v>
      </c>
      <c r="BB99">
        <v>130</v>
      </c>
      <c r="BC99">
        <v>45</v>
      </c>
      <c r="BD99">
        <v>2826</v>
      </c>
      <c r="BE9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11.510648379597114</v>
      </c>
      <c r="BF99" s="240">
        <f>COUNTIFS(_05preva_view43[Site ID],_05preva_view43[[#This Row],[Site ID]],_05preva_view43[Prevalidation Status],"Under Prevalidation")</f>
        <v>0</v>
      </c>
      <c r="BG9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99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1-01-01008-016 (KCN0033) Application Rev 2.xlsx</v>
      </c>
      <c r="BI99" s="64" t="e">
        <f t="shared" ca="1" si="2"/>
        <v>#VALUE!</v>
      </c>
      <c r="BJ99" s="104" t="e">
        <f ca="1">LEFT(CELL("filename",A84),_05preva_view43[[#This Row],[Find Process &amp; Database]]-1)</f>
        <v>#VALUE!</v>
      </c>
      <c r="BK99" s="104" t="e">
        <f ca="1">_05preva_view43[Folder Path1]&amp;"Process &amp; Database\Documentation\Colo Applications"</f>
        <v>#VALUE!</v>
      </c>
      <c r="BL99" s="104" t="e">
        <f ca="1">_05preva_view43[Folder Path2]&amp;"\Colo App "&amp;_05preva_view43[[#This Row],[Operator]]&amp;"\"</f>
        <v>#VALUE!</v>
      </c>
      <c r="BM99" s="63" t="e">
        <f ca="1">_05preva_view43[[#This Row],[Folder Path3]]&amp;_05preva_view43[[#This Row],[File Name]]</f>
        <v>#VALUE!</v>
      </c>
      <c r="BN99" s="104"/>
      <c r="CF99" s="5"/>
      <c r="CG99" s="5"/>
      <c r="CH99" s="3"/>
      <c r="CJ99" s="5"/>
      <c r="CN99" s="3"/>
      <c r="CO99" s="3"/>
      <c r="CP99" s="5"/>
      <c r="CR99" s="3"/>
      <c r="DN99" s="5"/>
      <c r="DP99" s="3"/>
      <c r="EB99" s="7"/>
      <c r="EC99" s="7"/>
      <c r="EF99" s="4"/>
      <c r="EG99" s="4"/>
      <c r="EQ99" s="2"/>
      <c r="ER99" s="2"/>
    </row>
    <row r="100" spans="1:148">
      <c r="A100" s="227">
        <v>3545</v>
      </c>
      <c r="B100" s="228" t="s">
        <v>1354</v>
      </c>
      <c r="C100" s="228" t="s">
        <v>278</v>
      </c>
      <c r="D100" s="228" t="s">
        <v>127</v>
      </c>
      <c r="E100" s="228" t="s">
        <v>1355</v>
      </c>
      <c r="F100" s="228" t="s">
        <v>34</v>
      </c>
      <c r="G100" s="228" t="s">
        <v>1291</v>
      </c>
      <c r="H100" s="228" t="s">
        <v>1285</v>
      </c>
      <c r="I100" s="228" t="s">
        <v>1227</v>
      </c>
      <c r="J100" s="228" t="s">
        <v>686</v>
      </c>
      <c r="K100" s="229">
        <v>43461</v>
      </c>
      <c r="L100" s="230">
        <v>1.6</v>
      </c>
      <c r="M100" s="230">
        <v>1.8</v>
      </c>
      <c r="N100" s="228">
        <v>4.99</v>
      </c>
      <c r="O100" s="228" t="s">
        <v>687</v>
      </c>
      <c r="P100" s="231" t="s">
        <v>508</v>
      </c>
      <c r="Q100" s="231" t="s">
        <v>509</v>
      </c>
      <c r="R100" s="228" t="s">
        <v>24</v>
      </c>
      <c r="S100" s="228"/>
      <c r="T100" s="232" t="s">
        <v>615</v>
      </c>
      <c r="U100" s="228"/>
      <c r="V100" s="232" t="s">
        <v>615</v>
      </c>
      <c r="W100" s="228"/>
      <c r="X100" s="232" t="s">
        <v>120</v>
      </c>
      <c r="Y100" s="228" t="s">
        <v>1356</v>
      </c>
      <c r="Z100" s="233" t="s">
        <v>120</v>
      </c>
      <c r="AA100" s="234"/>
      <c r="AB100" s="234"/>
      <c r="AC100" s="235" t="s">
        <v>123</v>
      </c>
      <c r="AD100" s="228" t="s">
        <v>1541</v>
      </c>
      <c r="AE100" s="232" t="s">
        <v>615</v>
      </c>
      <c r="AF100" s="229"/>
      <c r="AG100" s="236"/>
      <c r="AH100" s="236"/>
      <c r="AI100" s="228"/>
      <c r="AJ100" s="232" t="s">
        <v>615</v>
      </c>
      <c r="AK100" s="228"/>
      <c r="AL100" s="228"/>
      <c r="AM100" s="232" t="s">
        <v>615</v>
      </c>
      <c r="AN100" s="228"/>
      <c r="AO100" s="228" t="s">
        <v>615</v>
      </c>
      <c r="AP100" s="237"/>
      <c r="AQ100" s="228"/>
      <c r="AR100" s="232" t="s">
        <v>120</v>
      </c>
      <c r="AS100" s="228"/>
      <c r="AT100" s="229">
        <v>43461.702671759303</v>
      </c>
      <c r="AU100" s="229"/>
      <c r="AV100" s="229">
        <v>43473.657833333302</v>
      </c>
      <c r="AW100" s="229"/>
      <c r="AX100" s="229"/>
      <c r="AY100" s="229"/>
      <c r="AZ100" s="238">
        <v>43473.657833333302</v>
      </c>
      <c r="BA100" s="1" t="s">
        <v>7684</v>
      </c>
      <c r="BB100">
        <v>130</v>
      </c>
      <c r="BC100">
        <v>45</v>
      </c>
      <c r="BD100">
        <v>3489</v>
      </c>
      <c r="BE10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12.657833333301824</v>
      </c>
      <c r="BF100" s="240">
        <f>COUNTIFS(_05preva_view43[Site ID],_05preva_view43[[#This Row],[Site ID]],_05preva_view43[Prevalidation Status],"Under Prevalidation")</f>
        <v>0</v>
      </c>
      <c r="BG10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0" s="242" t="str">
        <f>CONCATENATE(_05preva_view43[[#This Row],[Site ID]]," (",_05preva_view43[[#This Row],[tenant id]],") Application",IF(_05preva_view43[[#This Row],[Colo Rev]]&gt;0," Rev "&amp;_05preva_view43[[#This Row],[Colo Rev]],""),".xlsx")</f>
        <v>1-01-10030-007 (MDY0162) Application Rev 2.xlsx</v>
      </c>
      <c r="BI100" s="64" t="e">
        <f t="shared" ca="1" si="2"/>
        <v>#VALUE!</v>
      </c>
      <c r="BJ100" s="104" t="e">
        <f ca="1">LEFT(CELL("filename",A85),_05preva_view43[[#This Row],[Find Process &amp; Database]]-1)</f>
        <v>#VALUE!</v>
      </c>
      <c r="BK100" s="104" t="e">
        <f ca="1">_05preva_view43[Folder Path1]&amp;"Process &amp; Database\Documentation\Colo Applications"</f>
        <v>#VALUE!</v>
      </c>
      <c r="BL100" s="104" t="e">
        <f ca="1">_05preva_view43[Folder Path2]&amp;"\Colo App "&amp;_05preva_view43[[#This Row],[Operator]]&amp;"\"</f>
        <v>#VALUE!</v>
      </c>
      <c r="BM100" s="63" t="e">
        <f ca="1">_05preva_view43[[#This Row],[Folder Path3]]&amp;_05preva_view43[[#This Row],[File Name]]</f>
        <v>#VALUE!</v>
      </c>
      <c r="BN100" s="104"/>
      <c r="CF100" s="5"/>
      <c r="CG100" s="5"/>
      <c r="CH100" s="3"/>
      <c r="CJ100" s="5"/>
      <c r="CN100" s="3"/>
      <c r="CO100" s="3"/>
      <c r="CP100" s="5"/>
      <c r="CR100" s="3"/>
      <c r="DN100" s="5"/>
      <c r="DP100" s="3"/>
      <c r="EB100" s="7"/>
      <c r="EC100" s="7"/>
      <c r="EF100" s="4"/>
      <c r="EG100" s="4"/>
      <c r="EQ100" s="2"/>
      <c r="ER100" s="2"/>
    </row>
    <row r="101" spans="1:148">
      <c r="A101" s="227">
        <v>3546</v>
      </c>
      <c r="B101" s="228" t="s">
        <v>1357</v>
      </c>
      <c r="C101" s="228" t="s">
        <v>278</v>
      </c>
      <c r="D101" s="228" t="s">
        <v>127</v>
      </c>
      <c r="E101" s="228" t="s">
        <v>1358</v>
      </c>
      <c r="F101" s="228" t="s">
        <v>34</v>
      </c>
      <c r="G101" s="228" t="s">
        <v>1291</v>
      </c>
      <c r="H101" s="228" t="s">
        <v>1285</v>
      </c>
      <c r="I101" s="228" t="s">
        <v>1227</v>
      </c>
      <c r="J101" s="228" t="s">
        <v>686</v>
      </c>
      <c r="K101" s="229">
        <v>43461</v>
      </c>
      <c r="L101" s="230">
        <v>1.6</v>
      </c>
      <c r="M101" s="230">
        <v>1.7</v>
      </c>
      <c r="N101" s="228">
        <v>4.3600000000000003</v>
      </c>
      <c r="O101" s="228" t="s">
        <v>687</v>
      </c>
      <c r="P101" s="231" t="s">
        <v>1095</v>
      </c>
      <c r="Q101" s="231" t="s">
        <v>858</v>
      </c>
      <c r="R101" s="228" t="s">
        <v>24</v>
      </c>
      <c r="S101" s="228"/>
      <c r="T101" s="232" t="s">
        <v>615</v>
      </c>
      <c r="U101" s="228"/>
      <c r="V101" s="232" t="s">
        <v>615</v>
      </c>
      <c r="W101" s="228"/>
      <c r="X101" s="232" t="s">
        <v>120</v>
      </c>
      <c r="Y101" s="228" t="s">
        <v>1359</v>
      </c>
      <c r="Z101" s="233" t="s">
        <v>120</v>
      </c>
      <c r="AA101" s="234"/>
      <c r="AB101" s="234"/>
      <c r="AC101" s="235" t="s">
        <v>123</v>
      </c>
      <c r="AD101" s="228" t="s">
        <v>1542</v>
      </c>
      <c r="AE101" s="232" t="s">
        <v>615</v>
      </c>
      <c r="AF101" s="229"/>
      <c r="AG101" s="236"/>
      <c r="AH101" s="236"/>
      <c r="AI101" s="228"/>
      <c r="AJ101" s="232" t="s">
        <v>615</v>
      </c>
      <c r="AK101" s="228"/>
      <c r="AL101" s="228"/>
      <c r="AM101" s="232" t="s">
        <v>615</v>
      </c>
      <c r="AN101" s="228"/>
      <c r="AO101" s="228" t="s">
        <v>615</v>
      </c>
      <c r="AP101" s="237"/>
      <c r="AQ101" s="228"/>
      <c r="AR101" s="232" t="s">
        <v>120</v>
      </c>
      <c r="AS101" s="228"/>
      <c r="AT101" s="229">
        <v>43461.702673148102</v>
      </c>
      <c r="AU101" s="229"/>
      <c r="AV101" s="229">
        <v>43474.469203240697</v>
      </c>
      <c r="AW101" s="229"/>
      <c r="AX101" s="229"/>
      <c r="AY101" s="229"/>
      <c r="AZ101" s="238">
        <v>43474.469203240697</v>
      </c>
      <c r="BA101" s="1" t="s">
        <v>7684</v>
      </c>
      <c r="BB101">
        <v>130</v>
      </c>
      <c r="BC101">
        <v>60</v>
      </c>
      <c r="BD101">
        <v>3517</v>
      </c>
      <c r="BE10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13.469203240696515</v>
      </c>
      <c r="BF101" s="240">
        <f>COUNTIFS(_05preva_view43[Site ID],_05preva_view43[[#This Row],[Site ID]],_05preva_view43[Prevalidation Status],"Under Prevalidation")</f>
        <v>0</v>
      </c>
      <c r="BG10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1" s="242" t="str">
        <f>CONCATENATE(_05preva_view43[[#This Row],[Site ID]]," (",_05preva_view43[[#This Row],[tenant id]],") Application",IF(_05preva_view43[[#This Row],[Colo Rev]]&gt;0," Rev "&amp;_05preva_view43[[#This Row],[Colo Rev]],""),".xlsx")</f>
        <v>1-01-10024-004 (MDY0379) Application Rev 2.xlsx</v>
      </c>
      <c r="BI101" s="64" t="e">
        <f t="shared" ca="1" si="2"/>
        <v>#VALUE!</v>
      </c>
      <c r="BJ101" s="104" t="e">
        <f ca="1">LEFT(CELL("filename",A86),_05preva_view43[[#This Row],[Find Process &amp; Database]]-1)</f>
        <v>#VALUE!</v>
      </c>
      <c r="BK101" s="104" t="e">
        <f ca="1">_05preva_view43[Folder Path1]&amp;"Process &amp; Database\Documentation\Colo Applications"</f>
        <v>#VALUE!</v>
      </c>
      <c r="BL101" s="104" t="e">
        <f ca="1">_05preva_view43[Folder Path2]&amp;"\Colo App "&amp;_05preva_view43[[#This Row],[Operator]]&amp;"\"</f>
        <v>#VALUE!</v>
      </c>
      <c r="BM101" s="63" t="e">
        <f ca="1">_05preva_view43[[#This Row],[Folder Path3]]&amp;_05preva_view43[[#This Row],[File Name]]</f>
        <v>#VALUE!</v>
      </c>
      <c r="BN101" s="104"/>
      <c r="CF101" s="5"/>
      <c r="CG101" s="5"/>
      <c r="CH101" s="3"/>
      <c r="CJ101" s="5"/>
      <c r="CN101" s="3"/>
      <c r="CO101" s="3"/>
      <c r="CP101" s="5"/>
      <c r="CR101" s="3"/>
      <c r="DN101" s="5"/>
      <c r="DP101" s="3"/>
      <c r="EB101" s="7"/>
      <c r="EC101" s="7"/>
      <c r="EF101" s="4"/>
      <c r="EG101" s="4"/>
      <c r="EQ101" s="2"/>
      <c r="ER101" s="2"/>
    </row>
    <row r="102" spans="1:148">
      <c r="A102" s="227">
        <v>3547</v>
      </c>
      <c r="B102" s="228" t="s">
        <v>1360</v>
      </c>
      <c r="C102" s="228" t="s">
        <v>278</v>
      </c>
      <c r="D102" s="228" t="s">
        <v>127</v>
      </c>
      <c r="E102" s="228" t="s">
        <v>1361</v>
      </c>
      <c r="F102" s="228" t="s">
        <v>34</v>
      </c>
      <c r="G102" s="228" t="s">
        <v>118</v>
      </c>
      <c r="H102" s="228" t="s">
        <v>1328</v>
      </c>
      <c r="I102" s="228" t="s">
        <v>970</v>
      </c>
      <c r="J102" s="228" t="s">
        <v>668</v>
      </c>
      <c r="K102" s="229">
        <v>43461</v>
      </c>
      <c r="L102" s="230">
        <v>2</v>
      </c>
      <c r="M102" s="230">
        <v>2</v>
      </c>
      <c r="N102" s="228">
        <v>6</v>
      </c>
      <c r="O102" s="228" t="s">
        <v>687</v>
      </c>
      <c r="P102" s="231" t="s">
        <v>240</v>
      </c>
      <c r="Q102" s="231" t="s">
        <v>241</v>
      </c>
      <c r="R102" s="228" t="s">
        <v>24</v>
      </c>
      <c r="S102" s="228"/>
      <c r="T102" s="232" t="s">
        <v>615</v>
      </c>
      <c r="U102" s="228"/>
      <c r="V102" s="232" t="s">
        <v>615</v>
      </c>
      <c r="W102" s="228"/>
      <c r="X102" s="232" t="s">
        <v>615</v>
      </c>
      <c r="Y102" s="228"/>
      <c r="Z102" s="233" t="s">
        <v>615</v>
      </c>
      <c r="AA102" s="234"/>
      <c r="AB102" s="234"/>
      <c r="AC102" s="235"/>
      <c r="AD102" s="228"/>
      <c r="AE102" s="232" t="s">
        <v>120</v>
      </c>
      <c r="AF102" s="229" t="s">
        <v>1713</v>
      </c>
      <c r="AG102" s="236"/>
      <c r="AH102" s="236"/>
      <c r="AI102" s="228" t="s">
        <v>1714</v>
      </c>
      <c r="AJ102" s="232" t="s">
        <v>615</v>
      </c>
      <c r="AK102" s="228"/>
      <c r="AL102" s="228"/>
      <c r="AM102" s="232" t="s">
        <v>615</v>
      </c>
      <c r="AN102" s="228"/>
      <c r="AO102" s="228" t="s">
        <v>615</v>
      </c>
      <c r="AP102" s="237"/>
      <c r="AQ102" s="228"/>
      <c r="AR102" s="232" t="s">
        <v>120</v>
      </c>
      <c r="AS102" s="228"/>
      <c r="AT102" s="229"/>
      <c r="AU102" s="229">
        <v>43479.735448148102</v>
      </c>
      <c r="AV102" s="229"/>
      <c r="AW102" s="229"/>
      <c r="AX102" s="229"/>
      <c r="AY102" s="229"/>
      <c r="AZ102" s="238">
        <v>43480.463188888898</v>
      </c>
      <c r="BA102" s="1" t="s">
        <v>7684</v>
      </c>
      <c r="BB102">
        <v>130</v>
      </c>
      <c r="BC102">
        <v>45</v>
      </c>
      <c r="BD102">
        <v>3439</v>
      </c>
      <c r="BE10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19.463188888898003</v>
      </c>
      <c r="BF102" s="240">
        <f>COUNTIFS(_05preva_view43[Site ID],_05preva_view43[[#This Row],[Site ID]],_05preva_view43[Prevalidation Status],"Under Prevalidation")</f>
        <v>0</v>
      </c>
      <c r="BG10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2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1-01-01001-018 (KCN0063) Application Rev 1.xlsx</v>
      </c>
      <c r="BI102" s="64" t="e">
        <f t="shared" ca="1" si="2"/>
        <v>#VALUE!</v>
      </c>
      <c r="BJ102" s="104" t="e">
        <f ca="1">LEFT(CELL("filename",A87),_05preva_view43[[#This Row],[Find Process &amp; Database]]-1)</f>
        <v>#VALUE!</v>
      </c>
      <c r="BK102" s="104" t="e">
        <f ca="1">_05preva_view43[Folder Path1]&amp;"Process &amp; Database\Documentation\Colo Applications"</f>
        <v>#VALUE!</v>
      </c>
      <c r="BL102" s="104" t="e">
        <f ca="1">_05preva_view43[Folder Path2]&amp;"\Colo App "&amp;_05preva_view43[[#This Row],[Operator]]&amp;"\"</f>
        <v>#VALUE!</v>
      </c>
      <c r="BM102" s="63" t="e">
        <f ca="1">_05preva_view43[[#This Row],[Folder Path3]]&amp;_05preva_view43[[#This Row],[File Name]]</f>
        <v>#VALUE!</v>
      </c>
      <c r="BN102" s="104"/>
      <c r="CF102" s="5"/>
      <c r="CG102" s="5"/>
      <c r="CH102" s="3"/>
      <c r="CJ102" s="5"/>
      <c r="CN102" s="3"/>
      <c r="CO102" s="3"/>
      <c r="CP102" s="5"/>
      <c r="CR102" s="3"/>
      <c r="DN102" s="5"/>
      <c r="DP102" s="3"/>
      <c r="EB102" s="7"/>
      <c r="EC102" s="7"/>
      <c r="EF102" s="4"/>
      <c r="EG102" s="4"/>
      <c r="EQ102" s="2"/>
      <c r="ER102" s="2"/>
    </row>
    <row r="103" spans="1:148">
      <c r="A103" s="227">
        <v>3528</v>
      </c>
      <c r="B103" s="228" t="s">
        <v>1362</v>
      </c>
      <c r="C103" s="228" t="s">
        <v>116</v>
      </c>
      <c r="D103" s="228" t="s">
        <v>117</v>
      </c>
      <c r="E103" s="228" t="s">
        <v>1363</v>
      </c>
      <c r="F103" s="228" t="s">
        <v>35</v>
      </c>
      <c r="G103" s="228" t="s">
        <v>1287</v>
      </c>
      <c r="H103" s="228" t="s">
        <v>1285</v>
      </c>
      <c r="I103" s="228" t="s">
        <v>790</v>
      </c>
      <c r="J103" s="228" t="s">
        <v>686</v>
      </c>
      <c r="K103" s="229">
        <v>43460</v>
      </c>
      <c r="L103" s="230">
        <v>2.3050000000000002</v>
      </c>
      <c r="M103" s="230">
        <v>4.07</v>
      </c>
      <c r="N103" s="228">
        <v>6.81</v>
      </c>
      <c r="O103" s="228" t="s">
        <v>119</v>
      </c>
      <c r="P103" s="231" t="s">
        <v>280</v>
      </c>
      <c r="Q103" s="231" t="s">
        <v>281</v>
      </c>
      <c r="R103" s="228" t="s">
        <v>24</v>
      </c>
      <c r="S103" s="228"/>
      <c r="T103" s="232" t="s">
        <v>120</v>
      </c>
      <c r="U103" s="228" t="s">
        <v>1364</v>
      </c>
      <c r="V103" s="232" t="s">
        <v>120</v>
      </c>
      <c r="W103" s="228"/>
      <c r="X103" s="232" t="s">
        <v>120</v>
      </c>
      <c r="Y103" s="228" t="s">
        <v>1365</v>
      </c>
      <c r="Z103" s="233" t="s">
        <v>120</v>
      </c>
      <c r="AA103" s="234"/>
      <c r="AB103" s="234"/>
      <c r="AC103" s="235" t="s">
        <v>123</v>
      </c>
      <c r="AD103" s="228" t="s">
        <v>1366</v>
      </c>
      <c r="AE103" s="232" t="s">
        <v>120</v>
      </c>
      <c r="AF103" s="229"/>
      <c r="AG103" s="236"/>
      <c r="AH103" s="236"/>
      <c r="AI103" s="228"/>
      <c r="AJ103" s="232" t="s">
        <v>120</v>
      </c>
      <c r="AK103" s="228" t="s">
        <v>123</v>
      </c>
      <c r="AL103" s="228" t="s">
        <v>935</v>
      </c>
      <c r="AM103" s="232"/>
      <c r="AN103" s="228"/>
      <c r="AO103" s="228"/>
      <c r="AP103" s="237"/>
      <c r="AQ103" s="228"/>
      <c r="AR103" s="232"/>
      <c r="AS103" s="228"/>
      <c r="AT103" s="229">
        <v>43460.704988425903</v>
      </c>
      <c r="AU103" s="229">
        <v>43479.735422800899</v>
      </c>
      <c r="AV103" s="229">
        <v>43461.5884149306</v>
      </c>
      <c r="AW103" s="229">
        <v>43460.704988425903</v>
      </c>
      <c r="AX103" s="229">
        <v>43460.604122800898</v>
      </c>
      <c r="AY103" s="229">
        <v>43460.457213773101</v>
      </c>
      <c r="AZ103" s="238">
        <v>43480.437797106497</v>
      </c>
      <c r="BA103" s="1" t="s">
        <v>7684</v>
      </c>
      <c r="BB103"/>
      <c r="BC103">
        <v>35</v>
      </c>
      <c r="BD103">
        <v>1589</v>
      </c>
      <c r="BE10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20.437797106496873</v>
      </c>
      <c r="BF103" s="240">
        <f>COUNTIFS(_05preva_view43[Site ID],_05preva_view43[[#This Row],[Site ID]],_05preva_view43[Prevalidation Status],"Under Prevalidation")</f>
        <v>0</v>
      </c>
      <c r="BG10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3" s="242" t="str">
        <f>CONCATENATE(_05preva_view43[[#This Row],[Site ID]]," (",_05preva_view43[[#This Row],[tenant id]],") Application",IF(_05preva_view43[[#This Row],[Colo Rev]]&gt;0," Rev "&amp;_05preva_view43[[#This Row],[Colo Rev]],""),".xlsx")</f>
        <v>ANMG_0037 (MGW00580) Application Rev 2.xlsx</v>
      </c>
      <c r="BI103" s="64" t="e">
        <f t="shared" ca="1" si="2"/>
        <v>#VALUE!</v>
      </c>
      <c r="BJ103" s="104" t="e">
        <f ca="1">LEFT(CELL("filename",A88),_05preva_view43[[#This Row],[Find Process &amp; Database]]-1)</f>
        <v>#VALUE!</v>
      </c>
      <c r="BK103" s="104" t="e">
        <f ca="1">_05preva_view43[Folder Path1]&amp;"Process &amp; Database\Documentation\Colo Applications"</f>
        <v>#VALUE!</v>
      </c>
      <c r="BL103" s="104" t="e">
        <f ca="1">_05preva_view43[Folder Path2]&amp;"\Colo App "&amp;_05preva_view43[[#This Row],[Operator]]&amp;"\"</f>
        <v>#VALUE!</v>
      </c>
      <c r="BM103" s="63" t="e">
        <f ca="1">_05preva_view43[[#This Row],[Folder Path3]]&amp;_05preva_view43[[#This Row],[File Name]]</f>
        <v>#VALUE!</v>
      </c>
      <c r="BN103" s="104"/>
      <c r="CF103" s="5"/>
      <c r="CG103" s="5"/>
      <c r="CH103" s="3"/>
      <c r="CJ103" s="5"/>
      <c r="CN103" s="3"/>
      <c r="CO103" s="3"/>
      <c r="CP103" s="5"/>
      <c r="CR103" s="3"/>
      <c r="DN103" s="5"/>
      <c r="DP103" s="3"/>
      <c r="EB103" s="7"/>
      <c r="EC103" s="7"/>
      <c r="EF103" s="4"/>
      <c r="EG103" s="4"/>
      <c r="EQ103" s="2"/>
      <c r="ER103" s="2"/>
    </row>
    <row r="104" spans="1:148">
      <c r="A104" s="227">
        <v>3529</v>
      </c>
      <c r="B104" s="228" t="s">
        <v>193</v>
      </c>
      <c r="C104" s="228" t="s">
        <v>116</v>
      </c>
      <c r="D104" s="228" t="s">
        <v>153</v>
      </c>
      <c r="E104" s="228" t="s">
        <v>194</v>
      </c>
      <c r="F104" s="228" t="s">
        <v>35</v>
      </c>
      <c r="G104" s="228" t="s">
        <v>1287</v>
      </c>
      <c r="H104" s="228" t="s">
        <v>1285</v>
      </c>
      <c r="I104" s="228" t="s">
        <v>814</v>
      </c>
      <c r="J104" s="228" t="s">
        <v>686</v>
      </c>
      <c r="K104" s="229">
        <v>43460</v>
      </c>
      <c r="L104" s="230">
        <v>1.04</v>
      </c>
      <c r="M104" s="230">
        <v>1.3</v>
      </c>
      <c r="N104" s="228">
        <v>1.1479999999999999</v>
      </c>
      <c r="O104" s="228" t="s">
        <v>119</v>
      </c>
      <c r="P104" s="231" t="s">
        <v>279</v>
      </c>
      <c r="Q104" s="231" t="s">
        <v>526</v>
      </c>
      <c r="R104" s="228" t="s">
        <v>24</v>
      </c>
      <c r="S104" s="228"/>
      <c r="T104" s="232" t="s">
        <v>120</v>
      </c>
      <c r="U104" s="228" t="s">
        <v>1367</v>
      </c>
      <c r="V104" s="232" t="s">
        <v>120</v>
      </c>
      <c r="W104" s="228"/>
      <c r="X104" s="232" t="s">
        <v>120</v>
      </c>
      <c r="Y104" s="228" t="s">
        <v>1368</v>
      </c>
      <c r="Z104" s="233" t="s">
        <v>120</v>
      </c>
      <c r="AA104" s="234"/>
      <c r="AB104" s="234"/>
      <c r="AC104" s="235" t="s">
        <v>123</v>
      </c>
      <c r="AD104" s="228" t="s">
        <v>1369</v>
      </c>
      <c r="AE104" s="232" t="s">
        <v>120</v>
      </c>
      <c r="AF104" s="229"/>
      <c r="AG104" s="236"/>
      <c r="AH104" s="236"/>
      <c r="AI104" s="228"/>
      <c r="AJ104" s="232" t="s">
        <v>120</v>
      </c>
      <c r="AK104" s="228" t="s">
        <v>123</v>
      </c>
      <c r="AL104" s="228" t="s">
        <v>935</v>
      </c>
      <c r="AM104" s="232"/>
      <c r="AN104" s="228"/>
      <c r="AO104" s="228"/>
      <c r="AP104" s="237"/>
      <c r="AQ104" s="228"/>
      <c r="AR104" s="232"/>
      <c r="AS104" s="228"/>
      <c r="AT104" s="229">
        <v>43460.704989699101</v>
      </c>
      <c r="AU104" s="229">
        <v>43479.7354233796</v>
      </c>
      <c r="AV104" s="229">
        <v>43461.692372106503</v>
      </c>
      <c r="AW104" s="229">
        <v>43460.704989699101</v>
      </c>
      <c r="AX104" s="229">
        <v>43460.604123379599</v>
      </c>
      <c r="AY104" s="229">
        <v>43460.457214699098</v>
      </c>
      <c r="AZ104" s="238">
        <v>43480.437797916697</v>
      </c>
      <c r="BA104" s="1" t="s">
        <v>7684</v>
      </c>
      <c r="BB104">
        <v>195</v>
      </c>
      <c r="BC104">
        <v>35</v>
      </c>
      <c r="BD104">
        <v>1310</v>
      </c>
      <c r="BE10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20.437797916696582</v>
      </c>
      <c r="BF104" s="240">
        <f>COUNTIFS(_05preva_view43[Site ID],_05preva_view43[[#This Row],[Site ID]],_05preva_view43[Prevalidation Status],"Under Prevalidation")</f>
        <v>0</v>
      </c>
      <c r="BG10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4" s="242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 Rev 2.xlsx</v>
      </c>
      <c r="BI104" s="64" t="e">
        <f t="shared" ca="1" si="2"/>
        <v>#VALUE!</v>
      </c>
      <c r="BJ104" s="104" t="e">
        <f ca="1">LEFT(CELL("filename",A89),_05preva_view43[[#This Row],[Find Process &amp; Database]]-1)</f>
        <v>#VALUE!</v>
      </c>
      <c r="BK104" s="104" t="e">
        <f ca="1">_05preva_view43[Folder Path1]&amp;"Process &amp; Database\Documentation\Colo Applications"</f>
        <v>#VALUE!</v>
      </c>
      <c r="BL104" s="104" t="e">
        <f ca="1">_05preva_view43[Folder Path2]&amp;"\Colo App "&amp;_05preva_view43[[#This Row],[Operator]]&amp;"\"</f>
        <v>#VALUE!</v>
      </c>
      <c r="BM104" s="63" t="e">
        <f ca="1">_05preva_view43[[#This Row],[Folder Path3]]&amp;_05preva_view43[[#This Row],[File Name]]</f>
        <v>#VALUE!</v>
      </c>
      <c r="BN104" s="104"/>
      <c r="CF104" s="5"/>
      <c r="CG104" s="5"/>
      <c r="CH104" s="3"/>
      <c r="CJ104" s="5"/>
      <c r="CN104" s="3"/>
      <c r="CO104" s="3"/>
      <c r="CP104" s="5"/>
      <c r="CR104" s="3"/>
      <c r="DN104" s="5"/>
      <c r="DP104" s="3"/>
      <c r="EB104" s="7"/>
      <c r="EC104" s="7"/>
      <c r="EF104" s="4"/>
      <c r="EG104" s="4"/>
      <c r="EQ104" s="2"/>
      <c r="ER104" s="2"/>
    </row>
    <row r="105" spans="1:148">
      <c r="A105" s="227">
        <v>3530</v>
      </c>
      <c r="B105" s="228" t="s">
        <v>1370</v>
      </c>
      <c r="C105" s="228" t="s">
        <v>116</v>
      </c>
      <c r="D105" s="228" t="s">
        <v>127</v>
      </c>
      <c r="E105" s="228" t="s">
        <v>1371</v>
      </c>
      <c r="F105" s="228" t="s">
        <v>35</v>
      </c>
      <c r="G105" s="228" t="s">
        <v>1287</v>
      </c>
      <c r="H105" s="228" t="s">
        <v>1285</v>
      </c>
      <c r="I105" s="228" t="s">
        <v>1068</v>
      </c>
      <c r="J105" s="228" t="s">
        <v>686</v>
      </c>
      <c r="K105" s="229">
        <v>43460</v>
      </c>
      <c r="L105" s="230">
        <v>1.8220000000000001</v>
      </c>
      <c r="M105" s="230">
        <v>2.93</v>
      </c>
      <c r="N105" s="228">
        <v>7.31</v>
      </c>
      <c r="O105" s="228" t="s">
        <v>119</v>
      </c>
      <c r="P105" s="231" t="s">
        <v>240</v>
      </c>
      <c r="Q105" s="231" t="s">
        <v>241</v>
      </c>
      <c r="R105" s="228" t="s">
        <v>24</v>
      </c>
      <c r="S105" s="228"/>
      <c r="T105" s="232" t="s">
        <v>120</v>
      </c>
      <c r="U105" s="228" t="s">
        <v>1372</v>
      </c>
      <c r="V105" s="232" t="s">
        <v>120</v>
      </c>
      <c r="W105" s="228"/>
      <c r="X105" s="232" t="s">
        <v>120</v>
      </c>
      <c r="Y105" s="228" t="s">
        <v>1373</v>
      </c>
      <c r="Z105" s="233" t="s">
        <v>141</v>
      </c>
      <c r="AA105" s="234" t="s">
        <v>1743</v>
      </c>
      <c r="AB105" s="234" t="s">
        <v>1725</v>
      </c>
      <c r="AC105" s="235" t="s">
        <v>123</v>
      </c>
      <c r="AD105" s="228" t="s">
        <v>1543</v>
      </c>
      <c r="AE105" s="232" t="s">
        <v>120</v>
      </c>
      <c r="AF105" s="229"/>
      <c r="AG105" s="236"/>
      <c r="AH105" s="236"/>
      <c r="AI105" s="228"/>
      <c r="AJ105" s="232" t="s">
        <v>120</v>
      </c>
      <c r="AK105" s="228" t="s">
        <v>123</v>
      </c>
      <c r="AL105" s="228" t="s">
        <v>935</v>
      </c>
      <c r="AM105" s="232"/>
      <c r="AN105" s="228"/>
      <c r="AO105" s="228"/>
      <c r="AP105" s="237"/>
      <c r="AQ105" s="228"/>
      <c r="AR105" s="232" t="s">
        <v>1545</v>
      </c>
      <c r="AS105" s="228" t="s">
        <v>1755</v>
      </c>
      <c r="AT105" s="229">
        <v>43460.704991435203</v>
      </c>
      <c r="AU105" s="229">
        <v>43479.735425694402</v>
      </c>
      <c r="AV105" s="229">
        <v>43488.484967708297</v>
      </c>
      <c r="AW105" s="229">
        <v>43460.704991435203</v>
      </c>
      <c r="AX105" s="229">
        <v>43460.606377546297</v>
      </c>
      <c r="AY105" s="229">
        <v>43461.412907060199</v>
      </c>
      <c r="AZ105" s="238">
        <v>43489.677551273096</v>
      </c>
      <c r="BA105" s="1" t="s">
        <v>7684</v>
      </c>
      <c r="BB105">
        <v>160</v>
      </c>
      <c r="BC105">
        <v>60</v>
      </c>
      <c r="BD105">
        <v>1519</v>
      </c>
      <c r="BE10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29.677551273096469</v>
      </c>
      <c r="BF105" s="240">
        <f>COUNTIFS(_05preva_view43[Site ID],_05preva_view43[[#This Row],[Site ID]],_05preva_view43[Prevalidation Status],"Under Prevalidation")</f>
        <v>0</v>
      </c>
      <c r="BG10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5" s="242" t="str">
        <f>CONCATENATE(_05preva_view43[[#This Row],[Site ID]]," (",_05preva_view43[[#This Row],[tenant id]],") Application",IF(_05preva_view43[[#This Row],[Colo Rev]]&gt;0," Rev "&amp;_05preva_view43[[#This Row],[Colo Rev]],""),".xlsx")</f>
        <v>ANMD_0176 (MDY00350) Application Rev 2.xlsx</v>
      </c>
      <c r="BI105" s="64" t="e">
        <f t="shared" ca="1" si="2"/>
        <v>#VALUE!</v>
      </c>
      <c r="BJ105" s="104" t="e">
        <f ca="1">LEFT(CELL("filename",A90),_05preva_view43[[#This Row],[Find Process &amp; Database]]-1)</f>
        <v>#VALUE!</v>
      </c>
      <c r="BK105" s="104" t="e">
        <f ca="1">_05preva_view43[Folder Path1]&amp;"Process &amp; Database\Documentation\Colo Applications"</f>
        <v>#VALUE!</v>
      </c>
      <c r="BL105" s="104" t="e">
        <f ca="1">_05preva_view43[Folder Path2]&amp;"\Colo App "&amp;_05preva_view43[[#This Row],[Operator]]&amp;"\"</f>
        <v>#VALUE!</v>
      </c>
      <c r="BM105" s="63" t="e">
        <f ca="1">_05preva_view43[[#This Row],[Folder Path3]]&amp;_05preva_view43[[#This Row],[File Name]]</f>
        <v>#VALUE!</v>
      </c>
      <c r="BN105" s="104"/>
      <c r="CF105" s="5"/>
      <c r="CG105" s="5"/>
      <c r="CH105" s="3"/>
      <c r="CJ105" s="5"/>
      <c r="CN105" s="3"/>
      <c r="CO105" s="3"/>
      <c r="CP105" s="5"/>
      <c r="CR105" s="3"/>
      <c r="DN105" s="5"/>
      <c r="DP105" s="3"/>
      <c r="EB105" s="7"/>
      <c r="EC105" s="7"/>
      <c r="EF105" s="4"/>
      <c r="EG105" s="4"/>
      <c r="EQ105" s="2"/>
      <c r="ER105" s="2"/>
    </row>
    <row r="106" spans="1:148">
      <c r="A106" s="227">
        <v>3531</v>
      </c>
      <c r="B106" s="228" t="s">
        <v>826</v>
      </c>
      <c r="C106" s="228" t="s">
        <v>116</v>
      </c>
      <c r="D106" s="228" t="s">
        <v>127</v>
      </c>
      <c r="E106" s="228" t="s">
        <v>827</v>
      </c>
      <c r="F106" s="228" t="s">
        <v>35</v>
      </c>
      <c r="G106" s="228" t="s">
        <v>1287</v>
      </c>
      <c r="H106" s="228" t="s">
        <v>1285</v>
      </c>
      <c r="I106" s="228" t="s">
        <v>790</v>
      </c>
      <c r="J106" s="228" t="s">
        <v>694</v>
      </c>
      <c r="K106" s="229">
        <v>43460</v>
      </c>
      <c r="L106" s="230">
        <v>1.9890000000000001</v>
      </c>
      <c r="M106" s="230">
        <v>3.5489999999999999</v>
      </c>
      <c r="N106" s="228">
        <v>6.3</v>
      </c>
      <c r="O106" s="228" t="s">
        <v>119</v>
      </c>
      <c r="P106" s="231" t="s">
        <v>655</v>
      </c>
      <c r="Q106" s="231" t="s">
        <v>669</v>
      </c>
      <c r="R106" s="228" t="s">
        <v>24</v>
      </c>
      <c r="S106" s="228"/>
      <c r="T106" s="232" t="s">
        <v>120</v>
      </c>
      <c r="U106" s="228" t="s">
        <v>1374</v>
      </c>
      <c r="V106" s="232" t="s">
        <v>120</v>
      </c>
      <c r="W106" s="228"/>
      <c r="X106" s="232" t="s">
        <v>120</v>
      </c>
      <c r="Y106" s="228" t="s">
        <v>1375</v>
      </c>
      <c r="Z106" s="233" t="s">
        <v>120</v>
      </c>
      <c r="AA106" s="234"/>
      <c r="AB106" s="234"/>
      <c r="AC106" s="235" t="s">
        <v>123</v>
      </c>
      <c r="AD106" s="228" t="s">
        <v>1495</v>
      </c>
      <c r="AE106" s="232" t="s">
        <v>120</v>
      </c>
      <c r="AF106" s="229"/>
      <c r="AG106" s="236"/>
      <c r="AH106" s="236"/>
      <c r="AI106" s="228" t="s">
        <v>1715</v>
      </c>
      <c r="AJ106" s="232" t="s">
        <v>120</v>
      </c>
      <c r="AK106" s="228" t="s">
        <v>123</v>
      </c>
      <c r="AL106" s="228" t="s">
        <v>935</v>
      </c>
      <c r="AM106" s="232"/>
      <c r="AN106" s="228"/>
      <c r="AO106" s="228"/>
      <c r="AP106" s="237"/>
      <c r="AQ106" s="228"/>
      <c r="AR106" s="232"/>
      <c r="AS106" s="228"/>
      <c r="AT106" s="229">
        <v>43461.456333564798</v>
      </c>
      <c r="AU106" s="229">
        <v>43479.735428472202</v>
      </c>
      <c r="AV106" s="229">
        <v>43472.480117939798</v>
      </c>
      <c r="AW106" s="229">
        <v>43461.456333564798</v>
      </c>
      <c r="AX106" s="229">
        <v>43460.606378703698</v>
      </c>
      <c r="AY106" s="229">
        <v>43461.412907986101</v>
      </c>
      <c r="AZ106" s="238">
        <v>43480.437799537001</v>
      </c>
      <c r="BA106" s="1" t="s">
        <v>7684</v>
      </c>
      <c r="BB106"/>
      <c r="BC106">
        <v>50</v>
      </c>
      <c r="BD106">
        <v>658</v>
      </c>
      <c r="BE10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20.43779953700141</v>
      </c>
      <c r="BF106" s="240">
        <f>COUNTIFS(_05preva_view43[Site ID],_05preva_view43[[#This Row],[Site ID]],_05preva_view43[Prevalidation Status],"Under Prevalidation")</f>
        <v>0</v>
      </c>
      <c r="BG10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6" s="242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4.xlsx</v>
      </c>
      <c r="BI106" s="64" t="e">
        <f t="shared" ca="1" si="2"/>
        <v>#VALUE!</v>
      </c>
      <c r="BJ106" s="104" t="e">
        <f ca="1">LEFT(CELL("filename",A91),_05preva_view43[[#This Row],[Find Process &amp; Database]]-1)</f>
        <v>#VALUE!</v>
      </c>
      <c r="BK106" s="104" t="e">
        <f ca="1">_05preva_view43[Folder Path1]&amp;"Process &amp; Database\Documentation\Colo Applications"</f>
        <v>#VALUE!</v>
      </c>
      <c r="BL106" s="104" t="e">
        <f ca="1">_05preva_view43[Folder Path2]&amp;"\Colo App "&amp;_05preva_view43[[#This Row],[Operator]]&amp;"\"</f>
        <v>#VALUE!</v>
      </c>
      <c r="BM106" s="63" t="e">
        <f ca="1">_05preva_view43[[#This Row],[Folder Path3]]&amp;_05preva_view43[[#This Row],[File Name]]</f>
        <v>#VALUE!</v>
      </c>
      <c r="BN106" s="104"/>
      <c r="CF106" s="5"/>
      <c r="CG106" s="5"/>
      <c r="CH106" s="3"/>
      <c r="CJ106" s="5"/>
      <c r="CN106" s="3"/>
      <c r="CO106" s="3"/>
      <c r="CP106" s="5"/>
      <c r="CR106" s="3"/>
      <c r="DN106" s="5"/>
      <c r="DP106" s="3"/>
      <c r="EB106" s="7"/>
      <c r="EC106" s="7"/>
      <c r="EF106" s="4"/>
      <c r="EG106" s="4"/>
      <c r="EQ106" s="2"/>
      <c r="ER106" s="2"/>
    </row>
    <row r="107" spans="1:148">
      <c r="A107" s="227">
        <v>3532</v>
      </c>
      <c r="B107" s="228" t="s">
        <v>1376</v>
      </c>
      <c r="C107" s="228" t="s">
        <v>116</v>
      </c>
      <c r="D107" s="228" t="s">
        <v>153</v>
      </c>
      <c r="E107" s="228" t="s">
        <v>1377</v>
      </c>
      <c r="F107" s="228" t="s">
        <v>35</v>
      </c>
      <c r="G107" s="228" t="s">
        <v>1287</v>
      </c>
      <c r="H107" s="228" t="s">
        <v>1285</v>
      </c>
      <c r="I107" s="228" t="s">
        <v>981</v>
      </c>
      <c r="J107" s="228" t="s">
        <v>686</v>
      </c>
      <c r="K107" s="229">
        <v>43460</v>
      </c>
      <c r="L107" s="230">
        <v>1.44</v>
      </c>
      <c r="M107" s="230">
        <v>1.8</v>
      </c>
      <c r="N107" s="228">
        <v>3.21</v>
      </c>
      <c r="O107" s="228" t="s">
        <v>119</v>
      </c>
      <c r="P107" s="231" t="s">
        <v>1378</v>
      </c>
      <c r="Q107" s="231" t="s">
        <v>1379</v>
      </c>
      <c r="R107" s="228" t="s">
        <v>24</v>
      </c>
      <c r="S107" s="228"/>
      <c r="T107" s="232" t="s">
        <v>120</v>
      </c>
      <c r="U107" s="228" t="s">
        <v>1380</v>
      </c>
      <c r="V107" s="232" t="s">
        <v>120</v>
      </c>
      <c r="W107" s="228"/>
      <c r="X107" s="232" t="s">
        <v>120</v>
      </c>
      <c r="Y107" s="228" t="s">
        <v>1381</v>
      </c>
      <c r="Z107" s="233" t="s">
        <v>141</v>
      </c>
      <c r="AA107" s="234" t="s">
        <v>1735</v>
      </c>
      <c r="AB107" s="234" t="s">
        <v>1725</v>
      </c>
      <c r="AC107" s="235" t="s">
        <v>123</v>
      </c>
      <c r="AD107" s="228" t="s">
        <v>1544</v>
      </c>
      <c r="AE107" s="232" t="s">
        <v>120</v>
      </c>
      <c r="AF107" s="229"/>
      <c r="AG107" s="236"/>
      <c r="AH107" s="236"/>
      <c r="AI107" s="228"/>
      <c r="AJ107" s="232" t="s">
        <v>120</v>
      </c>
      <c r="AK107" s="228" t="s">
        <v>123</v>
      </c>
      <c r="AL107" s="228" t="s">
        <v>935</v>
      </c>
      <c r="AM107" s="232"/>
      <c r="AN107" s="228"/>
      <c r="AO107" s="228"/>
      <c r="AP107" s="237"/>
      <c r="AQ107" s="228"/>
      <c r="AR107" s="232" t="s">
        <v>1545</v>
      </c>
      <c r="AS107" s="228" t="s">
        <v>1742</v>
      </c>
      <c r="AT107" s="229">
        <v>43461.456334953698</v>
      </c>
      <c r="AU107" s="229">
        <v>43479.7354305556</v>
      </c>
      <c r="AV107" s="229"/>
      <c r="AW107" s="229">
        <v>43461.456334953698</v>
      </c>
      <c r="AX107" s="229">
        <v>43460.606382986101</v>
      </c>
      <c r="AY107" s="229">
        <v>43461.412909259299</v>
      </c>
      <c r="AZ107" s="238">
        <v>43488.480392592603</v>
      </c>
      <c r="BA107" s="1" t="s">
        <v>7684</v>
      </c>
      <c r="BB107"/>
      <c r="BC107">
        <v>50</v>
      </c>
      <c r="BD107">
        <v>382</v>
      </c>
      <c r="BE10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28.480392592602584</v>
      </c>
      <c r="BF107" s="240">
        <f>COUNTIFS(_05preva_view43[Site ID],_05preva_view43[[#This Row],[Site ID]],_05preva_view43[Prevalidation Status],"Under Prevalidation")</f>
        <v>0</v>
      </c>
      <c r="BG10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7" s="242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2.xlsx</v>
      </c>
      <c r="BI107" s="64" t="e">
        <f t="shared" ca="1" si="2"/>
        <v>#VALUE!</v>
      </c>
      <c r="BJ107" s="104" t="e">
        <f ca="1">LEFT(CELL("filename",A92),_05preva_view43[[#This Row],[Find Process &amp; Database]]-1)</f>
        <v>#VALUE!</v>
      </c>
      <c r="BK107" s="104" t="e">
        <f ca="1">_05preva_view43[Folder Path1]&amp;"Process &amp; Database\Documentation\Colo Applications"</f>
        <v>#VALUE!</v>
      </c>
      <c r="BL107" s="104" t="e">
        <f ca="1">_05preva_view43[Folder Path2]&amp;"\Colo App "&amp;_05preva_view43[[#This Row],[Operator]]&amp;"\"</f>
        <v>#VALUE!</v>
      </c>
      <c r="BM107" s="63" t="e">
        <f ca="1">_05preva_view43[[#This Row],[Folder Path3]]&amp;_05preva_view43[[#This Row],[File Name]]</f>
        <v>#VALUE!</v>
      </c>
      <c r="BN107" s="104"/>
      <c r="CF107" s="5"/>
      <c r="CG107" s="5"/>
      <c r="CH107" s="3"/>
      <c r="CJ107" s="5"/>
      <c r="CN107" s="3"/>
      <c r="CO107" s="3"/>
      <c r="CP107" s="5"/>
      <c r="CR107" s="3"/>
      <c r="DN107" s="5"/>
      <c r="DP107" s="3"/>
      <c r="EB107" s="7"/>
      <c r="EC107" s="7"/>
      <c r="EF107" s="4"/>
      <c r="EG107" s="4"/>
      <c r="EQ107" s="2"/>
      <c r="ER107" s="2"/>
    </row>
    <row r="108" spans="1:148">
      <c r="A108" s="227">
        <v>3533</v>
      </c>
      <c r="B108" s="228" t="s">
        <v>1382</v>
      </c>
      <c r="C108" s="228" t="s">
        <v>278</v>
      </c>
      <c r="D108" s="228" t="s">
        <v>127</v>
      </c>
      <c r="E108" s="228" t="s">
        <v>1383</v>
      </c>
      <c r="F108" s="228" t="s">
        <v>35</v>
      </c>
      <c r="G108" s="228" t="s">
        <v>1292</v>
      </c>
      <c r="H108" s="228" t="s">
        <v>1285</v>
      </c>
      <c r="I108" s="228" t="s">
        <v>798</v>
      </c>
      <c r="J108" s="228" t="s">
        <v>686</v>
      </c>
      <c r="K108" s="229">
        <v>43460</v>
      </c>
      <c r="L108" s="230">
        <v>1.712</v>
      </c>
      <c r="M108" s="230">
        <v>3.0579999999999998</v>
      </c>
      <c r="N108" s="228">
        <v>6.88</v>
      </c>
      <c r="O108" s="228" t="s">
        <v>687</v>
      </c>
      <c r="P108" s="231" t="s">
        <v>695</v>
      </c>
      <c r="Q108" s="231" t="s">
        <v>696</v>
      </c>
      <c r="R108" s="228" t="s">
        <v>24</v>
      </c>
      <c r="S108" s="228"/>
      <c r="T108" s="232" t="s">
        <v>120</v>
      </c>
      <c r="U108" s="228"/>
      <c r="V108" s="232" t="s">
        <v>120</v>
      </c>
      <c r="W108" s="228"/>
      <c r="X108" s="232" t="s">
        <v>120</v>
      </c>
      <c r="Y108" s="228" t="s">
        <v>1384</v>
      </c>
      <c r="Z108" s="233" t="s">
        <v>120</v>
      </c>
      <c r="AA108" s="234"/>
      <c r="AB108" s="234"/>
      <c r="AC108" s="235" t="s">
        <v>123</v>
      </c>
      <c r="AD108" s="228" t="s">
        <v>1385</v>
      </c>
      <c r="AE108" s="232" t="s">
        <v>120</v>
      </c>
      <c r="AF108" s="229" t="s">
        <v>1713</v>
      </c>
      <c r="AG108" s="236"/>
      <c r="AH108" s="236"/>
      <c r="AI108" s="228" t="s">
        <v>1716</v>
      </c>
      <c r="AJ108" s="232" t="s">
        <v>120</v>
      </c>
      <c r="AK108" s="228" t="s">
        <v>123</v>
      </c>
      <c r="AL108" s="228" t="s">
        <v>935</v>
      </c>
      <c r="AM108" s="232"/>
      <c r="AN108" s="228"/>
      <c r="AO108" s="228"/>
      <c r="AP108" s="237"/>
      <c r="AQ108" s="228"/>
      <c r="AR108" s="232"/>
      <c r="AS108" s="228"/>
      <c r="AT108" s="229">
        <v>43461.4563361111</v>
      </c>
      <c r="AU108" s="229">
        <v>43479.735431134301</v>
      </c>
      <c r="AV108" s="229">
        <v>43462.497509143497</v>
      </c>
      <c r="AW108" s="229">
        <v>43461.4563361111</v>
      </c>
      <c r="AX108" s="229">
        <v>43472.656811111097</v>
      </c>
      <c r="AY108" s="229">
        <v>43461.439164120398</v>
      </c>
      <c r="AZ108" s="238">
        <v>43480.4378013889</v>
      </c>
      <c r="BA108" s="1" t="s">
        <v>7684</v>
      </c>
      <c r="BB108">
        <v>130</v>
      </c>
      <c r="BC108">
        <v>60</v>
      </c>
      <c r="BD108">
        <v>3543</v>
      </c>
      <c r="BE10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20.43780138889997</v>
      </c>
      <c r="BF108" s="240">
        <f>COUNTIFS(_05preva_view43[Site ID],_05preva_view43[[#This Row],[Site ID]],_05preva_view43[Prevalidation Status],"Under Prevalidation")</f>
        <v>0</v>
      </c>
      <c r="BG10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8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1-01-01004-001 (KCN00148) Application Rev 2.xlsx</v>
      </c>
      <c r="BI108" s="64" t="e">
        <f t="shared" ca="1" si="2"/>
        <v>#VALUE!</v>
      </c>
      <c r="BJ108" s="104" t="e">
        <f ca="1">LEFT(CELL("filename",A93),_05preva_view43[[#This Row],[Find Process &amp; Database]]-1)</f>
        <v>#VALUE!</v>
      </c>
      <c r="BK108" s="104" t="e">
        <f ca="1">_05preva_view43[Folder Path1]&amp;"Process &amp; Database\Documentation\Colo Applications"</f>
        <v>#VALUE!</v>
      </c>
      <c r="BL108" s="104" t="e">
        <f ca="1">_05preva_view43[Folder Path2]&amp;"\Colo App "&amp;_05preva_view43[[#This Row],[Operator]]&amp;"\"</f>
        <v>#VALUE!</v>
      </c>
      <c r="BM108" s="63" t="e">
        <f ca="1">_05preva_view43[[#This Row],[Folder Path3]]&amp;_05preva_view43[[#This Row],[File Name]]</f>
        <v>#VALUE!</v>
      </c>
      <c r="BN108" s="104"/>
      <c r="CF108" s="5"/>
      <c r="CG108" s="5"/>
      <c r="CH108" s="3"/>
      <c r="CJ108" s="5"/>
      <c r="CN108" s="3"/>
      <c r="CO108" s="3"/>
      <c r="CP108" s="5"/>
      <c r="CR108" s="3"/>
      <c r="DN108" s="5"/>
      <c r="DP108" s="3"/>
      <c r="EB108" s="7"/>
      <c r="EC108" s="7"/>
      <c r="EF108" s="4"/>
      <c r="EG108" s="4"/>
      <c r="EQ108" s="2"/>
      <c r="ER108" s="2"/>
    </row>
    <row r="109" spans="1:148">
      <c r="A109" s="227">
        <v>3534</v>
      </c>
      <c r="B109" s="228" t="s">
        <v>1386</v>
      </c>
      <c r="C109" s="228" t="s">
        <v>278</v>
      </c>
      <c r="D109" s="228" t="s">
        <v>127</v>
      </c>
      <c r="E109" s="228" t="s">
        <v>1387</v>
      </c>
      <c r="F109" s="228" t="s">
        <v>35</v>
      </c>
      <c r="G109" s="228" t="s">
        <v>1292</v>
      </c>
      <c r="H109" s="228" t="s">
        <v>1285</v>
      </c>
      <c r="I109" s="228" t="s">
        <v>790</v>
      </c>
      <c r="J109" s="228" t="s">
        <v>668</v>
      </c>
      <c r="K109" s="229">
        <v>43460</v>
      </c>
      <c r="L109" s="230">
        <v>2.0590000000000002</v>
      </c>
      <c r="M109" s="230">
        <v>3.6110000000000002</v>
      </c>
      <c r="N109" s="228">
        <v>7.84</v>
      </c>
      <c r="O109" s="228" t="s">
        <v>687</v>
      </c>
      <c r="P109" s="231" t="s">
        <v>695</v>
      </c>
      <c r="Q109" s="231" t="s">
        <v>696</v>
      </c>
      <c r="R109" s="228" t="s">
        <v>24</v>
      </c>
      <c r="S109" s="228"/>
      <c r="T109" s="232" t="s">
        <v>120</v>
      </c>
      <c r="U109" s="228"/>
      <c r="V109" s="232" t="s">
        <v>120</v>
      </c>
      <c r="W109" s="228" t="s">
        <v>1388</v>
      </c>
      <c r="X109" s="232" t="s">
        <v>120</v>
      </c>
      <c r="Y109" s="228" t="s">
        <v>1389</v>
      </c>
      <c r="Z109" s="233" t="s">
        <v>120</v>
      </c>
      <c r="AA109" s="234"/>
      <c r="AB109" s="234"/>
      <c r="AC109" s="235" t="s">
        <v>123</v>
      </c>
      <c r="AD109" s="228" t="s">
        <v>1390</v>
      </c>
      <c r="AE109" s="232" t="s">
        <v>120</v>
      </c>
      <c r="AF109" s="229"/>
      <c r="AG109" s="236"/>
      <c r="AH109" s="236"/>
      <c r="AI109" s="228"/>
      <c r="AJ109" s="232" t="s">
        <v>120</v>
      </c>
      <c r="AK109" s="228" t="s">
        <v>123</v>
      </c>
      <c r="AL109" s="228" t="s">
        <v>935</v>
      </c>
      <c r="AM109" s="232"/>
      <c r="AN109" s="228"/>
      <c r="AO109" s="228"/>
      <c r="AP109" s="237"/>
      <c r="AQ109" s="228"/>
      <c r="AR109" s="232"/>
      <c r="AS109" s="228"/>
      <c r="AT109" s="229">
        <v>43461.456337268501</v>
      </c>
      <c r="AU109" s="229">
        <v>43479.735433680602</v>
      </c>
      <c r="AV109" s="229">
        <v>43462.497509953697</v>
      </c>
      <c r="AW109" s="229">
        <v>43461.456337268501</v>
      </c>
      <c r="AX109" s="229">
        <v>43472.656811921297</v>
      </c>
      <c r="AY109" s="229">
        <v>43461.439164583302</v>
      </c>
      <c r="AZ109" s="238">
        <v>43480.437802893503</v>
      </c>
      <c r="BA109" s="1" t="s">
        <v>7684</v>
      </c>
      <c r="BB109">
        <v>130</v>
      </c>
      <c r="BC109">
        <v>60</v>
      </c>
      <c r="BD109">
        <v>3119</v>
      </c>
      <c r="BE10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20.437802893502521</v>
      </c>
      <c r="BF109" s="240">
        <f>COUNTIFS(_05preva_view43[Site ID],_05preva_view43[[#This Row],[Site ID]],_05preva_view43[Prevalidation Status],"Under Prevalidation")</f>
        <v>0</v>
      </c>
      <c r="BG10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09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1-01-15013-001 (SHN00055) Application Rev 1.xlsx</v>
      </c>
      <c r="BI109" s="64" t="e">
        <f t="shared" ca="1" si="2"/>
        <v>#VALUE!</v>
      </c>
      <c r="BJ109" s="104" t="e">
        <f ca="1">LEFT(CELL("filename",A94),_05preva_view43[[#This Row],[Find Process &amp; Database]]-1)</f>
        <v>#VALUE!</v>
      </c>
      <c r="BK109" s="104" t="e">
        <f ca="1">_05preva_view43[Folder Path1]&amp;"Process &amp; Database\Documentation\Colo Applications"</f>
        <v>#VALUE!</v>
      </c>
      <c r="BL109" s="104" t="e">
        <f ca="1">_05preva_view43[Folder Path2]&amp;"\Colo App "&amp;_05preva_view43[[#This Row],[Operator]]&amp;"\"</f>
        <v>#VALUE!</v>
      </c>
      <c r="BM109" s="63" t="e">
        <f ca="1">_05preva_view43[[#This Row],[Folder Path3]]&amp;_05preva_view43[[#This Row],[File Name]]</f>
        <v>#VALUE!</v>
      </c>
      <c r="BN109" s="104"/>
      <c r="CF109" s="5"/>
      <c r="CG109" s="5"/>
      <c r="CH109" s="3"/>
      <c r="CJ109" s="5"/>
      <c r="CN109" s="3"/>
      <c r="CO109" s="3"/>
      <c r="CP109" s="5"/>
      <c r="CR109" s="3"/>
      <c r="DN109" s="5"/>
      <c r="DP109" s="3"/>
      <c r="EB109" s="7"/>
      <c r="EC109" s="7"/>
      <c r="EF109" s="4"/>
      <c r="EG109" s="4"/>
      <c r="EQ109" s="2"/>
      <c r="ER109" s="2"/>
    </row>
    <row r="110" spans="1:148">
      <c r="A110" s="227">
        <v>3535</v>
      </c>
      <c r="B110" s="228" t="s">
        <v>1391</v>
      </c>
      <c r="C110" s="228" t="s">
        <v>278</v>
      </c>
      <c r="D110" s="228" t="s">
        <v>127</v>
      </c>
      <c r="E110" s="228" t="s">
        <v>1392</v>
      </c>
      <c r="F110" s="228" t="s">
        <v>35</v>
      </c>
      <c r="G110" s="228" t="s">
        <v>1292</v>
      </c>
      <c r="H110" s="228" t="s">
        <v>1285</v>
      </c>
      <c r="I110" s="228" t="s">
        <v>1006</v>
      </c>
      <c r="J110" s="228" t="s">
        <v>727</v>
      </c>
      <c r="K110" s="229">
        <v>43460</v>
      </c>
      <c r="L110" s="230">
        <v>1.399</v>
      </c>
      <c r="M110" s="230">
        <v>2.1989999999999998</v>
      </c>
      <c r="N110" s="228">
        <v>5.13</v>
      </c>
      <c r="O110" s="228" t="s">
        <v>687</v>
      </c>
      <c r="P110" s="231" t="s">
        <v>695</v>
      </c>
      <c r="Q110" s="231" t="s">
        <v>696</v>
      </c>
      <c r="R110" s="228" t="s">
        <v>24</v>
      </c>
      <c r="S110" s="228"/>
      <c r="T110" s="232" t="s">
        <v>120</v>
      </c>
      <c r="U110" s="228"/>
      <c r="V110" s="232" t="s">
        <v>120</v>
      </c>
      <c r="W110" s="228"/>
      <c r="X110" s="232" t="s">
        <v>120</v>
      </c>
      <c r="Y110" s="228" t="s">
        <v>1393</v>
      </c>
      <c r="Z110" s="233" t="s">
        <v>120</v>
      </c>
      <c r="AA110" s="234"/>
      <c r="AB110" s="234"/>
      <c r="AC110" s="235" t="s">
        <v>123</v>
      </c>
      <c r="AD110" s="228" t="s">
        <v>1394</v>
      </c>
      <c r="AE110" s="232" t="s">
        <v>120</v>
      </c>
      <c r="AF110" s="229"/>
      <c r="AG110" s="236"/>
      <c r="AH110" s="236"/>
      <c r="AI110" s="228"/>
      <c r="AJ110" s="232" t="s">
        <v>120</v>
      </c>
      <c r="AK110" s="228" t="s">
        <v>123</v>
      </c>
      <c r="AL110" s="228" t="s">
        <v>935</v>
      </c>
      <c r="AM110" s="232"/>
      <c r="AN110" s="228"/>
      <c r="AO110" s="228"/>
      <c r="AP110" s="237"/>
      <c r="AQ110" s="228"/>
      <c r="AR110" s="232"/>
      <c r="AS110" s="228"/>
      <c r="AT110" s="229">
        <v>43461.456339004602</v>
      </c>
      <c r="AU110" s="229">
        <v>43479.735436342598</v>
      </c>
      <c r="AV110" s="229">
        <v>43462.497511226902</v>
      </c>
      <c r="AW110" s="229">
        <v>43461.456339004602</v>
      </c>
      <c r="AX110" s="229">
        <v>43472.6568134259</v>
      </c>
      <c r="AY110" s="229">
        <v>43461.439165740703</v>
      </c>
      <c r="AZ110" s="238">
        <v>43480.437804282403</v>
      </c>
      <c r="BA110" s="1" t="s">
        <v>7684</v>
      </c>
      <c r="BB110">
        <v>130</v>
      </c>
      <c r="BC110">
        <v>60</v>
      </c>
      <c r="BD110">
        <v>3072</v>
      </c>
      <c r="BE11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20.437804282402794</v>
      </c>
      <c r="BF110" s="240">
        <f>COUNTIFS(_05preva_view43[Site ID],_05preva_view43[[#This Row],[Site ID]],_05preva_view43[Prevalidation Status],"Under Prevalidation")</f>
        <v>0</v>
      </c>
      <c r="BG11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0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3.xlsx</v>
      </c>
      <c r="BI110" s="64" t="e">
        <f t="shared" ca="1" si="2"/>
        <v>#VALUE!</v>
      </c>
      <c r="BJ110" s="104" t="e">
        <f ca="1">LEFT(CELL("filename",A95),_05preva_view43[[#This Row],[Find Process &amp; Database]]-1)</f>
        <v>#VALUE!</v>
      </c>
      <c r="BK110" s="104" t="e">
        <f ca="1">_05preva_view43[Folder Path1]&amp;"Process &amp; Database\Documentation\Colo Applications"</f>
        <v>#VALUE!</v>
      </c>
      <c r="BL110" s="104" t="e">
        <f ca="1">_05preva_view43[Folder Path2]&amp;"\Colo App "&amp;_05preva_view43[[#This Row],[Operator]]&amp;"\"</f>
        <v>#VALUE!</v>
      </c>
      <c r="BM110" s="63" t="e">
        <f ca="1">_05preva_view43[[#This Row],[Folder Path3]]&amp;_05preva_view43[[#This Row],[File Name]]</f>
        <v>#VALUE!</v>
      </c>
      <c r="BN110" s="104"/>
      <c r="CF110" s="5"/>
      <c r="CG110" s="5"/>
      <c r="CH110" s="3"/>
      <c r="CJ110" s="5"/>
      <c r="CN110" s="3"/>
      <c r="CO110" s="3"/>
      <c r="CP110" s="5"/>
      <c r="CR110" s="3"/>
      <c r="DN110" s="5"/>
      <c r="DP110" s="3"/>
      <c r="EB110" s="7"/>
      <c r="EC110" s="7"/>
      <c r="EF110" s="4"/>
      <c r="EG110" s="4"/>
      <c r="EQ110" s="2"/>
      <c r="ER110" s="2"/>
    </row>
    <row r="111" spans="1:148">
      <c r="A111" s="227">
        <v>3522</v>
      </c>
      <c r="B111" s="228" t="s">
        <v>1395</v>
      </c>
      <c r="C111" s="228" t="s">
        <v>278</v>
      </c>
      <c r="D111" s="228" t="s">
        <v>127</v>
      </c>
      <c r="E111" s="228" t="s">
        <v>1396</v>
      </c>
      <c r="F111" s="228" t="s">
        <v>34</v>
      </c>
      <c r="G111" s="228" t="s">
        <v>118</v>
      </c>
      <c r="H111" s="228" t="s">
        <v>1328</v>
      </c>
      <c r="I111" s="228" t="s">
        <v>970</v>
      </c>
      <c r="J111" s="228" t="s">
        <v>668</v>
      </c>
      <c r="K111" s="229">
        <v>43458</v>
      </c>
      <c r="L111" s="230">
        <v>2</v>
      </c>
      <c r="M111" s="230">
        <v>2</v>
      </c>
      <c r="N111" s="228">
        <v>6</v>
      </c>
      <c r="O111" s="228" t="s">
        <v>687</v>
      </c>
      <c r="P111" s="231" t="s">
        <v>765</v>
      </c>
      <c r="Q111" s="231" t="s">
        <v>766</v>
      </c>
      <c r="R111" s="228" t="s">
        <v>24</v>
      </c>
      <c r="S111" s="228"/>
      <c r="T111" s="232" t="s">
        <v>615</v>
      </c>
      <c r="U111" s="228"/>
      <c r="V111" s="232" t="s">
        <v>615</v>
      </c>
      <c r="W111" s="228"/>
      <c r="X111" s="232" t="s">
        <v>615</v>
      </c>
      <c r="Y111" s="228"/>
      <c r="Z111" s="233" t="s">
        <v>615</v>
      </c>
      <c r="AA111" s="234"/>
      <c r="AB111" s="234"/>
      <c r="AC111" s="235"/>
      <c r="AD111" s="228"/>
      <c r="AE111" s="232" t="s">
        <v>120</v>
      </c>
      <c r="AF111" s="229" t="s">
        <v>904</v>
      </c>
      <c r="AG111" s="236"/>
      <c r="AH111" s="236"/>
      <c r="AI111" s="228" t="s">
        <v>1717</v>
      </c>
      <c r="AJ111" s="232" t="s">
        <v>615</v>
      </c>
      <c r="AK111" s="228"/>
      <c r="AL111" s="228"/>
      <c r="AM111" s="232" t="s">
        <v>615</v>
      </c>
      <c r="AN111" s="228"/>
      <c r="AO111" s="228" t="s">
        <v>615</v>
      </c>
      <c r="AP111" s="237"/>
      <c r="AQ111" s="228"/>
      <c r="AR111" s="232" t="s">
        <v>120</v>
      </c>
      <c r="AS111" s="228"/>
      <c r="AT111" s="229"/>
      <c r="AU111" s="229">
        <v>43479.735417361102</v>
      </c>
      <c r="AV111" s="229"/>
      <c r="AW111" s="229"/>
      <c r="AX111" s="229"/>
      <c r="AY111" s="229"/>
      <c r="AZ111" s="238">
        <v>43480.463186226902</v>
      </c>
      <c r="BA111" s="1" t="s">
        <v>7684</v>
      </c>
      <c r="BB111">
        <v>130</v>
      </c>
      <c r="BC111">
        <v>60</v>
      </c>
      <c r="BD111">
        <v>2587</v>
      </c>
      <c r="BE11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22.463186226901598</v>
      </c>
      <c r="BF111" s="240">
        <f>COUNTIFS(_05preva_view43[Site ID],_05preva_view43[[#This Row],[Site ID]],_05preva_view43[Prevalidation Status],"Under Prevalidation")</f>
        <v>0</v>
      </c>
      <c r="BG11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1" s="242" t="str">
        <f>CONCATENATE(_05preva_view43[[#This Row],[Site ID]]," (",_05preva_view43[[#This Row],[tenant id]],") Application",IF(_05preva_view43[[#This Row],[Colo Rev]]&gt;0," Rev "&amp;_05preva_view43[[#This Row],[Colo Rev]],""),".xlsx")</f>
        <v>1-01-10029-005 (MDY0382) Application Rev 1.xlsx</v>
      </c>
      <c r="BI111" s="64" t="e">
        <f t="shared" ca="1" si="2"/>
        <v>#VALUE!</v>
      </c>
      <c r="BJ111" s="104" t="e">
        <f ca="1">LEFT(CELL("filename",A96),_05preva_view43[[#This Row],[Find Process &amp; Database]]-1)</f>
        <v>#VALUE!</v>
      </c>
      <c r="BK111" s="104" t="e">
        <f ca="1">_05preva_view43[Folder Path1]&amp;"Process &amp; Database\Documentation\Colo Applications"</f>
        <v>#VALUE!</v>
      </c>
      <c r="BL111" s="104" t="e">
        <f ca="1">_05preva_view43[Folder Path2]&amp;"\Colo App "&amp;_05preva_view43[[#This Row],[Operator]]&amp;"\"</f>
        <v>#VALUE!</v>
      </c>
      <c r="BM111" s="63" t="e">
        <f ca="1">_05preva_view43[[#This Row],[Folder Path3]]&amp;_05preva_view43[[#This Row],[File Name]]</f>
        <v>#VALUE!</v>
      </c>
      <c r="BN111" s="104"/>
      <c r="CF111" s="5"/>
      <c r="CG111" s="5"/>
      <c r="CH111" s="3"/>
      <c r="CJ111" s="5"/>
      <c r="CN111" s="3"/>
      <c r="CO111" s="3"/>
      <c r="CP111" s="5"/>
      <c r="CR111" s="3"/>
      <c r="DN111" s="5"/>
      <c r="DP111" s="3"/>
      <c r="EB111" s="7"/>
      <c r="EC111" s="7"/>
      <c r="EF111" s="4"/>
      <c r="EG111" s="4"/>
      <c r="EQ111" s="2"/>
      <c r="ER111" s="2"/>
    </row>
    <row r="112" spans="1:148">
      <c r="A112" s="227">
        <v>3524</v>
      </c>
      <c r="B112" s="228" t="s">
        <v>1397</v>
      </c>
      <c r="C112" s="228" t="s">
        <v>278</v>
      </c>
      <c r="D112" s="228" t="s">
        <v>153</v>
      </c>
      <c r="E112" s="228" t="s">
        <v>1398</v>
      </c>
      <c r="F112" s="228" t="s">
        <v>34</v>
      </c>
      <c r="G112" s="228" t="s">
        <v>1291</v>
      </c>
      <c r="H112" s="228" t="s">
        <v>1285</v>
      </c>
      <c r="I112" s="228" t="s">
        <v>970</v>
      </c>
      <c r="J112" s="228" t="s">
        <v>668</v>
      </c>
      <c r="K112" s="229">
        <v>43458</v>
      </c>
      <c r="L112" s="230">
        <v>2</v>
      </c>
      <c r="M112" s="230">
        <v>2</v>
      </c>
      <c r="N112" s="228">
        <v>6</v>
      </c>
      <c r="O112" s="228" t="s">
        <v>687</v>
      </c>
      <c r="P112" s="231" t="s">
        <v>765</v>
      </c>
      <c r="Q112" s="231" t="s">
        <v>766</v>
      </c>
      <c r="R112" s="228" t="s">
        <v>24</v>
      </c>
      <c r="S112" s="228"/>
      <c r="T112" s="232" t="s">
        <v>615</v>
      </c>
      <c r="U112" s="228"/>
      <c r="V112" s="232" t="s">
        <v>615</v>
      </c>
      <c r="W112" s="228"/>
      <c r="X112" s="232" t="s">
        <v>615</v>
      </c>
      <c r="Y112" s="228"/>
      <c r="Z112" s="233" t="s">
        <v>615</v>
      </c>
      <c r="AA112" s="234"/>
      <c r="AB112" s="234"/>
      <c r="AC112" s="235"/>
      <c r="AD112" s="228"/>
      <c r="AE112" s="232" t="s">
        <v>120</v>
      </c>
      <c r="AF112" s="229"/>
      <c r="AG112" s="236"/>
      <c r="AH112" s="236">
        <v>2</v>
      </c>
      <c r="AI112" s="228" t="s">
        <v>7692</v>
      </c>
      <c r="AJ112" s="232" t="s">
        <v>615</v>
      </c>
      <c r="AK112" s="228"/>
      <c r="AL112" s="228"/>
      <c r="AM112" s="232" t="s">
        <v>615</v>
      </c>
      <c r="AN112" s="228"/>
      <c r="AO112" s="228" t="s">
        <v>615</v>
      </c>
      <c r="AP112" s="237"/>
      <c r="AQ112" s="228"/>
      <c r="AR112" s="232" t="s">
        <v>120</v>
      </c>
      <c r="AS112" s="228"/>
      <c r="AT112" s="229"/>
      <c r="AU112" s="229">
        <v>43479.735418518503</v>
      </c>
      <c r="AV112" s="229"/>
      <c r="AW112" s="229"/>
      <c r="AX112" s="229"/>
      <c r="AY112" s="229"/>
      <c r="AZ112" s="238">
        <v>43476.700148148098</v>
      </c>
      <c r="BA112" s="1" t="s">
        <v>7684</v>
      </c>
      <c r="BB112">
        <v>130</v>
      </c>
      <c r="BC112">
        <v>60</v>
      </c>
      <c r="BD112">
        <v>2546</v>
      </c>
      <c r="BE11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18.700148148098378</v>
      </c>
      <c r="BF112" s="240">
        <f>COUNTIFS(_05preva_view43[Site ID],_05preva_view43[[#This Row],[Site ID]],_05preva_view43[Prevalidation Status],"Under Prevalidation")</f>
        <v>0</v>
      </c>
      <c r="BG11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2" s="242" t="str">
        <f>CONCATENATE(_05preva_view43[[#This Row],[Site ID]]," (",_05preva_view43[[#This Row],[tenant id]],") Application",IF(_05preva_view43[[#This Row],[Colo Rev]]&gt;0," Rev "&amp;_05preva_view43[[#This Row],[Colo Rev]],""),".xlsx")</f>
        <v>1-01-03005-004 (KYN0185) Application Rev 1.xlsx</v>
      </c>
      <c r="BI112" s="64" t="e">
        <f t="shared" ca="1" si="2"/>
        <v>#VALUE!</v>
      </c>
      <c r="BJ112" s="104" t="e">
        <f ca="1">LEFT(CELL("filename",A97),_05preva_view43[[#This Row],[Find Process &amp; Database]]-1)</f>
        <v>#VALUE!</v>
      </c>
      <c r="BK112" s="104" t="e">
        <f ca="1">_05preva_view43[Folder Path1]&amp;"Process &amp; Database\Documentation\Colo Applications"</f>
        <v>#VALUE!</v>
      </c>
      <c r="BL112" s="104" t="e">
        <f ca="1">_05preva_view43[Folder Path2]&amp;"\Colo App "&amp;_05preva_view43[[#This Row],[Operator]]&amp;"\"</f>
        <v>#VALUE!</v>
      </c>
      <c r="BM112" s="63" t="e">
        <f ca="1">_05preva_view43[[#This Row],[Folder Path3]]&amp;_05preva_view43[[#This Row],[File Name]]</f>
        <v>#VALUE!</v>
      </c>
      <c r="BN112" s="104"/>
      <c r="CF112" s="5"/>
      <c r="CG112" s="5"/>
      <c r="CH112" s="3"/>
      <c r="CJ112" s="5"/>
      <c r="CN112" s="3"/>
      <c r="CO112" s="3"/>
      <c r="CP112" s="5"/>
      <c r="CR112" s="3"/>
      <c r="DN112" s="5"/>
      <c r="DP112" s="3"/>
      <c r="EB112" s="7"/>
      <c r="EC112" s="7"/>
      <c r="EF112" s="4"/>
      <c r="EG112" s="4"/>
      <c r="EQ112" s="2"/>
      <c r="ER112" s="2"/>
    </row>
    <row r="113" spans="1:148">
      <c r="A113" s="227">
        <v>3525</v>
      </c>
      <c r="B113" s="228" t="s">
        <v>1399</v>
      </c>
      <c r="C113" s="228" t="s">
        <v>278</v>
      </c>
      <c r="D113" s="228" t="s">
        <v>153</v>
      </c>
      <c r="E113" s="228" t="s">
        <v>1400</v>
      </c>
      <c r="F113" s="228" t="s">
        <v>34</v>
      </c>
      <c r="G113" s="228" t="s">
        <v>1291</v>
      </c>
      <c r="H113" s="228" t="s">
        <v>1285</v>
      </c>
      <c r="I113" s="228" t="s">
        <v>970</v>
      </c>
      <c r="J113" s="228" t="s">
        <v>668</v>
      </c>
      <c r="K113" s="229">
        <v>43458</v>
      </c>
      <c r="L113" s="230">
        <v>2</v>
      </c>
      <c r="M113" s="230">
        <v>2</v>
      </c>
      <c r="N113" s="228">
        <v>6</v>
      </c>
      <c r="O113" s="228" t="s">
        <v>687</v>
      </c>
      <c r="P113" s="231" t="s">
        <v>765</v>
      </c>
      <c r="Q113" s="231" t="s">
        <v>766</v>
      </c>
      <c r="R113" s="228" t="s">
        <v>24</v>
      </c>
      <c r="S113" s="228"/>
      <c r="T113" s="232" t="s">
        <v>615</v>
      </c>
      <c r="U113" s="228"/>
      <c r="V113" s="232" t="s">
        <v>615</v>
      </c>
      <c r="W113" s="228"/>
      <c r="X113" s="232" t="s">
        <v>615</v>
      </c>
      <c r="Y113" s="228"/>
      <c r="Z113" s="233" t="s">
        <v>615</v>
      </c>
      <c r="AA113" s="234"/>
      <c r="AB113" s="234"/>
      <c r="AC113" s="235"/>
      <c r="AD113" s="228"/>
      <c r="AE113" s="232" t="s">
        <v>120</v>
      </c>
      <c r="AF113" s="229"/>
      <c r="AG113" s="236">
        <v>2</v>
      </c>
      <c r="AH113" s="236"/>
      <c r="AI113" s="228" t="s">
        <v>7693</v>
      </c>
      <c r="AJ113" s="232" t="s">
        <v>615</v>
      </c>
      <c r="AK113" s="228"/>
      <c r="AL113" s="228"/>
      <c r="AM113" s="232" t="s">
        <v>615</v>
      </c>
      <c r="AN113" s="228"/>
      <c r="AO113" s="228" t="s">
        <v>615</v>
      </c>
      <c r="AP113" s="237"/>
      <c r="AQ113" s="228"/>
      <c r="AR113" s="232" t="s">
        <v>120</v>
      </c>
      <c r="AS113" s="228"/>
      <c r="AT113" s="229"/>
      <c r="AU113" s="229">
        <v>43479.735420254598</v>
      </c>
      <c r="AV113" s="229"/>
      <c r="AW113" s="229"/>
      <c r="AX113" s="229"/>
      <c r="AY113" s="229"/>
      <c r="AZ113" s="238">
        <v>43476.700148958298</v>
      </c>
      <c r="BA113" s="1" t="s">
        <v>7684</v>
      </c>
      <c r="BB113">
        <v>195</v>
      </c>
      <c r="BC113">
        <v>60</v>
      </c>
      <c r="BD113">
        <v>2658</v>
      </c>
      <c r="BE11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18.700148958298087</v>
      </c>
      <c r="BF113" s="240">
        <f>COUNTIFS(_05preva_view43[Site ID],_05preva_view43[[#This Row],[Site ID]],_05preva_view43[Prevalidation Status],"Under Prevalidation")</f>
        <v>0</v>
      </c>
      <c r="BG11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3" s="242" t="str">
        <f>CONCATENATE(_05preva_view43[[#This Row],[Site ID]]," (",_05preva_view43[[#This Row],[tenant id]],") Application",IF(_05preva_view43[[#This Row],[Colo Rev]]&gt;0," Rev "&amp;_05preva_view43[[#This Row],[Colo Rev]],""),".xlsx")</f>
        <v>1-01-17026-003 (AYY0879) Application Rev 1.xlsx</v>
      </c>
      <c r="BI113" s="64" t="e">
        <f t="shared" ca="1" si="2"/>
        <v>#VALUE!</v>
      </c>
      <c r="BJ113" s="104" t="e">
        <f ca="1">LEFT(CELL("filename",A98),_05preva_view43[[#This Row],[Find Process &amp; Database]]-1)</f>
        <v>#VALUE!</v>
      </c>
      <c r="BK113" s="104" t="e">
        <f ca="1">_05preva_view43[Folder Path1]&amp;"Process &amp; Database\Documentation\Colo Applications"</f>
        <v>#VALUE!</v>
      </c>
      <c r="BL113" s="104" t="e">
        <f ca="1">_05preva_view43[Folder Path2]&amp;"\Colo App "&amp;_05preva_view43[[#This Row],[Operator]]&amp;"\"</f>
        <v>#VALUE!</v>
      </c>
      <c r="BM113" s="63" t="e">
        <f ca="1">_05preva_view43[[#This Row],[Folder Path3]]&amp;_05preva_view43[[#This Row],[File Name]]</f>
        <v>#VALUE!</v>
      </c>
      <c r="BN113" s="104"/>
      <c r="CF113" s="5"/>
      <c r="CG113" s="5"/>
      <c r="CH113" s="3"/>
      <c r="CJ113" s="5"/>
      <c r="CN113" s="3"/>
      <c r="CO113" s="3"/>
      <c r="CP113" s="5"/>
      <c r="CR113" s="3"/>
      <c r="DN113" s="5"/>
      <c r="DP113" s="3"/>
      <c r="EB113" s="7"/>
      <c r="EC113" s="7"/>
      <c r="EF113" s="4"/>
      <c r="EG113" s="4"/>
      <c r="EQ113" s="2"/>
      <c r="ER113" s="2"/>
    </row>
    <row r="114" spans="1:148">
      <c r="A114" s="227">
        <v>3526</v>
      </c>
      <c r="B114" s="228" t="s">
        <v>1401</v>
      </c>
      <c r="C114" s="228" t="s">
        <v>278</v>
      </c>
      <c r="D114" s="228" t="s">
        <v>153</v>
      </c>
      <c r="E114" s="228" t="s">
        <v>1402</v>
      </c>
      <c r="F114" s="228" t="s">
        <v>34</v>
      </c>
      <c r="G114" s="228" t="s">
        <v>1291</v>
      </c>
      <c r="H114" s="228" t="s">
        <v>1285</v>
      </c>
      <c r="I114" s="228" t="s">
        <v>970</v>
      </c>
      <c r="J114" s="228" t="s">
        <v>668</v>
      </c>
      <c r="K114" s="229">
        <v>43458</v>
      </c>
      <c r="L114" s="230">
        <v>2</v>
      </c>
      <c r="M114" s="230">
        <v>2</v>
      </c>
      <c r="N114" s="228">
        <v>6</v>
      </c>
      <c r="O114" s="228" t="s">
        <v>687</v>
      </c>
      <c r="P114" s="231" t="s">
        <v>765</v>
      </c>
      <c r="Q114" s="231" t="s">
        <v>766</v>
      </c>
      <c r="R114" s="228" t="s">
        <v>24</v>
      </c>
      <c r="S114" s="228"/>
      <c r="T114" s="232" t="s">
        <v>615</v>
      </c>
      <c r="U114" s="228"/>
      <c r="V114" s="232" t="s">
        <v>615</v>
      </c>
      <c r="W114" s="228"/>
      <c r="X114" s="232" t="s">
        <v>615</v>
      </c>
      <c r="Y114" s="228"/>
      <c r="Z114" s="233" t="s">
        <v>615</v>
      </c>
      <c r="AA114" s="234"/>
      <c r="AB114" s="234"/>
      <c r="AC114" s="235"/>
      <c r="AD114" s="228"/>
      <c r="AE114" s="232" t="s">
        <v>120</v>
      </c>
      <c r="AF114" s="229" t="s">
        <v>904</v>
      </c>
      <c r="AG114" s="236"/>
      <c r="AH114" s="236"/>
      <c r="AI114" s="228" t="s">
        <v>1718</v>
      </c>
      <c r="AJ114" s="232" t="s">
        <v>615</v>
      </c>
      <c r="AK114" s="228"/>
      <c r="AL114" s="228"/>
      <c r="AM114" s="232" t="s">
        <v>615</v>
      </c>
      <c r="AN114" s="228"/>
      <c r="AO114" s="228" t="s">
        <v>615</v>
      </c>
      <c r="AP114" s="237"/>
      <c r="AQ114" s="228"/>
      <c r="AR114" s="232" t="s">
        <v>120</v>
      </c>
      <c r="AS114" s="228"/>
      <c r="AT114" s="229"/>
      <c r="AU114" s="229">
        <v>43479.735420833298</v>
      </c>
      <c r="AV114" s="229"/>
      <c r="AW114" s="229"/>
      <c r="AX114" s="229"/>
      <c r="AY114" s="229"/>
      <c r="AZ114" s="238">
        <v>43480.4631876157</v>
      </c>
      <c r="BA114" s="1" t="s">
        <v>7684</v>
      </c>
      <c r="BB114">
        <v>195</v>
      </c>
      <c r="BC114">
        <v>60</v>
      </c>
      <c r="BD114">
        <v>3716</v>
      </c>
      <c r="BE11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22.463187615700008</v>
      </c>
      <c r="BF114" s="240">
        <f>COUNTIFS(_05preva_view43[Site ID],_05preva_view43[[#This Row],[Site ID]],_05preva_view43[Prevalidation Status],"Under Prevalidation")</f>
        <v>0</v>
      </c>
      <c r="BG11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4" s="242" t="str">
        <f>CONCATENATE(_05preva_view43[[#This Row],[Site ID]]," (",_05preva_view43[[#This Row],[tenant id]],") Application",IF(_05preva_view43[[#This Row],[Colo Rev]]&gt;0," Rev "&amp;_05preva_view43[[#This Row],[Colo Rev]],""),".xlsx")</f>
        <v>1-01-17004-007 (AYY0207) Application Rev 1.xlsx</v>
      </c>
      <c r="BI114" s="64" t="e">
        <f t="shared" ca="1" si="2"/>
        <v>#VALUE!</v>
      </c>
      <c r="BJ114" s="104" t="e">
        <f ca="1">LEFT(CELL("filename",A99),_05preva_view43[[#This Row],[Find Process &amp; Database]]-1)</f>
        <v>#VALUE!</v>
      </c>
      <c r="BK114" s="104" t="e">
        <f ca="1">_05preva_view43[Folder Path1]&amp;"Process &amp; Database\Documentation\Colo Applications"</f>
        <v>#VALUE!</v>
      </c>
      <c r="BL114" s="104" t="e">
        <f ca="1">_05preva_view43[Folder Path2]&amp;"\Colo App "&amp;_05preva_view43[[#This Row],[Operator]]&amp;"\"</f>
        <v>#VALUE!</v>
      </c>
      <c r="BM114" s="63" t="e">
        <f ca="1">_05preva_view43[[#This Row],[Folder Path3]]&amp;_05preva_view43[[#This Row],[File Name]]</f>
        <v>#VALUE!</v>
      </c>
      <c r="BN114" s="104"/>
      <c r="CF114" s="5"/>
      <c r="CG114" s="5"/>
      <c r="CH114" s="3"/>
      <c r="CJ114" s="5"/>
      <c r="CN114" s="3"/>
      <c r="CO114" s="3"/>
      <c r="CP114" s="5"/>
      <c r="CR114" s="3"/>
      <c r="DN114" s="5"/>
      <c r="DP114" s="3"/>
      <c r="EB114" s="7"/>
      <c r="EC114" s="7"/>
      <c r="EF114" s="4"/>
      <c r="EG114" s="4"/>
      <c r="EQ114" s="2"/>
      <c r="ER114" s="2"/>
    </row>
    <row r="115" spans="1:148">
      <c r="A115" s="227">
        <v>3516</v>
      </c>
      <c r="B115" s="228" t="s">
        <v>918</v>
      </c>
      <c r="C115" s="228" t="s">
        <v>278</v>
      </c>
      <c r="D115" s="228" t="s">
        <v>117</v>
      </c>
      <c r="E115" s="228" t="s">
        <v>919</v>
      </c>
      <c r="F115" s="228" t="s">
        <v>35</v>
      </c>
      <c r="G115" s="228" t="s">
        <v>1292</v>
      </c>
      <c r="H115" s="228" t="s">
        <v>1285</v>
      </c>
      <c r="I115" s="228" t="s">
        <v>970</v>
      </c>
      <c r="J115" s="228" t="s">
        <v>828</v>
      </c>
      <c r="K115" s="229">
        <v>43452</v>
      </c>
      <c r="L115" s="230">
        <v>1.68</v>
      </c>
      <c r="M115" s="230">
        <v>2.1</v>
      </c>
      <c r="N115" s="228"/>
      <c r="O115" s="228" t="s">
        <v>687</v>
      </c>
      <c r="P115" s="231" t="s">
        <v>695</v>
      </c>
      <c r="Q115" s="231" t="s">
        <v>696</v>
      </c>
      <c r="R115" s="228" t="s">
        <v>24</v>
      </c>
      <c r="S115" s="228"/>
      <c r="T115" s="232" t="s">
        <v>615</v>
      </c>
      <c r="U115" s="228"/>
      <c r="V115" s="232" t="s">
        <v>615</v>
      </c>
      <c r="W115" s="228"/>
      <c r="X115" s="232" t="s">
        <v>615</v>
      </c>
      <c r="Y115" s="228"/>
      <c r="Z115" s="233" t="s">
        <v>615</v>
      </c>
      <c r="AA115" s="234"/>
      <c r="AB115" s="234"/>
      <c r="AC115" s="235"/>
      <c r="AD115" s="228"/>
      <c r="AE115" s="232" t="s">
        <v>120</v>
      </c>
      <c r="AF115" s="229"/>
      <c r="AG115" s="236"/>
      <c r="AH115" s="236"/>
      <c r="AI115" s="228" t="s">
        <v>1719</v>
      </c>
      <c r="AJ115" s="232" t="s">
        <v>615</v>
      </c>
      <c r="AK115" s="228"/>
      <c r="AL115" s="228"/>
      <c r="AM115" s="232"/>
      <c r="AN115" s="228"/>
      <c r="AO115" s="228"/>
      <c r="AP115" s="237"/>
      <c r="AQ115" s="228"/>
      <c r="AR115" s="232"/>
      <c r="AS115" s="228"/>
      <c r="AT115" s="229"/>
      <c r="AU115" s="229">
        <v>43479.735409259301</v>
      </c>
      <c r="AV115" s="229"/>
      <c r="AW115" s="229"/>
      <c r="AX115" s="229"/>
      <c r="AY115" s="229"/>
      <c r="AZ115" s="238">
        <v>43480.442146759298</v>
      </c>
      <c r="BA115" s="1" t="s">
        <v>7684</v>
      </c>
      <c r="BB115">
        <v>130</v>
      </c>
      <c r="BC115">
        <v>70</v>
      </c>
      <c r="BD115">
        <v>3602</v>
      </c>
      <c r="BE11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28.442146759298339</v>
      </c>
      <c r="BF115" s="240">
        <f>COUNTIFS(_05preva_view43[Site ID],_05preva_view43[[#This Row],[Site ID]],_05preva_view43[Prevalidation Status],"Under Prevalidation")</f>
        <v>0</v>
      </c>
      <c r="BG11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5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.xlsx</v>
      </c>
      <c r="BI115" s="64" t="e">
        <f t="shared" ca="1" si="2"/>
        <v>#VALUE!</v>
      </c>
      <c r="BJ115" s="104" t="e">
        <f ca="1">LEFT(CELL("filename",A100),_05preva_view43[[#This Row],[Find Process &amp; Database]]-1)</f>
        <v>#VALUE!</v>
      </c>
      <c r="BK115" s="104" t="e">
        <f ca="1">_05preva_view43[Folder Path1]&amp;"Process &amp; Database\Documentation\Colo Applications"</f>
        <v>#VALUE!</v>
      </c>
      <c r="BL115" s="104" t="e">
        <f ca="1">_05preva_view43[Folder Path2]&amp;"\Colo App "&amp;_05preva_view43[[#This Row],[Operator]]&amp;"\"</f>
        <v>#VALUE!</v>
      </c>
      <c r="BM115" s="63" t="e">
        <f ca="1">_05preva_view43[[#This Row],[Folder Path3]]&amp;_05preva_view43[[#This Row],[File Name]]</f>
        <v>#VALUE!</v>
      </c>
      <c r="BN115" s="104"/>
      <c r="CF115" s="5"/>
      <c r="CG115" s="5"/>
      <c r="CH115" s="3"/>
      <c r="CJ115" s="5"/>
      <c r="CN115" s="3"/>
      <c r="CO115" s="3"/>
      <c r="CP115" s="5"/>
      <c r="CR115" s="3"/>
      <c r="DN115" s="5"/>
      <c r="DP115" s="3"/>
      <c r="EB115" s="7"/>
      <c r="EC115" s="7"/>
      <c r="EF115" s="4"/>
      <c r="EG115" s="4"/>
      <c r="EQ115" s="2"/>
      <c r="ER115" s="2"/>
    </row>
    <row r="116" spans="1:148">
      <c r="A116" s="227">
        <v>3517</v>
      </c>
      <c r="B116" s="228" t="s">
        <v>1175</v>
      </c>
      <c r="C116" s="228" t="s">
        <v>116</v>
      </c>
      <c r="D116" s="228" t="s">
        <v>153</v>
      </c>
      <c r="E116" s="228" t="s">
        <v>1176</v>
      </c>
      <c r="F116" s="228" t="s">
        <v>35</v>
      </c>
      <c r="G116" s="228" t="s">
        <v>1287</v>
      </c>
      <c r="H116" s="228" t="s">
        <v>1285</v>
      </c>
      <c r="I116" s="228" t="s">
        <v>1403</v>
      </c>
      <c r="J116" s="228" t="s">
        <v>727</v>
      </c>
      <c r="K116" s="229">
        <v>43452</v>
      </c>
      <c r="L116" s="230">
        <v>2.16</v>
      </c>
      <c r="M116" s="230">
        <v>2.7</v>
      </c>
      <c r="N116" s="228">
        <v>6.0010000000000003</v>
      </c>
      <c r="O116" s="228" t="s">
        <v>119</v>
      </c>
      <c r="P116" s="231" t="s">
        <v>227</v>
      </c>
      <c r="Q116" s="231" t="s">
        <v>228</v>
      </c>
      <c r="R116" s="228" t="s">
        <v>24</v>
      </c>
      <c r="S116" s="228"/>
      <c r="T116" s="232" t="s">
        <v>615</v>
      </c>
      <c r="U116" s="228"/>
      <c r="V116" s="232" t="s">
        <v>615</v>
      </c>
      <c r="W116" s="228"/>
      <c r="X116" s="232" t="s">
        <v>120</v>
      </c>
      <c r="Y116" s="228" t="s">
        <v>1404</v>
      </c>
      <c r="Z116" s="233" t="s">
        <v>141</v>
      </c>
      <c r="AA116" s="234"/>
      <c r="AB116" s="234"/>
      <c r="AC116" s="235" t="s">
        <v>123</v>
      </c>
      <c r="AD116" s="228" t="s">
        <v>1405</v>
      </c>
      <c r="AE116" s="232" t="s">
        <v>120</v>
      </c>
      <c r="AF116" s="229"/>
      <c r="AG116" s="236"/>
      <c r="AH116" s="236"/>
      <c r="AI116" s="228"/>
      <c r="AJ116" s="232" t="s">
        <v>120</v>
      </c>
      <c r="AK116" s="228" t="s">
        <v>123</v>
      </c>
      <c r="AL116" s="228" t="s">
        <v>935</v>
      </c>
      <c r="AM116" s="232"/>
      <c r="AN116" s="228"/>
      <c r="AO116" s="228"/>
      <c r="AP116" s="237"/>
      <c r="AQ116" s="228"/>
      <c r="AR116" s="232" t="s">
        <v>1545</v>
      </c>
      <c r="AS116" s="228" t="s">
        <v>1720</v>
      </c>
      <c r="AT116" s="229">
        <v>43453.414149652803</v>
      </c>
      <c r="AU116" s="229">
        <v>43480.567753009302</v>
      </c>
      <c r="AV116" s="229"/>
      <c r="AW116" s="229">
        <v>43453.414149652803</v>
      </c>
      <c r="AX116" s="229"/>
      <c r="AY116" s="229"/>
      <c r="AZ116" s="238">
        <v>43481.412547916698</v>
      </c>
      <c r="BA116" s="1" t="s">
        <v>7684</v>
      </c>
      <c r="BB116"/>
      <c r="BC116">
        <v>50</v>
      </c>
      <c r="BD116">
        <v>614</v>
      </c>
      <c r="BE11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29.412547916697804</v>
      </c>
      <c r="BF116" s="240">
        <f>COUNTIFS(_05preva_view43[Site ID],_05preva_view43[[#This Row],[Site ID]],_05preva_view43[Prevalidation Status],"Under Prevalidation")</f>
        <v>0</v>
      </c>
      <c r="BG11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6" s="242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3.xlsx</v>
      </c>
      <c r="BI116" s="64" t="e">
        <f t="shared" ca="1" si="2"/>
        <v>#VALUE!</v>
      </c>
      <c r="BJ116" s="104" t="e">
        <f ca="1">LEFT(CELL("filename",A101),_05preva_view43[[#This Row],[Find Process &amp; Database]]-1)</f>
        <v>#VALUE!</v>
      </c>
      <c r="BK116" s="104" t="e">
        <f ca="1">_05preva_view43[Folder Path1]&amp;"Process &amp; Database\Documentation\Colo Applications"</f>
        <v>#VALUE!</v>
      </c>
      <c r="BL116" s="104" t="e">
        <f ca="1">_05preva_view43[Folder Path2]&amp;"\Colo App "&amp;_05preva_view43[[#This Row],[Operator]]&amp;"\"</f>
        <v>#VALUE!</v>
      </c>
      <c r="BM116" s="63" t="e">
        <f ca="1">_05preva_view43[[#This Row],[Folder Path3]]&amp;_05preva_view43[[#This Row],[File Name]]</f>
        <v>#VALUE!</v>
      </c>
      <c r="BN116" s="104"/>
      <c r="CF116" s="5"/>
      <c r="CG116" s="5"/>
      <c r="CH116" s="3"/>
      <c r="CJ116" s="5"/>
      <c r="CN116" s="3"/>
      <c r="CO116" s="3"/>
      <c r="CP116" s="5"/>
      <c r="CR116" s="3"/>
      <c r="DN116" s="5"/>
      <c r="DP116" s="3"/>
      <c r="EB116" s="7"/>
      <c r="EC116" s="7"/>
      <c r="EF116" s="4"/>
      <c r="EG116" s="4"/>
      <c r="EQ116" s="2"/>
      <c r="ER116" s="2"/>
    </row>
    <row r="117" spans="1:148">
      <c r="A117" s="227">
        <v>3518</v>
      </c>
      <c r="B117" s="228" t="s">
        <v>1406</v>
      </c>
      <c r="C117" s="228" t="s">
        <v>116</v>
      </c>
      <c r="D117" s="228" t="s">
        <v>127</v>
      </c>
      <c r="E117" s="228" t="s">
        <v>1407</v>
      </c>
      <c r="F117" s="228" t="s">
        <v>35</v>
      </c>
      <c r="G117" s="228" t="s">
        <v>1287</v>
      </c>
      <c r="H117" s="228" t="s">
        <v>1290</v>
      </c>
      <c r="I117" s="228" t="s">
        <v>814</v>
      </c>
      <c r="J117" s="228" t="s">
        <v>686</v>
      </c>
      <c r="K117" s="229">
        <v>43452</v>
      </c>
      <c r="L117" s="230">
        <v>1.175</v>
      </c>
      <c r="M117" s="230">
        <v>2.1389999999999998</v>
      </c>
      <c r="N117" s="228">
        <v>4.29</v>
      </c>
      <c r="O117" s="228" t="s">
        <v>119</v>
      </c>
      <c r="P117" s="231" t="s">
        <v>240</v>
      </c>
      <c r="Q117" s="231" t="s">
        <v>241</v>
      </c>
      <c r="R117" s="228" t="s">
        <v>24</v>
      </c>
      <c r="S117" s="228"/>
      <c r="T117" s="232" t="s">
        <v>120</v>
      </c>
      <c r="U117" s="228" t="s">
        <v>1408</v>
      </c>
      <c r="V117" s="232" t="s">
        <v>120</v>
      </c>
      <c r="W117" s="228"/>
      <c r="X117" s="232" t="s">
        <v>120</v>
      </c>
      <c r="Y117" s="228" t="s">
        <v>1409</v>
      </c>
      <c r="Z117" s="233" t="s">
        <v>120</v>
      </c>
      <c r="AA117" s="234"/>
      <c r="AB117" s="234"/>
      <c r="AC117" s="235" t="s">
        <v>123</v>
      </c>
      <c r="AD117" s="228" t="s">
        <v>1410</v>
      </c>
      <c r="AE117" s="232" t="s">
        <v>120</v>
      </c>
      <c r="AF117" s="229"/>
      <c r="AG117" s="236"/>
      <c r="AH117" s="236"/>
      <c r="AI117" s="228"/>
      <c r="AJ117" s="232" t="s">
        <v>120</v>
      </c>
      <c r="AK117" s="228" t="s">
        <v>123</v>
      </c>
      <c r="AL117" s="228" t="s">
        <v>935</v>
      </c>
      <c r="AM117" s="232"/>
      <c r="AN117" s="228"/>
      <c r="AO117" s="228"/>
      <c r="AP117" s="237"/>
      <c r="AQ117" s="228"/>
      <c r="AR117" s="232"/>
      <c r="AS117" s="228"/>
      <c r="AT117" s="229">
        <v>43453.414151504599</v>
      </c>
      <c r="AU117" s="229">
        <v>43479.735410763897</v>
      </c>
      <c r="AV117" s="229">
        <v>43453.663259259301</v>
      </c>
      <c r="AW117" s="229">
        <v>43453.414151504599</v>
      </c>
      <c r="AX117" s="229">
        <v>43460.604116666698</v>
      </c>
      <c r="AY117" s="229">
        <v>43453.6699806713</v>
      </c>
      <c r="AZ117" s="238">
        <v>43480.437795254598</v>
      </c>
      <c r="BA117" s="1" t="s">
        <v>7684</v>
      </c>
      <c r="BB117"/>
      <c r="BC117">
        <v>60</v>
      </c>
      <c r="BD117">
        <v>1235</v>
      </c>
      <c r="BE11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28.437795254598313</v>
      </c>
      <c r="BF117" s="240">
        <f>COUNTIFS(_05preva_view43[Site ID],_05preva_view43[[#This Row],[Site ID]],_05preva_view43[Prevalidation Status],"Under Prevalidation")</f>
        <v>0</v>
      </c>
      <c r="BG11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7" s="242" t="str">
        <f>CONCATENATE(_05preva_view43[[#This Row],[Site ID]]," (",_05preva_view43[[#This Row],[tenant id]],") Application",IF(_05preva_view43[[#This Row],[Colo Rev]]&gt;0," Rev "&amp;_05preva_view43[[#This Row],[Colo Rev]],""),".xlsx")</f>
        <v>ANMD_0136 (MDY01437) Application Rev 2.xlsx</v>
      </c>
      <c r="BI117" s="64" t="e">
        <f t="shared" ca="1" si="2"/>
        <v>#VALUE!</v>
      </c>
      <c r="BJ117" s="104" t="e">
        <f ca="1">LEFT(CELL("filename",A102),_05preva_view43[[#This Row],[Find Process &amp; Database]]-1)</f>
        <v>#VALUE!</v>
      </c>
      <c r="BK117" s="104" t="e">
        <f ca="1">_05preva_view43[Folder Path1]&amp;"Process &amp; Database\Documentation\Colo Applications"</f>
        <v>#VALUE!</v>
      </c>
      <c r="BL117" s="104" t="e">
        <f ca="1">_05preva_view43[Folder Path2]&amp;"\Colo App "&amp;_05preva_view43[[#This Row],[Operator]]&amp;"\"</f>
        <v>#VALUE!</v>
      </c>
      <c r="BM117" s="63" t="e">
        <f ca="1">_05preva_view43[[#This Row],[Folder Path3]]&amp;_05preva_view43[[#This Row],[File Name]]</f>
        <v>#VALUE!</v>
      </c>
      <c r="BN117" s="104"/>
      <c r="CF117" s="5"/>
      <c r="CG117" s="5"/>
      <c r="CH117" s="3"/>
      <c r="CJ117" s="5"/>
      <c r="CN117" s="3"/>
      <c r="CO117" s="3"/>
      <c r="CP117" s="5"/>
      <c r="CR117" s="3"/>
      <c r="DN117" s="5"/>
      <c r="DP117" s="3"/>
      <c r="EB117" s="7"/>
      <c r="EC117" s="7"/>
      <c r="EF117" s="4"/>
      <c r="EG117" s="4"/>
      <c r="EQ117" s="2"/>
      <c r="ER117" s="2"/>
    </row>
    <row r="118" spans="1:148">
      <c r="A118" s="227">
        <v>3519</v>
      </c>
      <c r="B118" s="228" t="s">
        <v>1411</v>
      </c>
      <c r="C118" s="228" t="s">
        <v>278</v>
      </c>
      <c r="D118" s="228" t="s">
        <v>127</v>
      </c>
      <c r="E118" s="228" t="s">
        <v>1412</v>
      </c>
      <c r="F118" s="228" t="s">
        <v>35</v>
      </c>
      <c r="G118" s="228" t="s">
        <v>1292</v>
      </c>
      <c r="H118" s="228" t="s">
        <v>1290</v>
      </c>
      <c r="I118" s="228" t="s">
        <v>814</v>
      </c>
      <c r="J118" s="228" t="s">
        <v>668</v>
      </c>
      <c r="K118" s="229">
        <v>43452</v>
      </c>
      <c r="L118" s="230">
        <v>1.175</v>
      </c>
      <c r="M118" s="230">
        <v>2.1389999999999998</v>
      </c>
      <c r="N118" s="228">
        <v>5.64</v>
      </c>
      <c r="O118" s="228" t="s">
        <v>687</v>
      </c>
      <c r="P118" s="231" t="s">
        <v>655</v>
      </c>
      <c r="Q118" s="231" t="s">
        <v>669</v>
      </c>
      <c r="R118" s="228" t="s">
        <v>24</v>
      </c>
      <c r="S118" s="228"/>
      <c r="T118" s="232" t="s">
        <v>120</v>
      </c>
      <c r="U118" s="228"/>
      <c r="V118" s="232" t="s">
        <v>120</v>
      </c>
      <c r="W118" s="228"/>
      <c r="X118" s="232" t="s">
        <v>120</v>
      </c>
      <c r="Y118" s="228" t="s">
        <v>1413</v>
      </c>
      <c r="Z118" s="233" t="s">
        <v>120</v>
      </c>
      <c r="AA118" s="234"/>
      <c r="AB118" s="234"/>
      <c r="AC118" s="235" t="s">
        <v>123</v>
      </c>
      <c r="AD118" s="228" t="s">
        <v>1414</v>
      </c>
      <c r="AE118" s="232" t="s">
        <v>120</v>
      </c>
      <c r="AF118" s="229"/>
      <c r="AG118" s="236"/>
      <c r="AH118" s="236"/>
      <c r="AI118" s="228" t="s">
        <v>1721</v>
      </c>
      <c r="AJ118" s="232" t="s">
        <v>120</v>
      </c>
      <c r="AK118" s="228" t="s">
        <v>123</v>
      </c>
      <c r="AL118" s="228" t="s">
        <v>935</v>
      </c>
      <c r="AM118" s="232"/>
      <c r="AN118" s="228"/>
      <c r="AO118" s="228"/>
      <c r="AP118" s="237"/>
      <c r="AQ118" s="228"/>
      <c r="AR118" s="232"/>
      <c r="AS118" s="228"/>
      <c r="AT118" s="229">
        <v>43453.414153819402</v>
      </c>
      <c r="AU118" s="229">
        <v>43479.735415972202</v>
      </c>
      <c r="AV118" s="229">
        <v>43454.667723032398</v>
      </c>
      <c r="AW118" s="229">
        <v>43453.414153819402</v>
      </c>
      <c r="AX118" s="229">
        <v>43472.656804050901</v>
      </c>
      <c r="AY118" s="229">
        <v>43452.731311921299</v>
      </c>
      <c r="AZ118" s="238">
        <v>43480.437795833299</v>
      </c>
      <c r="BA118" s="1" t="s">
        <v>7684</v>
      </c>
      <c r="BB118">
        <v>130</v>
      </c>
      <c r="BC118">
        <v>60</v>
      </c>
      <c r="BD118">
        <v>2643</v>
      </c>
      <c r="BE11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28.437795833298878</v>
      </c>
      <c r="BF118" s="240">
        <f>COUNTIFS(_05preva_view43[Site ID],_05preva_view43[[#This Row],[Site ID]],_05preva_view43[Prevalidation Status],"Under Prevalidation")</f>
        <v>0</v>
      </c>
      <c r="BG11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8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1-01-01010-003 (KCN00441) Application Rev 1.xlsx</v>
      </c>
      <c r="BI118" s="64" t="e">
        <f t="shared" ca="1" si="2"/>
        <v>#VALUE!</v>
      </c>
      <c r="BJ118" s="104" t="e">
        <f ca="1">LEFT(CELL("filename",A103),_05preva_view43[[#This Row],[Find Process &amp; Database]]-1)</f>
        <v>#VALUE!</v>
      </c>
      <c r="BK118" s="104" t="e">
        <f ca="1">_05preva_view43[Folder Path1]&amp;"Process &amp; Database\Documentation\Colo Applications"</f>
        <v>#VALUE!</v>
      </c>
      <c r="BL118" s="104" t="e">
        <f ca="1">_05preva_view43[Folder Path2]&amp;"\Colo App "&amp;_05preva_view43[[#This Row],[Operator]]&amp;"\"</f>
        <v>#VALUE!</v>
      </c>
      <c r="BM118" s="63" t="e">
        <f ca="1">_05preva_view43[[#This Row],[Folder Path3]]&amp;_05preva_view43[[#This Row],[File Name]]</f>
        <v>#VALUE!</v>
      </c>
      <c r="BN118" s="104"/>
      <c r="CF118" s="5"/>
      <c r="CG118" s="5"/>
      <c r="CH118" s="3"/>
      <c r="CJ118" s="5"/>
      <c r="CN118" s="3"/>
      <c r="CO118" s="3"/>
      <c r="CP118" s="5"/>
      <c r="CR118" s="3"/>
      <c r="DN118" s="5"/>
      <c r="DP118" s="3"/>
      <c r="EB118" s="7"/>
      <c r="EC118" s="7"/>
      <c r="EF118" s="4"/>
      <c r="EG118" s="4"/>
      <c r="EQ118" s="2"/>
      <c r="ER118" s="2"/>
    </row>
    <row r="119" spans="1:148">
      <c r="A119" s="227">
        <v>3520</v>
      </c>
      <c r="B119" s="228" t="s">
        <v>238</v>
      </c>
      <c r="C119" s="228" t="s">
        <v>116</v>
      </c>
      <c r="D119" s="228" t="s">
        <v>127</v>
      </c>
      <c r="E119" s="228" t="s">
        <v>1415</v>
      </c>
      <c r="F119" s="228" t="s">
        <v>35</v>
      </c>
      <c r="G119" s="228" t="s">
        <v>1287</v>
      </c>
      <c r="H119" s="228" t="s">
        <v>1290</v>
      </c>
      <c r="I119" s="228" t="s">
        <v>1416</v>
      </c>
      <c r="J119" s="228" t="s">
        <v>686</v>
      </c>
      <c r="K119" s="229">
        <v>43452</v>
      </c>
      <c r="L119" s="230">
        <v>1.175</v>
      </c>
      <c r="M119" s="230">
        <v>2.1389999999999998</v>
      </c>
      <c r="N119" s="228">
        <v>4.32</v>
      </c>
      <c r="O119" s="228" t="s">
        <v>119</v>
      </c>
      <c r="P119" s="231" t="s">
        <v>509</v>
      </c>
      <c r="Q119" s="231" t="s">
        <v>799</v>
      </c>
      <c r="R119" s="228" t="s">
        <v>24</v>
      </c>
      <c r="S119" s="228"/>
      <c r="T119" s="232" t="s">
        <v>120</v>
      </c>
      <c r="U119" s="228" t="s">
        <v>1408</v>
      </c>
      <c r="V119" s="232" t="s">
        <v>120</v>
      </c>
      <c r="W119" s="228"/>
      <c r="X119" s="232" t="s">
        <v>120</v>
      </c>
      <c r="Y119" s="228" t="s">
        <v>1417</v>
      </c>
      <c r="Z119" s="233" t="s">
        <v>120</v>
      </c>
      <c r="AA119" s="234"/>
      <c r="AB119" s="234"/>
      <c r="AC119" s="235" t="s">
        <v>123</v>
      </c>
      <c r="AD119" s="228" t="s">
        <v>1418</v>
      </c>
      <c r="AE119" s="232" t="s">
        <v>120</v>
      </c>
      <c r="AF119" s="229"/>
      <c r="AG119" s="236"/>
      <c r="AH119" s="236"/>
      <c r="AI119" s="228"/>
      <c r="AJ119" s="232" t="s">
        <v>120</v>
      </c>
      <c r="AK119" s="228" t="s">
        <v>123</v>
      </c>
      <c r="AL119" s="228" t="s">
        <v>935</v>
      </c>
      <c r="AM119" s="232"/>
      <c r="AN119" s="228"/>
      <c r="AO119" s="228"/>
      <c r="AP119" s="237"/>
      <c r="AQ119" s="228"/>
      <c r="AR119" s="232"/>
      <c r="AS119" s="228"/>
      <c r="AT119" s="229">
        <v>43453.414155555598</v>
      </c>
      <c r="AU119" s="229">
        <v>43479.735416666699</v>
      </c>
      <c r="AV119" s="229">
        <v>43454.6677239583</v>
      </c>
      <c r="AW119" s="229">
        <v>43453.414155555598</v>
      </c>
      <c r="AX119" s="229">
        <v>43460.6041184028</v>
      </c>
      <c r="AY119" s="229">
        <v>43453.669993518502</v>
      </c>
      <c r="AZ119" s="238">
        <v>43480.437796527804</v>
      </c>
      <c r="BA119" s="1" t="s">
        <v>7684</v>
      </c>
      <c r="BB119"/>
      <c r="BC119">
        <v>50</v>
      </c>
      <c r="BD119">
        <v>88</v>
      </c>
      <c r="BE11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28.437796527803584</v>
      </c>
      <c r="BF119" s="240">
        <f>COUNTIFS(_05preva_view43[Site ID],_05preva_view43[[#This Row],[Site ID]],_05preva_view43[Prevalidation Status],"Under Prevalidation")</f>
        <v>0</v>
      </c>
      <c r="BG11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19" s="242" t="str">
        <f>CONCATENATE(_05preva_view43[[#This Row],[Site ID]]," (",_05preva_view43[[#This Row],[tenant id]],") Application",IF(_05preva_view43[[#This Row],[Colo Rev]]&gt;0," Rev "&amp;_05preva_view43[[#This Row],[Colo Rev]],""),".xlsx")</f>
        <v>ANKC_0017 (KCN00564) Application Rev 2.xlsx</v>
      </c>
      <c r="BI119" s="64" t="e">
        <f t="shared" ca="1" si="2"/>
        <v>#VALUE!</v>
      </c>
      <c r="BJ119" s="104" t="e">
        <f ca="1">LEFT(CELL("filename",A104),_05preva_view43[[#This Row],[Find Process &amp; Database]]-1)</f>
        <v>#VALUE!</v>
      </c>
      <c r="BK119" s="104" t="e">
        <f ca="1">_05preva_view43[Folder Path1]&amp;"Process &amp; Database\Documentation\Colo Applications"</f>
        <v>#VALUE!</v>
      </c>
      <c r="BL119" s="104" t="e">
        <f ca="1">_05preva_view43[Folder Path2]&amp;"\Colo App "&amp;_05preva_view43[[#This Row],[Operator]]&amp;"\"</f>
        <v>#VALUE!</v>
      </c>
      <c r="BM119" s="63" t="e">
        <f ca="1">_05preva_view43[[#This Row],[Folder Path3]]&amp;_05preva_view43[[#This Row],[File Name]]</f>
        <v>#VALUE!</v>
      </c>
      <c r="BN119" s="104"/>
      <c r="CF119" s="5"/>
      <c r="CG119" s="5"/>
      <c r="CH119" s="3"/>
      <c r="CJ119" s="5"/>
      <c r="CN119" s="3"/>
      <c r="CO119" s="3"/>
      <c r="CP119" s="5"/>
      <c r="CR119" s="3"/>
      <c r="DN119" s="5"/>
      <c r="DP119" s="3"/>
      <c r="EB119" s="7"/>
      <c r="EC119" s="7"/>
      <c r="EF119" s="4"/>
      <c r="EG119" s="4"/>
      <c r="EQ119" s="2"/>
      <c r="ER119" s="2"/>
    </row>
    <row r="120" spans="1:148">
      <c r="A120" s="227">
        <v>3512</v>
      </c>
      <c r="B120" s="228" t="s">
        <v>1419</v>
      </c>
      <c r="C120" s="228" t="s">
        <v>278</v>
      </c>
      <c r="D120" s="228" t="s">
        <v>117</v>
      </c>
      <c r="E120" s="228" t="s">
        <v>1420</v>
      </c>
      <c r="F120" s="228" t="s">
        <v>35</v>
      </c>
      <c r="G120" s="228" t="s">
        <v>1292</v>
      </c>
      <c r="H120" s="228" t="s">
        <v>1285</v>
      </c>
      <c r="I120" s="228" t="s">
        <v>790</v>
      </c>
      <c r="J120" s="228" t="s">
        <v>727</v>
      </c>
      <c r="K120" s="229">
        <v>43451</v>
      </c>
      <c r="L120" s="230">
        <v>3.44</v>
      </c>
      <c r="M120" s="230">
        <v>4.3</v>
      </c>
      <c r="N120" s="228">
        <v>7.63</v>
      </c>
      <c r="O120" s="228" t="s">
        <v>687</v>
      </c>
      <c r="P120" s="231" t="s">
        <v>240</v>
      </c>
      <c r="Q120" s="231" t="s">
        <v>755</v>
      </c>
      <c r="R120" s="228" t="s">
        <v>24</v>
      </c>
      <c r="S120" s="228"/>
      <c r="T120" s="232" t="s">
        <v>615</v>
      </c>
      <c r="U120" s="228"/>
      <c r="V120" s="232" t="s">
        <v>120</v>
      </c>
      <c r="W120" s="228"/>
      <c r="X120" s="232" t="s">
        <v>120</v>
      </c>
      <c r="Y120" s="228" t="s">
        <v>1421</v>
      </c>
      <c r="Z120" s="233" t="s">
        <v>120</v>
      </c>
      <c r="AA120" s="234"/>
      <c r="AB120" s="234"/>
      <c r="AC120" s="235" t="s">
        <v>123</v>
      </c>
      <c r="AD120" s="228" t="s">
        <v>1422</v>
      </c>
      <c r="AE120" s="232" t="s">
        <v>120</v>
      </c>
      <c r="AF120" s="229" t="s">
        <v>1423</v>
      </c>
      <c r="AG120" s="236"/>
      <c r="AH120" s="236"/>
      <c r="AI120" s="228" t="s">
        <v>1306</v>
      </c>
      <c r="AJ120" s="232" t="s">
        <v>120</v>
      </c>
      <c r="AK120" s="228" t="s">
        <v>123</v>
      </c>
      <c r="AL120" s="228" t="s">
        <v>935</v>
      </c>
      <c r="AM120" s="232"/>
      <c r="AN120" s="228"/>
      <c r="AO120" s="228"/>
      <c r="AP120" s="237"/>
      <c r="AQ120" s="228"/>
      <c r="AR120" s="232"/>
      <c r="AS120" s="228"/>
      <c r="AT120" s="229">
        <v>43452.439615162002</v>
      </c>
      <c r="AU120" s="229">
        <v>43452.507346527796</v>
      </c>
      <c r="AV120" s="229">
        <v>43452.672315625001</v>
      </c>
      <c r="AW120" s="229">
        <v>43452.439615162002</v>
      </c>
      <c r="AX120" s="229"/>
      <c r="AY120" s="229">
        <v>43451.729554513899</v>
      </c>
      <c r="AZ120" s="238">
        <v>43453.663835300897</v>
      </c>
      <c r="BA120" s="1" t="s">
        <v>7684</v>
      </c>
      <c r="BB120">
        <v>130</v>
      </c>
      <c r="BC120">
        <v>60</v>
      </c>
      <c r="BD120">
        <v>2899</v>
      </c>
      <c r="BE12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2.6638353008966078</v>
      </c>
      <c r="BF120" s="240">
        <f>COUNTIFS(_05preva_view43[Site ID],_05preva_view43[[#This Row],[Site ID]],_05preva_view43[Prevalidation Status],"Under Prevalidation")</f>
        <v>0</v>
      </c>
      <c r="BG12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0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1-01-14001-010 (SHS00100) Application Rev 3.xlsx</v>
      </c>
      <c r="BI120" s="64" t="e">
        <f t="shared" ca="1" si="2"/>
        <v>#VALUE!</v>
      </c>
      <c r="BJ120" s="104" t="e">
        <f ca="1">LEFT(CELL("filename",A105),_05preva_view43[[#This Row],[Find Process &amp; Database]]-1)</f>
        <v>#VALUE!</v>
      </c>
      <c r="BK120" s="104" t="e">
        <f ca="1">_05preva_view43[Folder Path1]&amp;"Process &amp; Database\Documentation\Colo Applications"</f>
        <v>#VALUE!</v>
      </c>
      <c r="BL120" s="104" t="e">
        <f ca="1">_05preva_view43[Folder Path2]&amp;"\Colo App "&amp;_05preva_view43[[#This Row],[Operator]]&amp;"\"</f>
        <v>#VALUE!</v>
      </c>
      <c r="BM120" s="63" t="e">
        <f ca="1">_05preva_view43[[#This Row],[Folder Path3]]&amp;_05preva_view43[[#This Row],[File Name]]</f>
        <v>#VALUE!</v>
      </c>
      <c r="BN120" s="104"/>
      <c r="CF120" s="5"/>
      <c r="CG120" s="5"/>
      <c r="CH120" s="3"/>
      <c r="CJ120" s="5"/>
      <c r="CN120" s="3"/>
      <c r="CO120" s="3"/>
      <c r="CP120" s="5"/>
      <c r="CR120" s="3"/>
      <c r="DN120" s="5"/>
      <c r="DP120" s="3"/>
      <c r="EB120" s="7"/>
      <c r="EC120" s="7"/>
      <c r="EF120" s="4"/>
      <c r="EG120" s="4"/>
      <c r="EQ120" s="2"/>
      <c r="ER120" s="2"/>
    </row>
    <row r="121" spans="1:148">
      <c r="A121" s="227">
        <v>3513</v>
      </c>
      <c r="B121" s="228" t="s">
        <v>878</v>
      </c>
      <c r="C121" s="228" t="s">
        <v>278</v>
      </c>
      <c r="D121" s="228" t="s">
        <v>117</v>
      </c>
      <c r="E121" s="228" t="s">
        <v>879</v>
      </c>
      <c r="F121" s="228" t="s">
        <v>35</v>
      </c>
      <c r="G121" s="228" t="s">
        <v>1293</v>
      </c>
      <c r="H121" s="228" t="s">
        <v>1290</v>
      </c>
      <c r="I121" s="228" t="s">
        <v>881</v>
      </c>
      <c r="J121" s="228" t="s">
        <v>694</v>
      </c>
      <c r="K121" s="229">
        <v>43451</v>
      </c>
      <c r="L121" s="230">
        <v>0.58399999999999996</v>
      </c>
      <c r="M121" s="230">
        <v>0.879</v>
      </c>
      <c r="N121" s="228"/>
      <c r="O121" s="228" t="s">
        <v>687</v>
      </c>
      <c r="P121" s="231" t="s">
        <v>765</v>
      </c>
      <c r="Q121" s="231" t="s">
        <v>766</v>
      </c>
      <c r="R121" s="228" t="s">
        <v>24</v>
      </c>
      <c r="S121" s="228"/>
      <c r="T121" s="232" t="s">
        <v>615</v>
      </c>
      <c r="U121" s="228"/>
      <c r="V121" s="232" t="s">
        <v>615</v>
      </c>
      <c r="W121" s="228"/>
      <c r="X121" s="232" t="s">
        <v>615</v>
      </c>
      <c r="Y121" s="228"/>
      <c r="Z121" s="233" t="s">
        <v>615</v>
      </c>
      <c r="AA121" s="234"/>
      <c r="AB121" s="234"/>
      <c r="AC121" s="235"/>
      <c r="AD121" s="228"/>
      <c r="AE121" s="232" t="s">
        <v>120</v>
      </c>
      <c r="AF121" s="229" t="s">
        <v>1424</v>
      </c>
      <c r="AG121" s="236"/>
      <c r="AH121" s="236"/>
      <c r="AI121" s="228"/>
      <c r="AJ121" s="232" t="s">
        <v>615</v>
      </c>
      <c r="AK121" s="228"/>
      <c r="AL121" s="228"/>
      <c r="AM121" s="232"/>
      <c r="AN121" s="228"/>
      <c r="AO121" s="228"/>
      <c r="AP121" s="237"/>
      <c r="AQ121" s="228"/>
      <c r="AR121" s="232"/>
      <c r="AS121" s="228"/>
      <c r="AT121" s="229"/>
      <c r="AU121" s="229">
        <v>43452.5073486111</v>
      </c>
      <c r="AV121" s="229"/>
      <c r="AW121" s="229"/>
      <c r="AX121" s="229"/>
      <c r="AY121" s="229"/>
      <c r="AZ121" s="238">
        <v>43452.584178935198</v>
      </c>
      <c r="BA121" s="1" t="s">
        <v>7684</v>
      </c>
      <c r="BB121">
        <v>130</v>
      </c>
      <c r="BC121">
        <v>60</v>
      </c>
      <c r="BD121">
        <v>3394</v>
      </c>
      <c r="BE12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1.5841789351979969</v>
      </c>
      <c r="BF121" s="240">
        <f>COUNTIFS(_05preva_view43[Site ID],_05preva_view43[[#This Row],[Site ID]],_05preva_view43[Prevalidation Status],"Under Prevalidation")</f>
        <v>0</v>
      </c>
      <c r="BG12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1" s="242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4.xlsx</v>
      </c>
      <c r="BI121" s="64" t="e">
        <f t="shared" ca="1" si="2"/>
        <v>#VALUE!</v>
      </c>
      <c r="BJ121" s="104" t="e">
        <f ca="1">LEFT(CELL("filename",A106),_05preva_view43[[#This Row],[Find Process &amp; Database]]-1)</f>
        <v>#VALUE!</v>
      </c>
      <c r="BK121" s="104" t="e">
        <f ca="1">_05preva_view43[Folder Path1]&amp;"Process &amp; Database\Documentation\Colo Applications"</f>
        <v>#VALUE!</v>
      </c>
      <c r="BL121" s="104" t="e">
        <f ca="1">_05preva_view43[Folder Path2]&amp;"\Colo App "&amp;_05preva_view43[[#This Row],[Operator]]&amp;"\"</f>
        <v>#VALUE!</v>
      </c>
      <c r="BM121" s="63" t="e">
        <f ca="1">_05preva_view43[[#This Row],[Folder Path3]]&amp;_05preva_view43[[#This Row],[File Name]]</f>
        <v>#VALUE!</v>
      </c>
      <c r="BN121" s="104"/>
      <c r="CF121" s="5"/>
      <c r="CG121" s="5"/>
      <c r="CH121" s="3"/>
      <c r="CJ121" s="5"/>
      <c r="CN121" s="3"/>
      <c r="CO121" s="3"/>
      <c r="CP121" s="5"/>
      <c r="CR121" s="3"/>
      <c r="DN121" s="5"/>
      <c r="DP121" s="3"/>
      <c r="EB121" s="7"/>
      <c r="EC121" s="7"/>
      <c r="EF121" s="4"/>
      <c r="EG121" s="4"/>
      <c r="EQ121" s="2"/>
      <c r="ER121" s="2"/>
    </row>
    <row r="122" spans="1:148">
      <c r="A122" s="227">
        <v>3514</v>
      </c>
      <c r="B122" s="228" t="s">
        <v>1425</v>
      </c>
      <c r="C122" s="228" t="s">
        <v>278</v>
      </c>
      <c r="D122" s="228" t="s">
        <v>127</v>
      </c>
      <c r="E122" s="228" t="s">
        <v>1426</v>
      </c>
      <c r="F122" s="228" t="s">
        <v>35</v>
      </c>
      <c r="G122" s="228" t="s">
        <v>1292</v>
      </c>
      <c r="H122" s="228" t="s">
        <v>1290</v>
      </c>
      <c r="I122" s="228" t="s">
        <v>970</v>
      </c>
      <c r="J122" s="228" t="s">
        <v>668</v>
      </c>
      <c r="K122" s="229">
        <v>43451</v>
      </c>
      <c r="L122" s="230">
        <v>1</v>
      </c>
      <c r="M122" s="230">
        <v>1.4</v>
      </c>
      <c r="N122" s="228"/>
      <c r="O122" s="228" t="s">
        <v>687</v>
      </c>
      <c r="P122" s="231" t="s">
        <v>705</v>
      </c>
      <c r="Q122" s="231" t="s">
        <v>706</v>
      </c>
      <c r="R122" s="228" t="s">
        <v>24</v>
      </c>
      <c r="S122" s="228"/>
      <c r="T122" s="232" t="s">
        <v>615</v>
      </c>
      <c r="U122" s="228"/>
      <c r="V122" s="232" t="s">
        <v>615</v>
      </c>
      <c r="W122" s="228"/>
      <c r="X122" s="232" t="s">
        <v>615</v>
      </c>
      <c r="Y122" s="228"/>
      <c r="Z122" s="233" t="s">
        <v>615</v>
      </c>
      <c r="AA122" s="234"/>
      <c r="AB122" s="234"/>
      <c r="AC122" s="235"/>
      <c r="AD122" s="228"/>
      <c r="AE122" s="232" t="s">
        <v>120</v>
      </c>
      <c r="AF122" s="229" t="s">
        <v>1427</v>
      </c>
      <c r="AG122" s="236"/>
      <c r="AH122" s="236"/>
      <c r="AI122" s="228" t="s">
        <v>1428</v>
      </c>
      <c r="AJ122" s="232" t="s">
        <v>615</v>
      </c>
      <c r="AK122" s="228"/>
      <c r="AL122" s="228"/>
      <c r="AM122" s="232"/>
      <c r="AN122" s="228"/>
      <c r="AO122" s="228"/>
      <c r="AP122" s="237"/>
      <c r="AQ122" s="228"/>
      <c r="AR122" s="232"/>
      <c r="AS122" s="228"/>
      <c r="AT122" s="229"/>
      <c r="AU122" s="229">
        <v>43452.507353472203</v>
      </c>
      <c r="AV122" s="229"/>
      <c r="AW122" s="229"/>
      <c r="AX122" s="229"/>
      <c r="AY122" s="229"/>
      <c r="AZ122" s="238">
        <v>43452.584182638901</v>
      </c>
      <c r="BA122" s="1" t="s">
        <v>7684</v>
      </c>
      <c r="BB122">
        <v>130</v>
      </c>
      <c r="BC122">
        <v>60</v>
      </c>
      <c r="BD122">
        <v>2958</v>
      </c>
      <c r="BE12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1.5841826389005291</v>
      </c>
      <c r="BF122" s="240">
        <f>COUNTIFS(_05preva_view43[Site ID],_05preva_view43[[#This Row],[Site ID]],_05preva_view43[Prevalidation Status],"Under Prevalidation")</f>
        <v>0</v>
      </c>
      <c r="BG12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2" s="242" t="str">
        <f>CONCATENATE(_05preva_view43[[#This Row],[Site ID]]," (",_05preva_view43[[#This Row],[tenant id]],") Application",IF(_05preva_view43[[#This Row],[Colo Rev]]&gt;0," Rev "&amp;_05preva_view43[[#This Row],[Colo Rev]],""),".xlsx")</f>
        <v>1-01-10009-003 (MDY01362) Application Rev 1.xlsx</v>
      </c>
      <c r="BI122" s="64" t="e">
        <f t="shared" ca="1" si="2"/>
        <v>#VALUE!</v>
      </c>
      <c r="BJ122" s="104" t="e">
        <f ca="1">LEFT(CELL("filename",A107),_05preva_view43[[#This Row],[Find Process &amp; Database]]-1)</f>
        <v>#VALUE!</v>
      </c>
      <c r="BK122" s="104" t="e">
        <f ca="1">_05preva_view43[Folder Path1]&amp;"Process &amp; Database\Documentation\Colo Applications"</f>
        <v>#VALUE!</v>
      </c>
      <c r="BL122" s="104" t="e">
        <f ca="1">_05preva_view43[Folder Path2]&amp;"\Colo App "&amp;_05preva_view43[[#This Row],[Operator]]&amp;"\"</f>
        <v>#VALUE!</v>
      </c>
      <c r="BM122" s="63" t="e">
        <f ca="1">_05preva_view43[[#This Row],[Folder Path3]]&amp;_05preva_view43[[#This Row],[File Name]]</f>
        <v>#VALUE!</v>
      </c>
      <c r="BN122" s="104"/>
      <c r="CF122" s="5"/>
      <c r="CG122" s="5"/>
      <c r="CH122" s="3"/>
      <c r="CJ122" s="5"/>
      <c r="CN122" s="3"/>
      <c r="CO122" s="3"/>
      <c r="CP122" s="5"/>
      <c r="CR122" s="3"/>
      <c r="DN122" s="5"/>
      <c r="DP122" s="3"/>
      <c r="EB122" s="7"/>
      <c r="EC122" s="7"/>
      <c r="EF122" s="4"/>
      <c r="EG122" s="4"/>
      <c r="EQ122" s="2"/>
      <c r="ER122" s="2"/>
    </row>
    <row r="123" spans="1:148">
      <c r="A123" s="227">
        <v>3515</v>
      </c>
      <c r="B123" s="228" t="s">
        <v>1391</v>
      </c>
      <c r="C123" s="228" t="s">
        <v>278</v>
      </c>
      <c r="D123" s="228" t="s">
        <v>127</v>
      </c>
      <c r="E123" s="228" t="s">
        <v>1392</v>
      </c>
      <c r="F123" s="228" t="s">
        <v>35</v>
      </c>
      <c r="G123" s="228" t="s">
        <v>1292</v>
      </c>
      <c r="H123" s="228" t="s">
        <v>1285</v>
      </c>
      <c r="I123" s="228" t="s">
        <v>857</v>
      </c>
      <c r="J123" s="228" t="s">
        <v>686</v>
      </c>
      <c r="K123" s="229">
        <v>43451</v>
      </c>
      <c r="L123" s="230">
        <v>1</v>
      </c>
      <c r="M123" s="230">
        <v>1.4</v>
      </c>
      <c r="N123" s="228">
        <v>4.97</v>
      </c>
      <c r="O123" s="228" t="s">
        <v>687</v>
      </c>
      <c r="P123" s="231" t="s">
        <v>695</v>
      </c>
      <c r="Q123" s="231" t="s">
        <v>696</v>
      </c>
      <c r="R123" s="228" t="s">
        <v>24</v>
      </c>
      <c r="S123" s="228"/>
      <c r="T123" s="232" t="s">
        <v>615</v>
      </c>
      <c r="U123" s="228"/>
      <c r="V123" s="232" t="s">
        <v>120</v>
      </c>
      <c r="W123" s="228"/>
      <c r="X123" s="232" t="s">
        <v>120</v>
      </c>
      <c r="Y123" s="228" t="s">
        <v>1429</v>
      </c>
      <c r="Z123" s="233" t="s">
        <v>120</v>
      </c>
      <c r="AA123" s="234"/>
      <c r="AB123" s="234"/>
      <c r="AC123" s="235" t="s">
        <v>123</v>
      </c>
      <c r="AD123" s="228" t="s">
        <v>1430</v>
      </c>
      <c r="AE123" s="232" t="s">
        <v>615</v>
      </c>
      <c r="AF123" s="229"/>
      <c r="AG123" s="236"/>
      <c r="AH123" s="236"/>
      <c r="AI123" s="228"/>
      <c r="AJ123" s="232" t="s">
        <v>120</v>
      </c>
      <c r="AK123" s="228" t="s">
        <v>123</v>
      </c>
      <c r="AL123" s="228" t="s">
        <v>935</v>
      </c>
      <c r="AM123" s="232"/>
      <c r="AN123" s="228"/>
      <c r="AO123" s="228"/>
      <c r="AP123" s="237"/>
      <c r="AQ123" s="228"/>
      <c r="AR123" s="232"/>
      <c r="AS123" s="228"/>
      <c r="AT123" s="229">
        <v>43452.439618286997</v>
      </c>
      <c r="AU123" s="229"/>
      <c r="AV123" s="229">
        <v>43452.644825347197</v>
      </c>
      <c r="AW123" s="229">
        <v>43452.439618286997</v>
      </c>
      <c r="AX123" s="229"/>
      <c r="AY123" s="229">
        <v>43451.727060995399</v>
      </c>
      <c r="AZ123" s="238">
        <v>43452.7045194444</v>
      </c>
      <c r="BA123" s="1" t="s">
        <v>7684</v>
      </c>
      <c r="BB123">
        <v>130</v>
      </c>
      <c r="BC123">
        <v>60</v>
      </c>
      <c r="BD123">
        <v>3072</v>
      </c>
      <c r="BE12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1.7045194443999208</v>
      </c>
      <c r="BF123" s="240">
        <f>COUNTIFS(_05preva_view43[Site ID],_05preva_view43[[#This Row],[Site ID]],_05preva_view43[Prevalidation Status],"Under Prevalidation")</f>
        <v>0</v>
      </c>
      <c r="BG12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3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2.xlsx</v>
      </c>
      <c r="BI123" s="64" t="e">
        <f t="shared" ca="1" si="2"/>
        <v>#VALUE!</v>
      </c>
      <c r="BJ123" s="104" t="e">
        <f ca="1">LEFT(CELL("filename",A108),_05preva_view43[[#This Row],[Find Process &amp; Database]]-1)</f>
        <v>#VALUE!</v>
      </c>
      <c r="BK123" s="104" t="e">
        <f ca="1">_05preva_view43[Folder Path1]&amp;"Process &amp; Database\Documentation\Colo Applications"</f>
        <v>#VALUE!</v>
      </c>
      <c r="BL123" s="104" t="e">
        <f ca="1">_05preva_view43[Folder Path2]&amp;"\Colo App "&amp;_05preva_view43[[#This Row],[Operator]]&amp;"\"</f>
        <v>#VALUE!</v>
      </c>
      <c r="BM123" s="63" t="e">
        <f ca="1">_05preva_view43[[#This Row],[Folder Path3]]&amp;_05preva_view43[[#This Row],[File Name]]</f>
        <v>#VALUE!</v>
      </c>
      <c r="BN123" s="104"/>
      <c r="CF123" s="5"/>
      <c r="CG123" s="5"/>
      <c r="CH123" s="3"/>
      <c r="CJ123" s="5"/>
      <c r="CN123" s="3"/>
      <c r="CO123" s="3"/>
      <c r="CP123" s="5"/>
      <c r="CR123" s="3"/>
      <c r="DN123" s="5"/>
      <c r="DP123" s="3"/>
      <c r="EB123" s="7"/>
      <c r="EC123" s="7"/>
      <c r="EF123" s="4"/>
      <c r="EG123" s="4"/>
      <c r="EQ123" s="2"/>
      <c r="ER123" s="2"/>
    </row>
    <row r="124" spans="1:148">
      <c r="A124" s="227">
        <v>3498</v>
      </c>
      <c r="B124" s="228" t="s">
        <v>1259</v>
      </c>
      <c r="C124" s="228" t="s">
        <v>278</v>
      </c>
      <c r="D124" s="228" t="s">
        <v>153</v>
      </c>
      <c r="E124" s="228" t="s">
        <v>1260</v>
      </c>
      <c r="F124" s="228" t="s">
        <v>35</v>
      </c>
      <c r="G124" s="228" t="s">
        <v>1292</v>
      </c>
      <c r="H124" s="228" t="s">
        <v>1285</v>
      </c>
      <c r="I124" s="228" t="s">
        <v>1261</v>
      </c>
      <c r="J124" s="228" t="s">
        <v>694</v>
      </c>
      <c r="K124" s="229">
        <v>43447</v>
      </c>
      <c r="L124" s="230">
        <v>1.68</v>
      </c>
      <c r="M124" s="230">
        <v>2.1</v>
      </c>
      <c r="N124" s="228">
        <v>2.9449999999999998</v>
      </c>
      <c r="O124" s="228" t="s">
        <v>687</v>
      </c>
      <c r="P124" s="231" t="s">
        <v>695</v>
      </c>
      <c r="Q124" s="231" t="s">
        <v>696</v>
      </c>
      <c r="R124" s="228" t="s">
        <v>24</v>
      </c>
      <c r="S124" s="228"/>
      <c r="T124" s="232" t="s">
        <v>615</v>
      </c>
      <c r="U124" s="228"/>
      <c r="V124" s="232" t="s">
        <v>120</v>
      </c>
      <c r="W124" s="228"/>
      <c r="X124" s="232" t="s">
        <v>120</v>
      </c>
      <c r="Y124" s="228" t="s">
        <v>1296</v>
      </c>
      <c r="Z124" s="233" t="s">
        <v>120</v>
      </c>
      <c r="AA124" s="234"/>
      <c r="AB124" s="234"/>
      <c r="AC124" s="235" t="s">
        <v>123</v>
      </c>
      <c r="AD124" s="228" t="s">
        <v>1307</v>
      </c>
      <c r="AE124" s="232" t="s">
        <v>120</v>
      </c>
      <c r="AF124" s="229" t="s">
        <v>1431</v>
      </c>
      <c r="AG124" s="236"/>
      <c r="AH124" s="236"/>
      <c r="AI124" s="228" t="s">
        <v>1297</v>
      </c>
      <c r="AJ124" s="232" t="s">
        <v>120</v>
      </c>
      <c r="AK124" s="228" t="s">
        <v>123</v>
      </c>
      <c r="AL124" s="228" t="s">
        <v>935</v>
      </c>
      <c r="AM124" s="232"/>
      <c r="AN124" s="228"/>
      <c r="AO124" s="228"/>
      <c r="AP124" s="237"/>
      <c r="AQ124" s="228"/>
      <c r="AR124" s="232"/>
      <c r="AS124" s="228"/>
      <c r="AT124" s="229">
        <v>43447.75481875</v>
      </c>
      <c r="AU124" s="229">
        <v>43451.370478472199</v>
      </c>
      <c r="AV124" s="229">
        <v>43448.476636111103</v>
      </c>
      <c r="AW124" s="229">
        <v>43447.75481875</v>
      </c>
      <c r="AX124" s="229"/>
      <c r="AY124" s="229">
        <v>43447.715323842604</v>
      </c>
      <c r="AZ124" s="238">
        <v>43451.4114646991</v>
      </c>
      <c r="BA124" s="1" t="s">
        <v>7684</v>
      </c>
      <c r="BB124">
        <v>195</v>
      </c>
      <c r="BC124">
        <v>60</v>
      </c>
      <c r="BD124">
        <v>2776</v>
      </c>
      <c r="BE12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4.4114646991001791</v>
      </c>
      <c r="BF124" s="240">
        <f>COUNTIFS(_05preva_view43[Site ID],_05preva_view43[[#This Row],[Site ID]],_05preva_view43[Prevalidation Status],"Under Prevalidation")</f>
        <v>0</v>
      </c>
      <c r="BG12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4" s="242" t="str">
        <f>CONCATENATE(_05preva_view43[[#This Row],[Site ID]]," (",_05preva_view43[[#This Row],[tenant id]],") Application",IF(_05preva_view43[[#This Row],[Colo Rev]]&gt;0," Rev "&amp;_05preva_view43[[#This Row],[Colo Rev]],""),".xlsx")</f>
        <v>1-01-17007-005 (AWD00484) Application Rev 4.xlsx</v>
      </c>
      <c r="BI124" s="64" t="e">
        <f t="shared" ca="1" si="2"/>
        <v>#VALUE!</v>
      </c>
      <c r="BJ124" s="104" t="e">
        <f ca="1">LEFT(CELL("filename",A109),_05preva_view43[[#This Row],[Find Process &amp; Database]]-1)</f>
        <v>#VALUE!</v>
      </c>
      <c r="BK124" s="104" t="e">
        <f ca="1">_05preva_view43[Folder Path1]&amp;"Process &amp; Database\Documentation\Colo Applications"</f>
        <v>#VALUE!</v>
      </c>
      <c r="BL124" s="104" t="e">
        <f ca="1">_05preva_view43[Folder Path2]&amp;"\Colo App "&amp;_05preva_view43[[#This Row],[Operator]]&amp;"\"</f>
        <v>#VALUE!</v>
      </c>
      <c r="BM124" s="63" t="e">
        <f ca="1">_05preva_view43[[#This Row],[Folder Path3]]&amp;_05preva_view43[[#This Row],[File Name]]</f>
        <v>#VALUE!</v>
      </c>
      <c r="BN124" s="104"/>
      <c r="CF124" s="5"/>
      <c r="CG124" s="5"/>
      <c r="CH124" s="3"/>
      <c r="CJ124" s="5"/>
      <c r="CN124" s="3"/>
      <c r="CO124" s="3"/>
      <c r="CP124" s="5"/>
      <c r="CR124" s="3"/>
      <c r="DN124" s="5"/>
      <c r="DP124" s="3"/>
      <c r="EB124" s="7"/>
      <c r="EC124" s="7"/>
      <c r="EF124" s="4"/>
      <c r="EG124" s="4"/>
      <c r="EQ124" s="2"/>
      <c r="ER124" s="2"/>
    </row>
    <row r="125" spans="1:148">
      <c r="A125" s="227">
        <v>3499</v>
      </c>
      <c r="B125" s="228" t="s">
        <v>1262</v>
      </c>
      <c r="C125" s="228" t="s">
        <v>278</v>
      </c>
      <c r="D125" s="228" t="s">
        <v>117</v>
      </c>
      <c r="E125" s="228" t="s">
        <v>1263</v>
      </c>
      <c r="F125" s="228" t="s">
        <v>35</v>
      </c>
      <c r="G125" s="228" t="s">
        <v>1292</v>
      </c>
      <c r="H125" s="228" t="s">
        <v>1285</v>
      </c>
      <c r="I125" s="228" t="s">
        <v>1261</v>
      </c>
      <c r="J125" s="228" t="s">
        <v>686</v>
      </c>
      <c r="K125" s="229">
        <v>43447</v>
      </c>
      <c r="L125" s="230">
        <v>2.16</v>
      </c>
      <c r="M125" s="230">
        <v>2.7</v>
      </c>
      <c r="N125" s="228">
        <v>4.45</v>
      </c>
      <c r="O125" s="228" t="s">
        <v>687</v>
      </c>
      <c r="P125" s="231" t="s">
        <v>695</v>
      </c>
      <c r="Q125" s="231" t="s">
        <v>696</v>
      </c>
      <c r="R125" s="228" t="s">
        <v>24</v>
      </c>
      <c r="S125" s="228"/>
      <c r="T125" s="232" t="s">
        <v>615</v>
      </c>
      <c r="U125" s="228"/>
      <c r="V125" s="232" t="s">
        <v>120</v>
      </c>
      <c r="W125" s="228"/>
      <c r="X125" s="232" t="s">
        <v>120</v>
      </c>
      <c r="Y125" s="228" t="s">
        <v>1298</v>
      </c>
      <c r="Z125" s="233" t="s">
        <v>120</v>
      </c>
      <c r="AA125" s="234"/>
      <c r="AB125" s="234"/>
      <c r="AC125" s="235" t="s">
        <v>123</v>
      </c>
      <c r="AD125" s="228" t="s">
        <v>1308</v>
      </c>
      <c r="AE125" s="232" t="s">
        <v>120</v>
      </c>
      <c r="AF125" s="229" t="s">
        <v>1432</v>
      </c>
      <c r="AG125" s="236"/>
      <c r="AH125" s="236"/>
      <c r="AI125" s="228" t="s">
        <v>1299</v>
      </c>
      <c r="AJ125" s="232" t="s">
        <v>120</v>
      </c>
      <c r="AK125" s="228" t="s">
        <v>123</v>
      </c>
      <c r="AL125" s="228" t="s">
        <v>935</v>
      </c>
      <c r="AM125" s="232"/>
      <c r="AN125" s="228"/>
      <c r="AO125" s="228"/>
      <c r="AP125" s="237"/>
      <c r="AQ125" s="228"/>
      <c r="AR125" s="232"/>
      <c r="AS125" s="228"/>
      <c r="AT125" s="229">
        <v>43447.754820254602</v>
      </c>
      <c r="AU125" s="229">
        <v>43451.370479745397</v>
      </c>
      <c r="AV125" s="229">
        <v>43448.606992245397</v>
      </c>
      <c r="AW125" s="229">
        <v>43447.754820254602</v>
      </c>
      <c r="AX125" s="229"/>
      <c r="AY125" s="229">
        <v>43447.715324768498</v>
      </c>
      <c r="AZ125" s="238">
        <v>43451.411465393503</v>
      </c>
      <c r="BA125" s="1" t="s">
        <v>7684</v>
      </c>
      <c r="BB125">
        <v>130</v>
      </c>
      <c r="BC125">
        <v>60</v>
      </c>
      <c r="BD125">
        <v>3438</v>
      </c>
      <c r="BE12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4.4114653935030219</v>
      </c>
      <c r="BF125" s="240">
        <f>COUNTIFS(_05preva_view43[Site ID],_05preva_view43[[#This Row],[Site ID]],_05preva_view43[Prevalidation Status],"Under Prevalidation")</f>
        <v>0</v>
      </c>
      <c r="BG12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5" s="242" t="str">
        <f>CONCATENATE(_05preva_view43[[#This Row],[Site ID]]," (",_05preva_view43[[#This Row],[tenant id]],") Application",IF(_05preva_view43[[#This Row],[Colo Rev]]&gt;0," Rev "&amp;_05preva_view43[[#This Row],[Colo Rev]],""),".xlsx")</f>
        <v>1-01-02003-003 (KYH00055) Application Rev 2.xlsx</v>
      </c>
      <c r="BI125" s="64" t="e">
        <f t="shared" ca="1" si="2"/>
        <v>#VALUE!</v>
      </c>
      <c r="BJ125" s="104" t="e">
        <f ca="1">LEFT(CELL("filename",A110),_05preva_view43[[#This Row],[Find Process &amp; Database]]-1)</f>
        <v>#VALUE!</v>
      </c>
      <c r="BK125" s="104" t="e">
        <f ca="1">_05preva_view43[Folder Path1]&amp;"Process &amp; Database\Documentation\Colo Applications"</f>
        <v>#VALUE!</v>
      </c>
      <c r="BL125" s="104" t="e">
        <f ca="1">_05preva_view43[Folder Path2]&amp;"\Colo App "&amp;_05preva_view43[[#This Row],[Operator]]&amp;"\"</f>
        <v>#VALUE!</v>
      </c>
      <c r="BM125" s="63" t="e">
        <f ca="1">_05preva_view43[[#This Row],[Folder Path3]]&amp;_05preva_view43[[#This Row],[File Name]]</f>
        <v>#VALUE!</v>
      </c>
      <c r="BN125" s="104"/>
      <c r="CF125" s="5"/>
      <c r="CG125" s="5"/>
      <c r="CH125" s="3"/>
      <c r="CJ125" s="5"/>
      <c r="CN125" s="3"/>
      <c r="CO125" s="3"/>
      <c r="CP125" s="5"/>
      <c r="CR125" s="3"/>
      <c r="DN125" s="5"/>
      <c r="DP125" s="3"/>
      <c r="EB125" s="7"/>
      <c r="EC125" s="7"/>
      <c r="EF125" s="4"/>
      <c r="EG125" s="4"/>
      <c r="EQ125" s="2"/>
      <c r="ER125" s="2"/>
    </row>
    <row r="126" spans="1:148">
      <c r="A126" s="227">
        <v>3500</v>
      </c>
      <c r="B126" s="228" t="s">
        <v>1264</v>
      </c>
      <c r="C126" s="228" t="s">
        <v>278</v>
      </c>
      <c r="D126" s="228" t="s">
        <v>153</v>
      </c>
      <c r="E126" s="228" t="s">
        <v>1265</v>
      </c>
      <c r="F126" s="228" t="s">
        <v>35</v>
      </c>
      <c r="G126" s="228" t="s">
        <v>1292</v>
      </c>
      <c r="H126" s="228" t="s">
        <v>1285</v>
      </c>
      <c r="I126" s="228" t="s">
        <v>785</v>
      </c>
      <c r="J126" s="228" t="s">
        <v>686</v>
      </c>
      <c r="K126" s="229">
        <v>43447</v>
      </c>
      <c r="L126" s="230">
        <v>3.36</v>
      </c>
      <c r="M126" s="230">
        <v>4.8</v>
      </c>
      <c r="N126" s="228">
        <v>4.8600000000000003</v>
      </c>
      <c r="O126" s="228" t="s">
        <v>687</v>
      </c>
      <c r="P126" s="231" t="s">
        <v>629</v>
      </c>
      <c r="Q126" s="231" t="s">
        <v>652</v>
      </c>
      <c r="R126" s="228" t="s">
        <v>24</v>
      </c>
      <c r="S126" s="228"/>
      <c r="T126" s="232" t="s">
        <v>615</v>
      </c>
      <c r="U126" s="228"/>
      <c r="V126" s="232" t="s">
        <v>120</v>
      </c>
      <c r="W126" s="228"/>
      <c r="X126" s="232" t="s">
        <v>120</v>
      </c>
      <c r="Y126" s="228" t="s">
        <v>1300</v>
      </c>
      <c r="Z126" s="233" t="s">
        <v>120</v>
      </c>
      <c r="AA126" s="234"/>
      <c r="AB126" s="234"/>
      <c r="AC126" s="235" t="s">
        <v>123</v>
      </c>
      <c r="AD126" s="228" t="s">
        <v>1309</v>
      </c>
      <c r="AE126" s="232" t="s">
        <v>120</v>
      </c>
      <c r="AF126" s="229" t="s">
        <v>1433</v>
      </c>
      <c r="AG126" s="236"/>
      <c r="AH126" s="236"/>
      <c r="AI126" s="228" t="s">
        <v>1306</v>
      </c>
      <c r="AJ126" s="232" t="s">
        <v>120</v>
      </c>
      <c r="AK126" s="228" t="s">
        <v>123</v>
      </c>
      <c r="AL126" s="228" t="s">
        <v>935</v>
      </c>
      <c r="AM126" s="232"/>
      <c r="AN126" s="228"/>
      <c r="AO126" s="228"/>
      <c r="AP126" s="237"/>
      <c r="AQ126" s="228"/>
      <c r="AR126" s="232"/>
      <c r="AS126" s="228"/>
      <c r="AT126" s="229">
        <v>43447.754822222203</v>
      </c>
      <c r="AU126" s="229">
        <v>43451.3704804398</v>
      </c>
      <c r="AV126" s="229">
        <v>43448.687077893497</v>
      </c>
      <c r="AW126" s="229">
        <v>43447.754822222203</v>
      </c>
      <c r="AX126" s="229"/>
      <c r="AY126" s="229">
        <v>43452.557504398203</v>
      </c>
      <c r="AZ126" s="238">
        <v>43452.584172800904</v>
      </c>
      <c r="BA126" s="1" t="s">
        <v>7684</v>
      </c>
      <c r="BB126">
        <v>130</v>
      </c>
      <c r="BC126">
        <v>43</v>
      </c>
      <c r="BD126">
        <v>3402</v>
      </c>
      <c r="BE12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5.584172800903616</v>
      </c>
      <c r="BF126" s="240">
        <f>COUNTIFS(_05preva_view43[Site ID],_05preva_view43[[#This Row],[Site ID]],_05preva_view43[Prevalidation Status],"Under Prevalidation")</f>
        <v>0</v>
      </c>
      <c r="BG12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6" s="242" t="str">
        <f>CONCATENATE(_05preva_view43[[#This Row],[Site ID]]," (",_05preva_view43[[#This Row],[tenant id]],") Application",IF(_05preva_view43[[#This Row],[Colo Rev]]&gt;0," Rev "&amp;_05preva_view43[[#This Row],[Colo Rev]],""),".xlsx")</f>
        <v>1-01-03001-001 (KYN00267) Application Rev 2.xlsx</v>
      </c>
      <c r="BI126" s="64" t="e">
        <f t="shared" ca="1" si="2"/>
        <v>#VALUE!</v>
      </c>
      <c r="BJ126" s="104" t="e">
        <f ca="1">LEFT(CELL("filename",A111),_05preva_view43[[#This Row],[Find Process &amp; Database]]-1)</f>
        <v>#VALUE!</v>
      </c>
      <c r="BK126" s="104" t="e">
        <f ca="1">_05preva_view43[Folder Path1]&amp;"Process &amp; Database\Documentation\Colo Applications"</f>
        <v>#VALUE!</v>
      </c>
      <c r="BL126" s="104" t="e">
        <f ca="1">_05preva_view43[Folder Path2]&amp;"\Colo App "&amp;_05preva_view43[[#This Row],[Operator]]&amp;"\"</f>
        <v>#VALUE!</v>
      </c>
      <c r="BM126" s="63" t="e">
        <f ca="1">_05preva_view43[[#This Row],[Folder Path3]]&amp;_05preva_view43[[#This Row],[File Name]]</f>
        <v>#VALUE!</v>
      </c>
      <c r="BN126" s="104"/>
      <c r="CF126" s="5"/>
      <c r="CG126" s="5"/>
      <c r="CH126" s="3"/>
      <c r="CJ126" s="5"/>
      <c r="CN126" s="3"/>
      <c r="CO126" s="3"/>
      <c r="CP126" s="5"/>
      <c r="CR126" s="3"/>
      <c r="DN126" s="5"/>
      <c r="DP126" s="3"/>
      <c r="EB126" s="7"/>
      <c r="EC126" s="7"/>
      <c r="EF126" s="4"/>
      <c r="EG126" s="4"/>
      <c r="EQ126" s="2"/>
      <c r="ER126" s="2"/>
    </row>
    <row r="127" spans="1:148">
      <c r="A127" s="227">
        <v>3501</v>
      </c>
      <c r="B127" s="228" t="s">
        <v>1266</v>
      </c>
      <c r="C127" s="228" t="s">
        <v>278</v>
      </c>
      <c r="D127" s="228" t="s">
        <v>117</v>
      </c>
      <c r="E127" s="228" t="s">
        <v>1267</v>
      </c>
      <c r="F127" s="228" t="s">
        <v>35</v>
      </c>
      <c r="G127" s="228" t="s">
        <v>1292</v>
      </c>
      <c r="H127" s="228" t="s">
        <v>1285</v>
      </c>
      <c r="I127" s="228" t="s">
        <v>981</v>
      </c>
      <c r="J127" s="228" t="s">
        <v>668</v>
      </c>
      <c r="K127" s="229">
        <v>43447</v>
      </c>
      <c r="L127" s="230">
        <v>1.054</v>
      </c>
      <c r="M127" s="230">
        <v>1.522</v>
      </c>
      <c r="N127" s="228">
        <v>4.6900000000000004</v>
      </c>
      <c r="O127" s="228" t="s">
        <v>687</v>
      </c>
      <c r="P127" s="231" t="s">
        <v>799</v>
      </c>
      <c r="Q127" s="231" t="s">
        <v>695</v>
      </c>
      <c r="R127" s="228" t="s">
        <v>24</v>
      </c>
      <c r="S127" s="228"/>
      <c r="T127" s="232" t="s">
        <v>615</v>
      </c>
      <c r="U127" s="228"/>
      <c r="V127" s="232" t="s">
        <v>120</v>
      </c>
      <c r="W127" s="228"/>
      <c r="X127" s="232" t="s">
        <v>120</v>
      </c>
      <c r="Y127" s="228" t="s">
        <v>1301</v>
      </c>
      <c r="Z127" s="233" t="s">
        <v>120</v>
      </c>
      <c r="AA127" s="234"/>
      <c r="AB127" s="234"/>
      <c r="AC127" s="235" t="s">
        <v>123</v>
      </c>
      <c r="AD127" s="228" t="s">
        <v>1310</v>
      </c>
      <c r="AE127" s="232" t="s">
        <v>120</v>
      </c>
      <c r="AF127" s="229"/>
      <c r="AG127" s="236"/>
      <c r="AH127" s="236"/>
      <c r="AI127" s="228"/>
      <c r="AJ127" s="232" t="s">
        <v>120</v>
      </c>
      <c r="AK127" s="228" t="s">
        <v>123</v>
      </c>
      <c r="AL127" s="228" t="s">
        <v>935</v>
      </c>
      <c r="AM127" s="232"/>
      <c r="AN127" s="228"/>
      <c r="AO127" s="228"/>
      <c r="AP127" s="237"/>
      <c r="AQ127" s="228"/>
      <c r="AR127" s="232"/>
      <c r="AS127" s="228"/>
      <c r="AT127" s="229">
        <v>43447.754823726798</v>
      </c>
      <c r="AU127" s="229">
        <v>43447.716965277803</v>
      </c>
      <c r="AV127" s="229">
        <v>43448.581684722201</v>
      </c>
      <c r="AW127" s="229">
        <v>43447.754823726798</v>
      </c>
      <c r="AX127" s="229"/>
      <c r="AY127" s="229">
        <v>43447.715326851903</v>
      </c>
      <c r="AZ127" s="238">
        <v>43448.727956481503</v>
      </c>
      <c r="BA127" s="1" t="s">
        <v>7684</v>
      </c>
      <c r="BB127">
        <v>130</v>
      </c>
      <c r="BC127">
        <v>60</v>
      </c>
      <c r="BD127">
        <v>3415</v>
      </c>
      <c r="BE12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1.7279564815034973</v>
      </c>
      <c r="BF127" s="240">
        <f>COUNTIFS(_05preva_view43[Site ID],_05preva_view43[[#This Row],[Site ID]],_05preva_view43[Prevalidation Status],"Under Prevalidation")</f>
        <v>0</v>
      </c>
      <c r="BG12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7" s="242" t="str">
        <f>CONCATENATE(_05preva_view43[[#This Row],[Site ID]]," (",_05preva_view43[[#This Row],[tenant id]],") Application",IF(_05preva_view43[[#This Row],[Colo Rev]]&gt;0," Rev "&amp;_05preva_view43[[#This Row],[Colo Rev]],""),".xlsx")</f>
        <v>1-01-09001-003 (MGW00148) Application Rev 1.xlsx</v>
      </c>
      <c r="BI127" s="64" t="e">
        <f t="shared" ca="1" si="2"/>
        <v>#VALUE!</v>
      </c>
      <c r="BJ127" s="104" t="e">
        <f ca="1">LEFT(CELL("filename",A112),_05preva_view43[[#This Row],[Find Process &amp; Database]]-1)</f>
        <v>#VALUE!</v>
      </c>
      <c r="BK127" s="104" t="e">
        <f ca="1">_05preva_view43[Folder Path1]&amp;"Process &amp; Database\Documentation\Colo Applications"</f>
        <v>#VALUE!</v>
      </c>
      <c r="BL127" s="104" t="e">
        <f ca="1">_05preva_view43[Folder Path2]&amp;"\Colo App "&amp;_05preva_view43[[#This Row],[Operator]]&amp;"\"</f>
        <v>#VALUE!</v>
      </c>
      <c r="BM127" s="63" t="e">
        <f ca="1">_05preva_view43[[#This Row],[Folder Path3]]&amp;_05preva_view43[[#This Row],[File Name]]</f>
        <v>#VALUE!</v>
      </c>
      <c r="BN127" s="104"/>
      <c r="CF127" s="5"/>
      <c r="CG127" s="5"/>
      <c r="CH127" s="3"/>
      <c r="CJ127" s="5"/>
      <c r="CN127" s="3"/>
      <c r="CO127" s="3"/>
      <c r="CP127" s="5"/>
      <c r="CR127" s="3"/>
      <c r="DN127" s="5"/>
      <c r="DP127" s="3"/>
      <c r="EB127" s="7"/>
      <c r="EC127" s="7"/>
      <c r="EF127" s="4"/>
      <c r="EG127" s="4"/>
      <c r="EQ127" s="2"/>
      <c r="ER127" s="2"/>
    </row>
    <row r="128" spans="1:148">
      <c r="A128" s="227">
        <v>3502</v>
      </c>
      <c r="B128" s="228" t="s">
        <v>1099</v>
      </c>
      <c r="C128" s="228" t="s">
        <v>278</v>
      </c>
      <c r="D128" s="228" t="s">
        <v>117</v>
      </c>
      <c r="E128" s="228" t="s">
        <v>1100</v>
      </c>
      <c r="F128" s="228" t="s">
        <v>35</v>
      </c>
      <c r="G128" s="228" t="s">
        <v>1292</v>
      </c>
      <c r="H128" s="228" t="s">
        <v>1285</v>
      </c>
      <c r="I128" s="228" t="s">
        <v>790</v>
      </c>
      <c r="J128" s="228" t="s">
        <v>668</v>
      </c>
      <c r="K128" s="229">
        <v>43447</v>
      </c>
      <c r="L128" s="230">
        <v>2.3180000000000001</v>
      </c>
      <c r="M128" s="230">
        <v>4.3479999999999999</v>
      </c>
      <c r="N128" s="228">
        <v>3.56</v>
      </c>
      <c r="O128" s="228" t="s">
        <v>687</v>
      </c>
      <c r="P128" s="231" t="s">
        <v>799</v>
      </c>
      <c r="Q128" s="231" t="s">
        <v>695</v>
      </c>
      <c r="R128" s="228" t="s">
        <v>24</v>
      </c>
      <c r="S128" s="228"/>
      <c r="T128" s="232" t="s">
        <v>615</v>
      </c>
      <c r="U128" s="228"/>
      <c r="V128" s="232" t="s">
        <v>120</v>
      </c>
      <c r="W128" s="228"/>
      <c r="X128" s="232" t="s">
        <v>120</v>
      </c>
      <c r="Y128" s="228" t="s">
        <v>1311</v>
      </c>
      <c r="Z128" s="233" t="s">
        <v>120</v>
      </c>
      <c r="AA128" s="234"/>
      <c r="AB128" s="234"/>
      <c r="AC128" s="235" t="s">
        <v>123</v>
      </c>
      <c r="AD128" s="228" t="s">
        <v>1312</v>
      </c>
      <c r="AE128" s="232" t="s">
        <v>120</v>
      </c>
      <c r="AF128" s="229" t="s">
        <v>1434</v>
      </c>
      <c r="AG128" s="236"/>
      <c r="AH128" s="236"/>
      <c r="AI128" s="228" t="s">
        <v>1306</v>
      </c>
      <c r="AJ128" s="232" t="s">
        <v>120</v>
      </c>
      <c r="AK128" s="228" t="s">
        <v>123</v>
      </c>
      <c r="AL128" s="228" t="s">
        <v>935</v>
      </c>
      <c r="AM128" s="232"/>
      <c r="AN128" s="228"/>
      <c r="AO128" s="228"/>
      <c r="AP128" s="237"/>
      <c r="AQ128" s="228"/>
      <c r="AR128" s="232"/>
      <c r="AS128" s="228"/>
      <c r="AT128" s="229">
        <v>43447.754825231503</v>
      </c>
      <c r="AU128" s="229">
        <v>43451.370481828701</v>
      </c>
      <c r="AV128" s="229">
        <v>43448.581685416699</v>
      </c>
      <c r="AW128" s="229">
        <v>43447.754825231503</v>
      </c>
      <c r="AX128" s="229"/>
      <c r="AY128" s="229">
        <v>43447.715327777798</v>
      </c>
      <c r="AZ128" s="238">
        <v>43451.411466898098</v>
      </c>
      <c r="BA128" s="1" t="s">
        <v>7684</v>
      </c>
      <c r="BB128">
        <v>130</v>
      </c>
      <c r="BC128">
        <v>60</v>
      </c>
      <c r="BD128">
        <v>2748</v>
      </c>
      <c r="BE12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4.411466898098297</v>
      </c>
      <c r="BF128" s="240">
        <f>COUNTIFS(_05preva_view43[Site ID],_05preva_view43[[#This Row],[Site ID]],_05preva_view43[Prevalidation Status],"Under Prevalidation")</f>
        <v>0</v>
      </c>
      <c r="BG12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8" s="242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I128" s="64" t="e">
        <f t="shared" ca="1" si="2"/>
        <v>#VALUE!</v>
      </c>
      <c r="BJ128" s="104" t="e">
        <f ca="1">LEFT(CELL("filename",A113),_05preva_view43[[#This Row],[Find Process &amp; Database]]-1)</f>
        <v>#VALUE!</v>
      </c>
      <c r="BK128" s="104" t="e">
        <f ca="1">_05preva_view43[Folder Path1]&amp;"Process &amp; Database\Documentation\Colo Applications"</f>
        <v>#VALUE!</v>
      </c>
      <c r="BL128" s="104" t="e">
        <f ca="1">_05preva_view43[Folder Path2]&amp;"\Colo App "&amp;_05preva_view43[[#This Row],[Operator]]&amp;"\"</f>
        <v>#VALUE!</v>
      </c>
      <c r="BM128" s="63" t="e">
        <f ca="1">_05preva_view43[[#This Row],[Folder Path3]]&amp;_05preva_view43[[#This Row],[File Name]]</f>
        <v>#VALUE!</v>
      </c>
      <c r="BN128" s="104"/>
      <c r="CF128" s="5"/>
      <c r="CG128" s="5"/>
      <c r="CH128" s="3"/>
      <c r="CJ128" s="5"/>
      <c r="CN128" s="3"/>
      <c r="CO128" s="3"/>
      <c r="CP128" s="5"/>
      <c r="CR128" s="3"/>
      <c r="DN128" s="5"/>
      <c r="DP128" s="3"/>
      <c r="EB128" s="7"/>
      <c r="EC128" s="7"/>
      <c r="EF128" s="4"/>
      <c r="EG128" s="4"/>
      <c r="EQ128" s="2"/>
      <c r="ER128" s="2"/>
    </row>
    <row r="129" spans="1:148">
      <c r="A129" s="227">
        <v>3503</v>
      </c>
      <c r="B129" s="228" t="s">
        <v>1268</v>
      </c>
      <c r="C129" s="228" t="s">
        <v>278</v>
      </c>
      <c r="D129" s="228" t="s">
        <v>127</v>
      </c>
      <c r="E129" s="228" t="s">
        <v>1269</v>
      </c>
      <c r="F129" s="228" t="s">
        <v>35</v>
      </c>
      <c r="G129" s="228" t="s">
        <v>1292</v>
      </c>
      <c r="H129" s="228" t="s">
        <v>1285</v>
      </c>
      <c r="I129" s="228" t="s">
        <v>1006</v>
      </c>
      <c r="J129" s="228" t="s">
        <v>668</v>
      </c>
      <c r="K129" s="229">
        <v>43447</v>
      </c>
      <c r="L129" s="230">
        <v>1.1080000000000001</v>
      </c>
      <c r="M129" s="230">
        <v>1.52</v>
      </c>
      <c r="N129" s="228">
        <v>3.11</v>
      </c>
      <c r="O129" s="228" t="s">
        <v>687</v>
      </c>
      <c r="P129" s="231" t="s">
        <v>695</v>
      </c>
      <c r="Q129" s="231" t="s">
        <v>696</v>
      </c>
      <c r="R129" s="228" t="s">
        <v>24</v>
      </c>
      <c r="S129" s="228"/>
      <c r="T129" s="232" t="s">
        <v>615</v>
      </c>
      <c r="U129" s="228"/>
      <c r="V129" s="232" t="s">
        <v>120</v>
      </c>
      <c r="W129" s="228"/>
      <c r="X129" s="232" t="s">
        <v>120</v>
      </c>
      <c r="Y129" s="228" t="s">
        <v>1313</v>
      </c>
      <c r="Z129" s="233" t="s">
        <v>120</v>
      </c>
      <c r="AA129" s="234"/>
      <c r="AB129" s="234"/>
      <c r="AC129" s="235" t="s">
        <v>123</v>
      </c>
      <c r="AD129" s="228" t="s">
        <v>1314</v>
      </c>
      <c r="AE129" s="232" t="s">
        <v>120</v>
      </c>
      <c r="AF129" s="229" t="s">
        <v>1435</v>
      </c>
      <c r="AG129" s="236"/>
      <c r="AH129" s="236"/>
      <c r="AI129" s="228" t="s">
        <v>1306</v>
      </c>
      <c r="AJ129" s="232" t="s">
        <v>120</v>
      </c>
      <c r="AK129" s="228" t="s">
        <v>123</v>
      </c>
      <c r="AL129" s="228" t="s">
        <v>935</v>
      </c>
      <c r="AM129" s="232"/>
      <c r="AN129" s="228"/>
      <c r="AO129" s="228"/>
      <c r="AP129" s="237"/>
      <c r="AQ129" s="228"/>
      <c r="AR129" s="232"/>
      <c r="AS129" s="228"/>
      <c r="AT129" s="229">
        <v>43447.754826620403</v>
      </c>
      <c r="AU129" s="229">
        <v>43451.370482523103</v>
      </c>
      <c r="AV129" s="229">
        <v>43448.581686458303</v>
      </c>
      <c r="AW129" s="229">
        <v>43447.754826620403</v>
      </c>
      <c r="AX129" s="229"/>
      <c r="AY129" s="229">
        <v>43447.7153300926</v>
      </c>
      <c r="AZ129" s="238">
        <v>43451.411467708298</v>
      </c>
      <c r="BA129" s="1" t="s">
        <v>7684</v>
      </c>
      <c r="BB129">
        <v>130</v>
      </c>
      <c r="BC129">
        <v>60</v>
      </c>
      <c r="BD129">
        <v>3348</v>
      </c>
      <c r="BE12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4.4114677082980052</v>
      </c>
      <c r="BF129" s="240">
        <f>COUNTIFS(_05preva_view43[Site ID],_05preva_view43[[#This Row],[Site ID]],_05preva_view43[Prevalidation Status],"Under Prevalidation")</f>
        <v>0</v>
      </c>
      <c r="BG12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29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1-01-05009-001 (SGG00235) Application Rev 1.xlsx</v>
      </c>
      <c r="BI129" s="64" t="e">
        <f t="shared" ca="1" si="2"/>
        <v>#VALUE!</v>
      </c>
      <c r="BJ129" s="104" t="e">
        <f ca="1">LEFT(CELL("filename",A114),_05preva_view43[[#This Row],[Find Process &amp; Database]]-1)</f>
        <v>#VALUE!</v>
      </c>
      <c r="BK129" s="104" t="e">
        <f ca="1">_05preva_view43[Folder Path1]&amp;"Process &amp; Database\Documentation\Colo Applications"</f>
        <v>#VALUE!</v>
      </c>
      <c r="BL129" s="104" t="e">
        <f ca="1">_05preva_view43[Folder Path2]&amp;"\Colo App "&amp;_05preva_view43[[#This Row],[Operator]]&amp;"\"</f>
        <v>#VALUE!</v>
      </c>
      <c r="BM129" s="63" t="e">
        <f ca="1">_05preva_view43[[#This Row],[Folder Path3]]&amp;_05preva_view43[[#This Row],[File Name]]</f>
        <v>#VALUE!</v>
      </c>
      <c r="BN129" s="104"/>
      <c r="CF129" s="5"/>
      <c r="CG129" s="5"/>
      <c r="CH129" s="3"/>
      <c r="CJ129" s="5"/>
      <c r="CN129" s="3"/>
      <c r="CO129" s="3"/>
      <c r="CP129" s="5"/>
      <c r="CR129" s="3"/>
      <c r="DN129" s="5"/>
      <c r="DP129" s="3"/>
      <c r="EB129" s="7"/>
      <c r="EC129" s="7"/>
      <c r="EF129" s="4"/>
      <c r="EG129" s="4"/>
      <c r="EQ129" s="2"/>
      <c r="ER129" s="2"/>
    </row>
    <row r="130" spans="1:148">
      <c r="A130" s="227">
        <v>3504</v>
      </c>
      <c r="B130" s="228" t="s">
        <v>1270</v>
      </c>
      <c r="C130" s="228" t="s">
        <v>278</v>
      </c>
      <c r="D130" s="228" t="s">
        <v>127</v>
      </c>
      <c r="E130" s="228" t="s">
        <v>1271</v>
      </c>
      <c r="F130" s="228" t="s">
        <v>35</v>
      </c>
      <c r="G130" s="228" t="s">
        <v>1292</v>
      </c>
      <c r="H130" s="228" t="s">
        <v>1285</v>
      </c>
      <c r="I130" s="228" t="s">
        <v>1006</v>
      </c>
      <c r="J130" s="228" t="s">
        <v>668</v>
      </c>
      <c r="K130" s="229">
        <v>43447</v>
      </c>
      <c r="L130" s="230">
        <v>1.399</v>
      </c>
      <c r="M130" s="230">
        <v>2.1989999999999998</v>
      </c>
      <c r="N130" s="228">
        <v>2.87</v>
      </c>
      <c r="O130" s="228" t="s">
        <v>687</v>
      </c>
      <c r="P130" s="231" t="s">
        <v>508</v>
      </c>
      <c r="Q130" s="231" t="s">
        <v>509</v>
      </c>
      <c r="R130" s="228" t="s">
        <v>24</v>
      </c>
      <c r="S130" s="228"/>
      <c r="T130" s="232" t="s">
        <v>615</v>
      </c>
      <c r="U130" s="228"/>
      <c r="V130" s="232" t="s">
        <v>120</v>
      </c>
      <c r="W130" s="228"/>
      <c r="X130" s="232" t="s">
        <v>120</v>
      </c>
      <c r="Y130" s="228" t="s">
        <v>1315</v>
      </c>
      <c r="Z130" s="233" t="s">
        <v>120</v>
      </c>
      <c r="AA130" s="234"/>
      <c r="AB130" s="234"/>
      <c r="AC130" s="235" t="s">
        <v>123</v>
      </c>
      <c r="AD130" s="228" t="s">
        <v>1436</v>
      </c>
      <c r="AE130" s="232" t="s">
        <v>120</v>
      </c>
      <c r="AF130" s="229" t="s">
        <v>1437</v>
      </c>
      <c r="AG130" s="236"/>
      <c r="AH130" s="236"/>
      <c r="AI130" s="228" t="s">
        <v>1302</v>
      </c>
      <c r="AJ130" s="232" t="s">
        <v>120</v>
      </c>
      <c r="AK130" s="228" t="s">
        <v>123</v>
      </c>
      <c r="AL130" s="228" t="s">
        <v>935</v>
      </c>
      <c r="AM130" s="232"/>
      <c r="AN130" s="228"/>
      <c r="AO130" s="228"/>
      <c r="AP130" s="237"/>
      <c r="AQ130" s="228"/>
      <c r="AR130" s="232"/>
      <c r="AS130" s="228"/>
      <c r="AT130" s="229">
        <v>43447.754828009303</v>
      </c>
      <c r="AU130" s="229">
        <v>43447.716971180598</v>
      </c>
      <c r="AV130" s="229">
        <v>43451.553795486099</v>
      </c>
      <c r="AW130" s="229">
        <v>43447.754828009303</v>
      </c>
      <c r="AX130" s="229"/>
      <c r="AY130" s="229">
        <v>43447.715331828702</v>
      </c>
      <c r="AZ130" s="238">
        <v>43451.712500463</v>
      </c>
      <c r="BA130" s="1" t="s">
        <v>7684</v>
      </c>
      <c r="BB130">
        <v>130</v>
      </c>
      <c r="BC130">
        <v>45</v>
      </c>
      <c r="BD130">
        <v>3500</v>
      </c>
      <c r="BE13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4.712500462999742</v>
      </c>
      <c r="BF130" s="240">
        <f>COUNTIFS(_05preva_view43[Site ID],_05preva_view43[[#This Row],[Site ID]],_05preva_view43[Prevalidation Status],"Under Prevalidation")</f>
        <v>0</v>
      </c>
      <c r="BG13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0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1-01-05015-004 (SGG00765) Application Rev 1.xlsx</v>
      </c>
      <c r="BI130" s="64" t="e">
        <f t="shared" ca="1" si="2"/>
        <v>#VALUE!</v>
      </c>
      <c r="BJ130" s="104" t="e">
        <f ca="1">LEFT(CELL("filename",A115),_05preva_view43[[#This Row],[Find Process &amp; Database]]-1)</f>
        <v>#VALUE!</v>
      </c>
      <c r="BK130" s="104" t="e">
        <f ca="1">_05preva_view43[Folder Path1]&amp;"Process &amp; Database\Documentation\Colo Applications"</f>
        <v>#VALUE!</v>
      </c>
      <c r="BL130" s="104" t="e">
        <f ca="1">_05preva_view43[Folder Path2]&amp;"\Colo App "&amp;_05preva_view43[[#This Row],[Operator]]&amp;"\"</f>
        <v>#VALUE!</v>
      </c>
      <c r="BM130" s="63" t="e">
        <f ca="1">_05preva_view43[[#This Row],[Folder Path3]]&amp;_05preva_view43[[#This Row],[File Name]]</f>
        <v>#VALUE!</v>
      </c>
      <c r="BN130" s="104"/>
      <c r="CF130" s="5"/>
      <c r="CG130" s="5"/>
      <c r="CH130" s="3"/>
      <c r="CJ130" s="5"/>
      <c r="CN130" s="3"/>
      <c r="CO130" s="3"/>
      <c r="CP130" s="5"/>
      <c r="CR130" s="3"/>
      <c r="DN130" s="5"/>
      <c r="DP130" s="3"/>
      <c r="EB130" s="7"/>
      <c r="EC130" s="7"/>
      <c r="EF130" s="4"/>
      <c r="EG130" s="4"/>
      <c r="EQ130" s="2"/>
      <c r="ER130" s="2"/>
    </row>
    <row r="131" spans="1:148">
      <c r="A131" s="227">
        <v>3505</v>
      </c>
      <c r="B131" s="228" t="s">
        <v>691</v>
      </c>
      <c r="C131" s="228" t="s">
        <v>278</v>
      </c>
      <c r="D131" s="228" t="s">
        <v>117</v>
      </c>
      <c r="E131" s="228" t="s">
        <v>692</v>
      </c>
      <c r="F131" s="228" t="s">
        <v>35</v>
      </c>
      <c r="G131" s="228" t="s">
        <v>1292</v>
      </c>
      <c r="H131" s="228" t="s">
        <v>1285</v>
      </c>
      <c r="I131" s="228" t="s">
        <v>1261</v>
      </c>
      <c r="J131" s="228" t="s">
        <v>299</v>
      </c>
      <c r="K131" s="229">
        <v>43447</v>
      </c>
      <c r="L131" s="230">
        <v>3.44</v>
      </c>
      <c r="M131" s="230">
        <v>4.3</v>
      </c>
      <c r="N131" s="228">
        <v>4.55</v>
      </c>
      <c r="O131" s="228" t="s">
        <v>687</v>
      </c>
      <c r="P131" s="231" t="s">
        <v>695</v>
      </c>
      <c r="Q131" s="231" t="s">
        <v>696</v>
      </c>
      <c r="R131" s="228" t="s">
        <v>24</v>
      </c>
      <c r="S131" s="228"/>
      <c r="T131" s="232" t="s">
        <v>615</v>
      </c>
      <c r="U131" s="228"/>
      <c r="V131" s="232" t="s">
        <v>120</v>
      </c>
      <c r="W131" s="228"/>
      <c r="X131" s="232" t="s">
        <v>120</v>
      </c>
      <c r="Y131" s="228" t="s">
        <v>1316</v>
      </c>
      <c r="Z131" s="233" t="s">
        <v>120</v>
      </c>
      <c r="AA131" s="234"/>
      <c r="AB131" s="234"/>
      <c r="AC131" s="235" t="s">
        <v>123</v>
      </c>
      <c r="AD131" s="228" t="s">
        <v>1317</v>
      </c>
      <c r="AE131" s="232" t="s">
        <v>120</v>
      </c>
      <c r="AF131" s="229" t="s">
        <v>1435</v>
      </c>
      <c r="AG131" s="236"/>
      <c r="AH131" s="236"/>
      <c r="AI131" s="228" t="s">
        <v>1306</v>
      </c>
      <c r="AJ131" s="232" t="s">
        <v>120</v>
      </c>
      <c r="AK131" s="228" t="s">
        <v>123</v>
      </c>
      <c r="AL131" s="228" t="s">
        <v>935</v>
      </c>
      <c r="AM131" s="232"/>
      <c r="AN131" s="228"/>
      <c r="AO131" s="228"/>
      <c r="AP131" s="237"/>
      <c r="AQ131" s="228"/>
      <c r="AR131" s="232"/>
      <c r="AS131" s="228"/>
      <c r="AT131" s="229">
        <v>43447.754829513899</v>
      </c>
      <c r="AU131" s="229">
        <v>43451.370484143503</v>
      </c>
      <c r="AV131" s="229">
        <v>43448.619258911996</v>
      </c>
      <c r="AW131" s="229">
        <v>43447.754829513899</v>
      </c>
      <c r="AX131" s="229"/>
      <c r="AY131" s="229">
        <v>43447.715332754597</v>
      </c>
      <c r="AZ131" s="238">
        <v>43451.4114694444</v>
      </c>
      <c r="BA131" s="1" t="s">
        <v>7684</v>
      </c>
      <c r="BB131">
        <v>130</v>
      </c>
      <c r="BC131">
        <v>60</v>
      </c>
      <c r="BD131">
        <v>3085</v>
      </c>
      <c r="BE13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4.4114694443996996</v>
      </c>
      <c r="BF131" s="240">
        <f>COUNTIFS(_05preva_view43[Site ID],_05preva_view43[[#This Row],[Site ID]],_05preva_view43[Prevalidation Status],"Under Prevalidation")</f>
        <v>0</v>
      </c>
      <c r="BG13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1" s="242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6.xlsx</v>
      </c>
      <c r="BI131" s="64" t="e">
        <f t="shared" ca="1" si="2"/>
        <v>#VALUE!</v>
      </c>
      <c r="BJ131" s="104" t="e">
        <f ca="1">LEFT(CELL("filename",A116),_05preva_view43[[#This Row],[Find Process &amp; Database]]-1)</f>
        <v>#VALUE!</v>
      </c>
      <c r="BK131" s="104" t="e">
        <f ca="1">_05preva_view43[Folder Path1]&amp;"Process &amp; Database\Documentation\Colo Applications"</f>
        <v>#VALUE!</v>
      </c>
      <c r="BL131" s="104" t="e">
        <f ca="1">_05preva_view43[Folder Path2]&amp;"\Colo App "&amp;_05preva_view43[[#This Row],[Operator]]&amp;"\"</f>
        <v>#VALUE!</v>
      </c>
      <c r="BM131" s="63" t="e">
        <f ca="1">_05preva_view43[[#This Row],[Folder Path3]]&amp;_05preva_view43[[#This Row],[File Name]]</f>
        <v>#VALUE!</v>
      </c>
      <c r="BN131" s="104"/>
      <c r="CF131" s="5"/>
      <c r="CG131" s="5"/>
      <c r="CH131" s="3"/>
      <c r="CJ131" s="5"/>
      <c r="CN131" s="3"/>
      <c r="CO131" s="3"/>
      <c r="CP131" s="5"/>
      <c r="CR131" s="3"/>
      <c r="DN131" s="5"/>
      <c r="DP131" s="3"/>
      <c r="EB131" s="7"/>
      <c r="EC131" s="7"/>
      <c r="EF131" s="4"/>
      <c r="EG131" s="4"/>
      <c r="EQ131" s="2"/>
      <c r="ER131" s="2"/>
    </row>
    <row r="132" spans="1:148">
      <c r="A132" s="227">
        <v>3506</v>
      </c>
      <c r="B132" s="228" t="s">
        <v>1123</v>
      </c>
      <c r="C132" s="228" t="s">
        <v>278</v>
      </c>
      <c r="D132" s="228" t="s">
        <v>127</v>
      </c>
      <c r="E132" s="228" t="s">
        <v>1124</v>
      </c>
      <c r="F132" s="228" t="s">
        <v>35</v>
      </c>
      <c r="G132" s="228" t="s">
        <v>1292</v>
      </c>
      <c r="H132" s="228" t="s">
        <v>1285</v>
      </c>
      <c r="I132" s="228" t="s">
        <v>790</v>
      </c>
      <c r="J132" s="228" t="s">
        <v>694</v>
      </c>
      <c r="K132" s="229">
        <v>43447</v>
      </c>
      <c r="L132" s="230">
        <v>1.1080000000000001</v>
      </c>
      <c r="M132" s="230">
        <v>1.5820000000000001</v>
      </c>
      <c r="N132" s="228">
        <v>5.87</v>
      </c>
      <c r="O132" s="228" t="s">
        <v>687</v>
      </c>
      <c r="P132" s="231" t="s">
        <v>808</v>
      </c>
      <c r="Q132" s="231" t="s">
        <v>809</v>
      </c>
      <c r="R132" s="228" t="s">
        <v>24</v>
      </c>
      <c r="S132" s="228"/>
      <c r="T132" s="232" t="s">
        <v>615</v>
      </c>
      <c r="U132" s="228"/>
      <c r="V132" s="232" t="s">
        <v>120</v>
      </c>
      <c r="W132" s="228"/>
      <c r="X132" s="232" t="s">
        <v>120</v>
      </c>
      <c r="Y132" s="228" t="s">
        <v>1318</v>
      </c>
      <c r="Z132" s="233" t="s">
        <v>120</v>
      </c>
      <c r="AA132" s="234"/>
      <c r="AB132" s="234"/>
      <c r="AC132" s="235" t="s">
        <v>123</v>
      </c>
      <c r="AD132" s="228" t="s">
        <v>1438</v>
      </c>
      <c r="AE132" s="232" t="s">
        <v>120</v>
      </c>
      <c r="AF132" s="229" t="s">
        <v>1439</v>
      </c>
      <c r="AG132" s="236"/>
      <c r="AH132" s="236"/>
      <c r="AI132" s="228" t="s">
        <v>1306</v>
      </c>
      <c r="AJ132" s="232" t="s">
        <v>120</v>
      </c>
      <c r="AK132" s="228" t="s">
        <v>123</v>
      </c>
      <c r="AL132" s="228" t="s">
        <v>935</v>
      </c>
      <c r="AM132" s="232"/>
      <c r="AN132" s="228"/>
      <c r="AO132" s="228"/>
      <c r="AP132" s="237"/>
      <c r="AQ132" s="228"/>
      <c r="AR132" s="232"/>
      <c r="AS132" s="228"/>
      <c r="AT132" s="229">
        <v>43448.468701620397</v>
      </c>
      <c r="AU132" s="229">
        <v>43451.370484838</v>
      </c>
      <c r="AV132" s="229">
        <v>43451.553796180597</v>
      </c>
      <c r="AW132" s="229">
        <v>43448.468701620397</v>
      </c>
      <c r="AX132" s="229"/>
      <c r="AY132" s="229">
        <v>43447.715337499998</v>
      </c>
      <c r="AZ132" s="238">
        <v>43451.712501388902</v>
      </c>
      <c r="BA132" s="1" t="s">
        <v>7684</v>
      </c>
      <c r="BB132">
        <v>130</v>
      </c>
      <c r="BC132">
        <v>60</v>
      </c>
      <c r="BD132">
        <v>3116</v>
      </c>
      <c r="BE13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4.7125013889017282</v>
      </c>
      <c r="BF132" s="240">
        <f>COUNTIFS(_05preva_view43[Site ID],_05preva_view43[[#This Row],[Site ID]],_05preva_view43[Prevalidation Status],"Under Prevalidation")</f>
        <v>0</v>
      </c>
      <c r="BG13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2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4.xlsx</v>
      </c>
      <c r="BI132" s="64" t="e">
        <f t="shared" ca="1" si="2"/>
        <v>#VALUE!</v>
      </c>
      <c r="BJ132" s="104" t="e">
        <f ca="1">LEFT(CELL("filename",A117),_05preva_view43[[#This Row],[Find Process &amp; Database]]-1)</f>
        <v>#VALUE!</v>
      </c>
      <c r="BK132" s="104" t="e">
        <f ca="1">_05preva_view43[Folder Path1]&amp;"Process &amp; Database\Documentation\Colo Applications"</f>
        <v>#VALUE!</v>
      </c>
      <c r="BL132" s="104" t="e">
        <f ca="1">_05preva_view43[Folder Path2]&amp;"\Colo App "&amp;_05preva_view43[[#This Row],[Operator]]&amp;"\"</f>
        <v>#VALUE!</v>
      </c>
      <c r="BM132" s="63" t="e">
        <f ca="1">_05preva_view43[[#This Row],[Folder Path3]]&amp;_05preva_view43[[#This Row],[File Name]]</f>
        <v>#VALUE!</v>
      </c>
      <c r="BN132" s="104"/>
      <c r="CF132" s="5"/>
      <c r="CG132" s="5"/>
      <c r="CH132" s="3"/>
      <c r="CJ132" s="5"/>
      <c r="CN132" s="3"/>
      <c r="CO132" s="3"/>
      <c r="CP132" s="5"/>
      <c r="CR132" s="3"/>
      <c r="DN132" s="5"/>
      <c r="DP132" s="3"/>
      <c r="EB132" s="7"/>
      <c r="EC132" s="7"/>
      <c r="EF132" s="4"/>
      <c r="EG132" s="4"/>
      <c r="EQ132" s="2"/>
      <c r="ER132" s="2"/>
    </row>
    <row r="133" spans="1:148">
      <c r="A133" s="227">
        <v>3507</v>
      </c>
      <c r="B133" s="228" t="s">
        <v>1272</v>
      </c>
      <c r="C133" s="228" t="s">
        <v>278</v>
      </c>
      <c r="D133" s="228" t="s">
        <v>127</v>
      </c>
      <c r="E133" s="228" t="s">
        <v>1273</v>
      </c>
      <c r="F133" s="228" t="s">
        <v>35</v>
      </c>
      <c r="G133" s="228" t="s">
        <v>1292</v>
      </c>
      <c r="H133" s="228" t="s">
        <v>1285</v>
      </c>
      <c r="I133" s="228" t="s">
        <v>1006</v>
      </c>
      <c r="J133" s="228" t="s">
        <v>668</v>
      </c>
      <c r="K133" s="229">
        <v>43447</v>
      </c>
      <c r="L133" s="230">
        <v>1.399</v>
      </c>
      <c r="M133" s="230">
        <v>2.2610000000000001</v>
      </c>
      <c r="N133" s="228">
        <v>5.6059999999999999</v>
      </c>
      <c r="O133" s="228" t="s">
        <v>687</v>
      </c>
      <c r="P133" s="231" t="s">
        <v>695</v>
      </c>
      <c r="Q133" s="231" t="s">
        <v>696</v>
      </c>
      <c r="R133" s="228" t="s">
        <v>24</v>
      </c>
      <c r="S133" s="228"/>
      <c r="T133" s="232" t="s">
        <v>615</v>
      </c>
      <c r="U133" s="228"/>
      <c r="V133" s="232" t="s">
        <v>120</v>
      </c>
      <c r="W133" s="228"/>
      <c r="X133" s="232" t="s">
        <v>120</v>
      </c>
      <c r="Y133" s="228" t="s">
        <v>1319</v>
      </c>
      <c r="Z133" s="233" t="s">
        <v>120</v>
      </c>
      <c r="AA133" s="234"/>
      <c r="AB133" s="234"/>
      <c r="AC133" s="235" t="s">
        <v>123</v>
      </c>
      <c r="AD133" s="228" t="s">
        <v>1440</v>
      </c>
      <c r="AE133" s="232" t="s">
        <v>120</v>
      </c>
      <c r="AF133" s="229" t="s">
        <v>1441</v>
      </c>
      <c r="AG133" s="236"/>
      <c r="AH133" s="236"/>
      <c r="AI133" s="228" t="s">
        <v>1303</v>
      </c>
      <c r="AJ133" s="232" t="s">
        <v>120</v>
      </c>
      <c r="AK133" s="228" t="s">
        <v>123</v>
      </c>
      <c r="AL133" s="228" t="s">
        <v>935</v>
      </c>
      <c r="AM133" s="232"/>
      <c r="AN133" s="228"/>
      <c r="AO133" s="228"/>
      <c r="AP133" s="237"/>
      <c r="AQ133" s="228"/>
      <c r="AR133" s="232"/>
      <c r="AS133" s="228"/>
      <c r="AT133" s="229">
        <v>43448.468703935199</v>
      </c>
      <c r="AU133" s="229">
        <v>43451.370486458298</v>
      </c>
      <c r="AV133" s="229">
        <v>43451.639467824098</v>
      </c>
      <c r="AW133" s="229">
        <v>43448.468703935199</v>
      </c>
      <c r="AX133" s="229"/>
      <c r="AY133" s="229">
        <v>43447.715339351897</v>
      </c>
      <c r="AZ133" s="238">
        <v>43451.712502199101</v>
      </c>
      <c r="BA133" s="1" t="s">
        <v>7684</v>
      </c>
      <c r="BB133">
        <v>130</v>
      </c>
      <c r="BC133">
        <v>60</v>
      </c>
      <c r="BD133">
        <v>3067</v>
      </c>
      <c r="BE13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4.7125021991014364</v>
      </c>
      <c r="BF133" s="240">
        <f>COUNTIFS(_05preva_view43[Site ID],_05preva_view43[[#This Row],[Site ID]],_05preva_view43[Prevalidation Status],"Under Prevalidation")</f>
        <v>0</v>
      </c>
      <c r="BG13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3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1-01-15013-008 (SHN00087) Application Rev 1.xlsx</v>
      </c>
      <c r="BI133" s="64" t="e">
        <f t="shared" ca="1" si="2"/>
        <v>#VALUE!</v>
      </c>
      <c r="BJ133" s="104" t="e">
        <f ca="1">LEFT(CELL("filename",A118),_05preva_view43[[#This Row],[Find Process &amp; Database]]-1)</f>
        <v>#VALUE!</v>
      </c>
      <c r="BK133" s="104" t="e">
        <f ca="1">_05preva_view43[Folder Path1]&amp;"Process &amp; Database\Documentation\Colo Applications"</f>
        <v>#VALUE!</v>
      </c>
      <c r="BL133" s="104" t="e">
        <f ca="1">_05preva_view43[Folder Path2]&amp;"\Colo App "&amp;_05preva_view43[[#This Row],[Operator]]&amp;"\"</f>
        <v>#VALUE!</v>
      </c>
      <c r="BM133" s="63" t="e">
        <f ca="1">_05preva_view43[[#This Row],[Folder Path3]]&amp;_05preva_view43[[#This Row],[File Name]]</f>
        <v>#VALUE!</v>
      </c>
      <c r="BN133" s="104"/>
      <c r="CF133" s="5"/>
      <c r="CG133" s="5"/>
      <c r="CH133" s="3"/>
      <c r="CJ133" s="5"/>
      <c r="CN133" s="3"/>
      <c r="CO133" s="3"/>
      <c r="CP133" s="5"/>
      <c r="CR133" s="3"/>
      <c r="DN133" s="5"/>
      <c r="DP133" s="3"/>
      <c r="EB133" s="7"/>
      <c r="EC133" s="7"/>
      <c r="EF133" s="4"/>
      <c r="EG133" s="4"/>
      <c r="EQ133" s="2"/>
      <c r="ER133" s="2"/>
    </row>
    <row r="134" spans="1:148">
      <c r="A134" s="227">
        <v>3508</v>
      </c>
      <c r="B134" s="228" t="s">
        <v>1274</v>
      </c>
      <c r="C134" s="228" t="s">
        <v>278</v>
      </c>
      <c r="D134" s="228" t="s">
        <v>153</v>
      </c>
      <c r="E134" s="228" t="s">
        <v>1275</v>
      </c>
      <c r="F134" s="228" t="s">
        <v>35</v>
      </c>
      <c r="G134" s="228" t="s">
        <v>1292</v>
      </c>
      <c r="H134" s="228" t="s">
        <v>1285</v>
      </c>
      <c r="I134" s="228" t="s">
        <v>790</v>
      </c>
      <c r="J134" s="228" t="s">
        <v>686</v>
      </c>
      <c r="K134" s="229">
        <v>43447</v>
      </c>
      <c r="L134" s="230">
        <v>2.48</v>
      </c>
      <c r="M134" s="230">
        <v>3.1</v>
      </c>
      <c r="N134" s="228">
        <v>3.86</v>
      </c>
      <c r="O134" s="228" t="s">
        <v>687</v>
      </c>
      <c r="P134" s="231" t="s">
        <v>695</v>
      </c>
      <c r="Q134" s="231" t="s">
        <v>696</v>
      </c>
      <c r="R134" s="228" t="s">
        <v>24</v>
      </c>
      <c r="S134" s="228"/>
      <c r="T134" s="232" t="s">
        <v>615</v>
      </c>
      <c r="U134" s="228"/>
      <c r="V134" s="232" t="s">
        <v>120</v>
      </c>
      <c r="W134" s="228"/>
      <c r="X134" s="232" t="s">
        <v>120</v>
      </c>
      <c r="Y134" s="228" t="s">
        <v>1320</v>
      </c>
      <c r="Z134" s="233" t="s">
        <v>120</v>
      </c>
      <c r="AA134" s="234"/>
      <c r="AB134" s="234"/>
      <c r="AC134" s="235" t="s">
        <v>123</v>
      </c>
      <c r="AD134" s="228" t="s">
        <v>1442</v>
      </c>
      <c r="AE134" s="232" t="s">
        <v>120</v>
      </c>
      <c r="AF134" s="229" t="s">
        <v>1443</v>
      </c>
      <c r="AG134" s="236"/>
      <c r="AH134" s="236"/>
      <c r="AI134" s="228" t="s">
        <v>1306</v>
      </c>
      <c r="AJ134" s="232" t="s">
        <v>120</v>
      </c>
      <c r="AK134" s="228" t="s">
        <v>123</v>
      </c>
      <c r="AL134" s="228" t="s">
        <v>935</v>
      </c>
      <c r="AM134" s="232"/>
      <c r="AN134" s="228"/>
      <c r="AO134" s="228"/>
      <c r="AP134" s="237"/>
      <c r="AQ134" s="228"/>
      <c r="AR134" s="232"/>
      <c r="AS134" s="228"/>
      <c r="AT134" s="229">
        <v>43448.468706250002</v>
      </c>
      <c r="AU134" s="229">
        <v>43451.370487268498</v>
      </c>
      <c r="AV134" s="229">
        <v>43451.655901157399</v>
      </c>
      <c r="AW134" s="229">
        <v>43448.468706250002</v>
      </c>
      <c r="AX134" s="229"/>
      <c r="AY134" s="229">
        <v>43447.715341203701</v>
      </c>
      <c r="AZ134" s="238">
        <v>43451.712503009301</v>
      </c>
      <c r="BA134" s="1" t="s">
        <v>7684</v>
      </c>
      <c r="BB134">
        <v>195</v>
      </c>
      <c r="BC134">
        <v>60</v>
      </c>
      <c r="BD134">
        <v>3357</v>
      </c>
      <c r="BE13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4.7125030093011446</v>
      </c>
      <c r="BF134" s="240">
        <f>COUNTIFS(_05preva_view43[Site ID],_05preva_view43[[#This Row],[Site ID]],_05preva_view43[Prevalidation Status],"Under Prevalidation")</f>
        <v>0</v>
      </c>
      <c r="BG13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4" s="242" t="str">
        <f>CONCATENATE(_05preva_view43[[#This Row],[Site ID]]," (",_05preva_view43[[#This Row],[tenant id]],") Application",IF(_05preva_view43[[#This Row],[Colo Rev]]&gt;0," Rev "&amp;_05preva_view43[[#This Row],[Colo Rev]],""),".xlsx")</f>
        <v>1-01-17016-011 (AWD00293) Application Rev 2.xlsx</v>
      </c>
      <c r="BI134" s="64" t="e">
        <f t="shared" ca="1" si="2"/>
        <v>#VALUE!</v>
      </c>
      <c r="BJ134" s="104" t="e">
        <f ca="1">LEFT(CELL("filename",A119),_05preva_view43[[#This Row],[Find Process &amp; Database]]-1)</f>
        <v>#VALUE!</v>
      </c>
      <c r="BK134" s="104" t="e">
        <f ca="1">_05preva_view43[Folder Path1]&amp;"Process &amp; Database\Documentation\Colo Applications"</f>
        <v>#VALUE!</v>
      </c>
      <c r="BL134" s="104" t="e">
        <f ca="1">_05preva_view43[Folder Path2]&amp;"\Colo App "&amp;_05preva_view43[[#This Row],[Operator]]&amp;"\"</f>
        <v>#VALUE!</v>
      </c>
      <c r="BM134" s="63" t="e">
        <f ca="1">_05preva_view43[[#This Row],[Folder Path3]]&amp;_05preva_view43[[#This Row],[File Name]]</f>
        <v>#VALUE!</v>
      </c>
      <c r="BN134" s="104"/>
      <c r="CF134" s="5"/>
      <c r="CG134" s="5"/>
      <c r="CH134" s="3"/>
      <c r="CJ134" s="5"/>
      <c r="CN134" s="3"/>
      <c r="CO134" s="3"/>
      <c r="CP134" s="5"/>
      <c r="CR134" s="3"/>
      <c r="DN134" s="5"/>
      <c r="DP134" s="3"/>
      <c r="EB134" s="7"/>
      <c r="EC134" s="7"/>
      <c r="EF134" s="4"/>
      <c r="EG134" s="4"/>
      <c r="EQ134" s="2"/>
      <c r="ER134" s="2"/>
    </row>
    <row r="135" spans="1:148">
      <c r="A135" s="227">
        <v>3509</v>
      </c>
      <c r="B135" s="228" t="s">
        <v>1276</v>
      </c>
      <c r="C135" s="228" t="s">
        <v>278</v>
      </c>
      <c r="D135" s="228" t="s">
        <v>153</v>
      </c>
      <c r="E135" s="228" t="s">
        <v>1277</v>
      </c>
      <c r="F135" s="228" t="s">
        <v>35</v>
      </c>
      <c r="G135" s="228" t="s">
        <v>1292</v>
      </c>
      <c r="H135" s="228" t="s">
        <v>1285</v>
      </c>
      <c r="I135" s="228" t="s">
        <v>785</v>
      </c>
      <c r="J135" s="228" t="s">
        <v>668</v>
      </c>
      <c r="K135" s="229">
        <v>43447</v>
      </c>
      <c r="L135" s="230">
        <v>2.64</v>
      </c>
      <c r="M135" s="230">
        <v>3.3</v>
      </c>
      <c r="N135" s="228">
        <v>4.0949999999999998</v>
      </c>
      <c r="O135" s="228" t="s">
        <v>687</v>
      </c>
      <c r="P135" s="231" t="s">
        <v>765</v>
      </c>
      <c r="Q135" s="231" t="s">
        <v>766</v>
      </c>
      <c r="R135" s="228" t="s">
        <v>24</v>
      </c>
      <c r="S135" s="228"/>
      <c r="T135" s="232" t="s">
        <v>615</v>
      </c>
      <c r="U135" s="228"/>
      <c r="V135" s="232" t="s">
        <v>120</v>
      </c>
      <c r="W135" s="228"/>
      <c r="X135" s="232" t="s">
        <v>120</v>
      </c>
      <c r="Y135" s="228" t="s">
        <v>1321</v>
      </c>
      <c r="Z135" s="233" t="s">
        <v>120</v>
      </c>
      <c r="AA135" s="234"/>
      <c r="AB135" s="234"/>
      <c r="AC135" s="235" t="s">
        <v>123</v>
      </c>
      <c r="AD135" s="228" t="s">
        <v>1322</v>
      </c>
      <c r="AE135" s="232" t="s">
        <v>120</v>
      </c>
      <c r="AF135" s="229" t="s">
        <v>1444</v>
      </c>
      <c r="AG135" s="236"/>
      <c r="AH135" s="236"/>
      <c r="AI135" s="228" t="s">
        <v>1306</v>
      </c>
      <c r="AJ135" s="232" t="s">
        <v>120</v>
      </c>
      <c r="AK135" s="228" t="s">
        <v>123</v>
      </c>
      <c r="AL135" s="228" t="s">
        <v>935</v>
      </c>
      <c r="AM135" s="232"/>
      <c r="AN135" s="228"/>
      <c r="AO135" s="228"/>
      <c r="AP135" s="237"/>
      <c r="AQ135" s="228"/>
      <c r="AR135" s="232"/>
      <c r="AS135" s="228"/>
      <c r="AT135" s="229">
        <v>43448.468708564797</v>
      </c>
      <c r="AU135" s="229">
        <v>43451.370488425899</v>
      </c>
      <c r="AV135" s="229">
        <v>43451.397135879597</v>
      </c>
      <c r="AW135" s="229">
        <v>43448.468708564797</v>
      </c>
      <c r="AX135" s="229"/>
      <c r="AY135" s="229">
        <v>43447.715346874997</v>
      </c>
      <c r="AZ135" s="238">
        <v>43451.411472685199</v>
      </c>
      <c r="BA135" s="1" t="s">
        <v>7684</v>
      </c>
      <c r="BB135">
        <v>195</v>
      </c>
      <c r="BC135">
        <v>60</v>
      </c>
      <c r="BD135">
        <v>2621</v>
      </c>
      <c r="BE13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4.4114726851985324</v>
      </c>
      <c r="BF135" s="240">
        <f>COUNTIFS(_05preva_view43[Site ID],_05preva_view43[[#This Row],[Site ID]],_05preva_view43[Prevalidation Status],"Under Prevalidation")</f>
        <v>0</v>
      </c>
      <c r="BG13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5" s="242" t="str">
        <f>CONCATENATE(_05preva_view43[[#This Row],[Site ID]]," (",_05preva_view43[[#This Row],[tenant id]],") Application",IF(_05preva_view43[[#This Row],[Colo Rev]]&gt;0," Rev "&amp;_05preva_view43[[#This Row],[Colo Rev]],""),".xlsx")</f>
        <v>1-01-17017-001 (AWD00871) Application Rev 1.xlsx</v>
      </c>
      <c r="BI135" s="64" t="e">
        <f t="shared" ca="1" si="2"/>
        <v>#VALUE!</v>
      </c>
      <c r="BJ135" s="104" t="e">
        <f ca="1">LEFT(CELL("filename",A120),_05preva_view43[[#This Row],[Find Process &amp; Database]]-1)</f>
        <v>#VALUE!</v>
      </c>
      <c r="BK135" s="104" t="e">
        <f ca="1">_05preva_view43[Folder Path1]&amp;"Process &amp; Database\Documentation\Colo Applications"</f>
        <v>#VALUE!</v>
      </c>
      <c r="BL135" s="104" t="e">
        <f ca="1">_05preva_view43[Folder Path2]&amp;"\Colo App "&amp;_05preva_view43[[#This Row],[Operator]]&amp;"\"</f>
        <v>#VALUE!</v>
      </c>
      <c r="BM135" s="63" t="e">
        <f ca="1">_05preva_view43[[#This Row],[Folder Path3]]&amp;_05preva_view43[[#This Row],[File Name]]</f>
        <v>#VALUE!</v>
      </c>
      <c r="BN135" s="104"/>
      <c r="CF135" s="5"/>
      <c r="CG135" s="5"/>
      <c r="CH135" s="3"/>
      <c r="CJ135" s="5"/>
      <c r="CN135" s="3"/>
      <c r="CO135" s="3"/>
      <c r="CP135" s="5"/>
      <c r="CR135" s="3"/>
      <c r="DN135" s="5"/>
      <c r="DP135" s="3"/>
      <c r="EB135" s="7"/>
      <c r="EC135" s="7"/>
      <c r="EF135" s="4"/>
      <c r="EG135" s="4"/>
      <c r="EQ135" s="2"/>
      <c r="ER135" s="2"/>
    </row>
    <row r="136" spans="1:148">
      <c r="A136" s="227">
        <v>3510</v>
      </c>
      <c r="B136" s="228" t="s">
        <v>1278</v>
      </c>
      <c r="C136" s="228" t="s">
        <v>278</v>
      </c>
      <c r="D136" s="228" t="s">
        <v>127</v>
      </c>
      <c r="E136" s="228" t="s">
        <v>1279</v>
      </c>
      <c r="F136" s="228" t="s">
        <v>35</v>
      </c>
      <c r="G136" s="228" t="s">
        <v>1292</v>
      </c>
      <c r="H136" s="228" t="s">
        <v>1285</v>
      </c>
      <c r="I136" s="228" t="s">
        <v>875</v>
      </c>
      <c r="J136" s="228" t="s">
        <v>694</v>
      </c>
      <c r="K136" s="229">
        <v>43447</v>
      </c>
      <c r="L136" s="230">
        <v>1.1080000000000001</v>
      </c>
      <c r="M136" s="230">
        <v>1.52</v>
      </c>
      <c r="N136" s="228">
        <v>3.1070000000000002</v>
      </c>
      <c r="O136" s="228" t="s">
        <v>687</v>
      </c>
      <c r="P136" s="231" t="s">
        <v>695</v>
      </c>
      <c r="Q136" s="231" t="s">
        <v>696</v>
      </c>
      <c r="R136" s="228" t="s">
        <v>24</v>
      </c>
      <c r="S136" s="228"/>
      <c r="T136" s="232" t="s">
        <v>615</v>
      </c>
      <c r="U136" s="228"/>
      <c r="V136" s="232" t="s">
        <v>120</v>
      </c>
      <c r="W136" s="228"/>
      <c r="X136" s="232" t="s">
        <v>120</v>
      </c>
      <c r="Y136" s="228" t="s">
        <v>1323</v>
      </c>
      <c r="Z136" s="233" t="s">
        <v>120</v>
      </c>
      <c r="AA136" s="234"/>
      <c r="AB136" s="234"/>
      <c r="AC136" s="235" t="s">
        <v>123</v>
      </c>
      <c r="AD136" s="228" t="s">
        <v>1445</v>
      </c>
      <c r="AE136" s="232" t="s">
        <v>615</v>
      </c>
      <c r="AF136" s="229" t="s">
        <v>977</v>
      </c>
      <c r="AG136" s="236"/>
      <c r="AH136" s="236"/>
      <c r="AI136" s="228"/>
      <c r="AJ136" s="232" t="s">
        <v>120</v>
      </c>
      <c r="AK136" s="228" t="s">
        <v>123</v>
      </c>
      <c r="AL136" s="228" t="s">
        <v>935</v>
      </c>
      <c r="AM136" s="232"/>
      <c r="AN136" s="228"/>
      <c r="AO136" s="228"/>
      <c r="AP136" s="237"/>
      <c r="AQ136" s="228"/>
      <c r="AR136" s="232"/>
      <c r="AS136" s="228"/>
      <c r="AT136" s="229">
        <v>43448.468711111098</v>
      </c>
      <c r="AU136" s="229"/>
      <c r="AV136" s="229">
        <v>43451.560683680596</v>
      </c>
      <c r="AW136" s="229">
        <v>43448.468711111098</v>
      </c>
      <c r="AX136" s="229"/>
      <c r="AY136" s="229">
        <v>43447.715380092603</v>
      </c>
      <c r="AZ136" s="238">
        <v>43451.712503703697</v>
      </c>
      <c r="BA136" s="1" t="s">
        <v>7684</v>
      </c>
      <c r="BB136">
        <v>130</v>
      </c>
      <c r="BC136">
        <v>60</v>
      </c>
      <c r="BD136">
        <v>3447</v>
      </c>
      <c r="BE13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4.7125037036967115</v>
      </c>
      <c r="BF136" s="240">
        <f>COUNTIFS(_05preva_view43[Site ID],_05preva_view43[[#This Row],[Site ID]],_05preva_view43[Prevalidation Status],"Under Prevalidation")</f>
        <v>0</v>
      </c>
      <c r="BG13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6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4.xlsx</v>
      </c>
      <c r="BI136" s="64" t="e">
        <f t="shared" ca="1" si="2"/>
        <v>#VALUE!</v>
      </c>
      <c r="BJ136" s="104" t="e">
        <f ca="1">LEFT(CELL("filename",A121),_05preva_view43[[#This Row],[Find Process &amp; Database]]-1)</f>
        <v>#VALUE!</v>
      </c>
      <c r="BK136" s="104" t="e">
        <f ca="1">_05preva_view43[Folder Path1]&amp;"Process &amp; Database\Documentation\Colo Applications"</f>
        <v>#VALUE!</v>
      </c>
      <c r="BL136" s="104" t="e">
        <f ca="1">_05preva_view43[Folder Path2]&amp;"\Colo App "&amp;_05preva_view43[[#This Row],[Operator]]&amp;"\"</f>
        <v>#VALUE!</v>
      </c>
      <c r="BM136" s="63" t="e">
        <f ca="1">_05preva_view43[[#This Row],[Folder Path3]]&amp;_05preva_view43[[#This Row],[File Name]]</f>
        <v>#VALUE!</v>
      </c>
      <c r="BN136" s="104"/>
      <c r="CF136" s="5"/>
      <c r="CG136" s="5"/>
      <c r="CH136" s="3"/>
      <c r="CJ136" s="5"/>
      <c r="CN136" s="3"/>
      <c r="CO136" s="3"/>
      <c r="CP136" s="5"/>
      <c r="CR136" s="3"/>
      <c r="DN136" s="5"/>
      <c r="DP136" s="3"/>
      <c r="EB136" s="7"/>
      <c r="EC136" s="7"/>
      <c r="EF136" s="4"/>
      <c r="EG136" s="4"/>
      <c r="EQ136" s="2"/>
      <c r="ER136" s="2"/>
    </row>
    <row r="137" spans="1:148">
      <c r="A137" s="227">
        <v>3511</v>
      </c>
      <c r="B137" s="228" t="s">
        <v>1278</v>
      </c>
      <c r="C137" s="228" t="s">
        <v>278</v>
      </c>
      <c r="D137" s="228" t="s">
        <v>127</v>
      </c>
      <c r="E137" s="228" t="s">
        <v>1279</v>
      </c>
      <c r="F137" s="228" t="s">
        <v>35</v>
      </c>
      <c r="G137" s="228" t="s">
        <v>1292</v>
      </c>
      <c r="H137" s="228" t="s">
        <v>1285</v>
      </c>
      <c r="I137" s="228" t="s">
        <v>1280</v>
      </c>
      <c r="J137" s="228" t="s">
        <v>1022</v>
      </c>
      <c r="K137" s="229">
        <v>43447</v>
      </c>
      <c r="L137" s="230">
        <v>1.399</v>
      </c>
      <c r="M137" s="230">
        <v>2.1989999999999998</v>
      </c>
      <c r="N137" s="228">
        <v>3.2650000000000001</v>
      </c>
      <c r="O137" s="228" t="s">
        <v>687</v>
      </c>
      <c r="P137" s="231" t="s">
        <v>695</v>
      </c>
      <c r="Q137" s="231" t="s">
        <v>696</v>
      </c>
      <c r="R137" s="228" t="s">
        <v>24</v>
      </c>
      <c r="S137" s="228"/>
      <c r="T137" s="232" t="s">
        <v>615</v>
      </c>
      <c r="U137" s="228"/>
      <c r="V137" s="232" t="s">
        <v>120</v>
      </c>
      <c r="W137" s="228"/>
      <c r="X137" s="232" t="s">
        <v>120</v>
      </c>
      <c r="Y137" s="228" t="s">
        <v>1324</v>
      </c>
      <c r="Z137" s="233" t="s">
        <v>120</v>
      </c>
      <c r="AA137" s="234"/>
      <c r="AB137" s="234"/>
      <c r="AC137" s="235" t="s">
        <v>123</v>
      </c>
      <c r="AD137" s="228" t="s">
        <v>1446</v>
      </c>
      <c r="AE137" s="232" t="s">
        <v>615</v>
      </c>
      <c r="AF137" s="229" t="s">
        <v>977</v>
      </c>
      <c r="AG137" s="236"/>
      <c r="AH137" s="236"/>
      <c r="AI137" s="228"/>
      <c r="AJ137" s="232" t="s">
        <v>120</v>
      </c>
      <c r="AK137" s="228" t="s">
        <v>123</v>
      </c>
      <c r="AL137" s="228" t="s">
        <v>935</v>
      </c>
      <c r="AM137" s="232"/>
      <c r="AN137" s="228"/>
      <c r="AO137" s="228"/>
      <c r="AP137" s="237"/>
      <c r="AQ137" s="228"/>
      <c r="AR137" s="232"/>
      <c r="AS137" s="228"/>
      <c r="AT137" s="229">
        <v>43448.468713657399</v>
      </c>
      <c r="AU137" s="229"/>
      <c r="AV137" s="229">
        <v>43451.560684259297</v>
      </c>
      <c r="AW137" s="229">
        <v>43448.468713657399</v>
      </c>
      <c r="AX137" s="229"/>
      <c r="AY137" s="229">
        <v>43447.715381597198</v>
      </c>
      <c r="AZ137" s="238">
        <v>43451.712504398201</v>
      </c>
      <c r="BA137" s="1" t="s">
        <v>7684</v>
      </c>
      <c r="BB137">
        <v>130</v>
      </c>
      <c r="BC137">
        <v>60</v>
      </c>
      <c r="BD137">
        <v>3447</v>
      </c>
      <c r="BE13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4.7125043982014176</v>
      </c>
      <c r="BF137" s="240">
        <f>COUNTIFS(_05preva_view43[Site ID],_05preva_view43[[#This Row],[Site ID]],_05preva_view43[Prevalidation Status],"Under Prevalidation")</f>
        <v>0</v>
      </c>
      <c r="BG13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7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I137" s="64" t="e">
        <f t="shared" ca="1" si="2"/>
        <v>#VALUE!</v>
      </c>
      <c r="BJ137" s="104" t="e">
        <f ca="1">LEFT(CELL("filename",A122),_05preva_view43[[#This Row],[Find Process &amp; Database]]-1)</f>
        <v>#VALUE!</v>
      </c>
      <c r="BK137" s="104" t="e">
        <f ca="1">_05preva_view43[Folder Path1]&amp;"Process &amp; Database\Documentation\Colo Applications"</f>
        <v>#VALUE!</v>
      </c>
      <c r="BL137" s="104" t="e">
        <f ca="1">_05preva_view43[Folder Path2]&amp;"\Colo App "&amp;_05preva_view43[[#This Row],[Operator]]&amp;"\"</f>
        <v>#VALUE!</v>
      </c>
      <c r="BM137" s="63" t="e">
        <f ca="1">_05preva_view43[[#This Row],[Folder Path3]]&amp;_05preva_view43[[#This Row],[File Name]]</f>
        <v>#VALUE!</v>
      </c>
      <c r="BN137" s="104"/>
      <c r="CF137" s="5"/>
      <c r="CG137" s="5"/>
      <c r="CH137" s="3"/>
      <c r="CJ137" s="5"/>
      <c r="CN137" s="3"/>
      <c r="CO137" s="3"/>
      <c r="CP137" s="5"/>
      <c r="CR137" s="3"/>
      <c r="DN137" s="5"/>
      <c r="DP137" s="3"/>
      <c r="EB137" s="7"/>
      <c r="EC137" s="7"/>
      <c r="EF137" s="4"/>
      <c r="EG137" s="4"/>
      <c r="EQ137" s="2"/>
      <c r="ER137" s="2"/>
    </row>
    <row r="138" spans="1:148">
      <c r="A138" s="227">
        <v>3496</v>
      </c>
      <c r="B138" s="228" t="s">
        <v>665</v>
      </c>
      <c r="C138" s="228" t="s">
        <v>116</v>
      </c>
      <c r="D138" s="228" t="s">
        <v>127</v>
      </c>
      <c r="E138" s="228" t="s">
        <v>666</v>
      </c>
      <c r="F138" s="228" t="s">
        <v>35</v>
      </c>
      <c r="G138" s="228" t="s">
        <v>1287</v>
      </c>
      <c r="H138" s="228" t="s">
        <v>1285</v>
      </c>
      <c r="I138" s="228" t="s">
        <v>981</v>
      </c>
      <c r="J138" s="228" t="s">
        <v>677</v>
      </c>
      <c r="K138" s="229">
        <v>43446</v>
      </c>
      <c r="L138" s="230">
        <v>1</v>
      </c>
      <c r="M138" s="230">
        <v>1.4</v>
      </c>
      <c r="N138" s="228">
        <v>6.52</v>
      </c>
      <c r="O138" s="228" t="s">
        <v>119</v>
      </c>
      <c r="P138" s="231" t="s">
        <v>655</v>
      </c>
      <c r="Q138" s="231" t="s">
        <v>669</v>
      </c>
      <c r="R138" s="228" t="s">
        <v>24</v>
      </c>
      <c r="S138" s="228"/>
      <c r="T138" s="232" t="s">
        <v>615</v>
      </c>
      <c r="U138" s="228"/>
      <c r="V138" s="232" t="s">
        <v>120</v>
      </c>
      <c r="W138" s="228"/>
      <c r="X138" s="232" t="s">
        <v>120</v>
      </c>
      <c r="Y138" s="228" t="s">
        <v>1254</v>
      </c>
      <c r="Z138" s="233" t="s">
        <v>120</v>
      </c>
      <c r="AA138" s="234"/>
      <c r="AB138" s="234"/>
      <c r="AC138" s="235" t="s">
        <v>123</v>
      </c>
      <c r="AD138" s="228" t="s">
        <v>1281</v>
      </c>
      <c r="AE138" s="232" t="s">
        <v>120</v>
      </c>
      <c r="AF138" s="229"/>
      <c r="AG138" s="236"/>
      <c r="AH138" s="236"/>
      <c r="AI138" s="228"/>
      <c r="AJ138" s="232" t="s">
        <v>120</v>
      </c>
      <c r="AK138" s="228" t="s">
        <v>123</v>
      </c>
      <c r="AL138" s="228" t="s">
        <v>935</v>
      </c>
      <c r="AM138" s="232"/>
      <c r="AN138" s="228"/>
      <c r="AO138" s="228"/>
      <c r="AP138" s="237"/>
      <c r="AQ138" s="228"/>
      <c r="AR138" s="232"/>
      <c r="AS138" s="228"/>
      <c r="AT138" s="229">
        <v>43446.578254513901</v>
      </c>
      <c r="AU138" s="229">
        <v>43447.716954166703</v>
      </c>
      <c r="AV138" s="229">
        <v>43447.423204976898</v>
      </c>
      <c r="AW138" s="229">
        <v>43446.578254513901</v>
      </c>
      <c r="AX138" s="229"/>
      <c r="AY138" s="229">
        <v>43446.542578125001</v>
      </c>
      <c r="AZ138" s="238">
        <v>43448.7279530093</v>
      </c>
      <c r="BA138" s="1" t="s">
        <v>7684</v>
      </c>
      <c r="BB138">
        <v>130</v>
      </c>
      <c r="BC138">
        <v>50</v>
      </c>
      <c r="BD138">
        <v>683</v>
      </c>
      <c r="BE13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2.7279530093001085</v>
      </c>
      <c r="BF138" s="240">
        <f>COUNTIFS(_05preva_view43[Site ID],_05preva_view43[[#This Row],[Site ID]],_05preva_view43[Prevalidation Status],"Under Prevalidation")</f>
        <v>0</v>
      </c>
      <c r="BG13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8" s="24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0.xlsx</v>
      </c>
      <c r="BI138" s="64" t="e">
        <f t="shared" ca="1" si="2"/>
        <v>#VALUE!</v>
      </c>
      <c r="BJ138" s="104" t="e">
        <f ca="1">LEFT(CELL("filename",A123),_05preva_view43[[#This Row],[Find Process &amp; Database]]-1)</f>
        <v>#VALUE!</v>
      </c>
      <c r="BK138" s="104" t="e">
        <f ca="1">_05preva_view43[Folder Path1]&amp;"Process &amp; Database\Documentation\Colo Applications"</f>
        <v>#VALUE!</v>
      </c>
      <c r="BL138" s="104" t="e">
        <f ca="1">_05preva_view43[Folder Path2]&amp;"\Colo App "&amp;_05preva_view43[[#This Row],[Operator]]&amp;"\"</f>
        <v>#VALUE!</v>
      </c>
      <c r="BM138" s="63" t="e">
        <f ca="1">_05preva_view43[[#This Row],[Folder Path3]]&amp;_05preva_view43[[#This Row],[File Name]]</f>
        <v>#VALUE!</v>
      </c>
      <c r="BN138" s="104"/>
      <c r="CF138" s="5"/>
      <c r="CG138" s="5"/>
      <c r="CH138" s="3"/>
      <c r="CJ138" s="5"/>
      <c r="CN138" s="3"/>
      <c r="CO138" s="3"/>
      <c r="CP138" s="5"/>
      <c r="CR138" s="3"/>
      <c r="DN138" s="5"/>
      <c r="DP138" s="3"/>
      <c r="EB138" s="7"/>
      <c r="EC138" s="7"/>
      <c r="EF138" s="4"/>
      <c r="EG138" s="4"/>
      <c r="EQ138" s="2"/>
      <c r="ER138" s="2"/>
    </row>
    <row r="139" spans="1:148">
      <c r="A139" s="227">
        <v>3497</v>
      </c>
      <c r="B139" s="228" t="s">
        <v>1255</v>
      </c>
      <c r="C139" s="228" t="s">
        <v>116</v>
      </c>
      <c r="D139" s="228" t="s">
        <v>153</v>
      </c>
      <c r="E139" s="228" t="s">
        <v>1256</v>
      </c>
      <c r="F139" s="228" t="s">
        <v>35</v>
      </c>
      <c r="G139" s="228" t="s">
        <v>1287</v>
      </c>
      <c r="H139" s="228" t="s">
        <v>1285</v>
      </c>
      <c r="I139" s="228" t="s">
        <v>888</v>
      </c>
      <c r="J139" s="228" t="s">
        <v>677</v>
      </c>
      <c r="K139" s="229">
        <v>43446</v>
      </c>
      <c r="L139" s="230">
        <v>2.16</v>
      </c>
      <c r="M139" s="230">
        <v>2.7</v>
      </c>
      <c r="N139" s="228">
        <v>5.41</v>
      </c>
      <c r="O139" s="228" t="s">
        <v>119</v>
      </c>
      <c r="P139" s="231" t="s">
        <v>280</v>
      </c>
      <c r="Q139" s="231" t="s">
        <v>281</v>
      </c>
      <c r="R139" s="228" t="s">
        <v>24</v>
      </c>
      <c r="S139" s="228"/>
      <c r="T139" s="232" t="s">
        <v>615</v>
      </c>
      <c r="U139" s="228"/>
      <c r="V139" s="232" t="s">
        <v>120</v>
      </c>
      <c r="W139" s="228"/>
      <c r="X139" s="232" t="s">
        <v>120</v>
      </c>
      <c r="Y139" s="228" t="s">
        <v>1257</v>
      </c>
      <c r="Z139" s="233" t="s">
        <v>120</v>
      </c>
      <c r="AA139" s="234"/>
      <c r="AB139" s="234"/>
      <c r="AC139" s="235" t="s">
        <v>123</v>
      </c>
      <c r="AD139" s="228" t="s">
        <v>1282</v>
      </c>
      <c r="AE139" s="232" t="s">
        <v>120</v>
      </c>
      <c r="AF139" s="229"/>
      <c r="AG139" s="236"/>
      <c r="AH139" s="236"/>
      <c r="AI139" s="228"/>
      <c r="AJ139" s="232" t="s">
        <v>120</v>
      </c>
      <c r="AK139" s="228" t="s">
        <v>123</v>
      </c>
      <c r="AL139" s="228" t="s">
        <v>935</v>
      </c>
      <c r="AM139" s="232"/>
      <c r="AN139" s="228"/>
      <c r="AO139" s="228"/>
      <c r="AP139" s="237"/>
      <c r="AQ139" s="228"/>
      <c r="AR139" s="232"/>
      <c r="AS139" s="228"/>
      <c r="AT139" s="229">
        <v>43446.578255902801</v>
      </c>
      <c r="AU139" s="229">
        <v>43447.716957523102</v>
      </c>
      <c r="AV139" s="229">
        <v>43447.629941088002</v>
      </c>
      <c r="AW139" s="229">
        <v>43446.578255902801</v>
      </c>
      <c r="AX139" s="229"/>
      <c r="AY139" s="229">
        <v>43447.641160763902</v>
      </c>
      <c r="AZ139" s="238">
        <v>43448.727954050897</v>
      </c>
      <c r="BA139" s="1" t="s">
        <v>7684</v>
      </c>
      <c r="BB139">
        <v>195</v>
      </c>
      <c r="BC139">
        <v>35</v>
      </c>
      <c r="BD139">
        <v>33</v>
      </c>
      <c r="BE13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2.7279540508970967</v>
      </c>
      <c r="BF139" s="240">
        <f>COUNTIFS(_05preva_view43[Site ID],_05preva_view43[[#This Row],[Site ID]],_05preva_view43[Prevalidation Status],"Under Prevalidation")</f>
        <v>0</v>
      </c>
      <c r="BG13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39" s="242" t="str">
        <f>CONCATENATE(_05preva_view43[[#This Row],[Site ID]]," (",_05preva_view43[[#This Row],[tenant id]],") Application",IF(_05preva_view43[[#This Row],[Colo Rev]]&gt;0," Rev "&amp;_05preva_view43[[#This Row],[Colo Rev]],""),".xlsx")</f>
        <v>AYYN_0300 (YGN00953) Application Rev 0.xlsx</v>
      </c>
      <c r="BI139" s="64" t="e">
        <f t="shared" ca="1" si="2"/>
        <v>#VALUE!</v>
      </c>
      <c r="BJ139" s="104" t="e">
        <f ca="1">LEFT(CELL("filename",A124),_05preva_view43[[#This Row],[Find Process &amp; Database]]-1)</f>
        <v>#VALUE!</v>
      </c>
      <c r="BK139" s="104" t="e">
        <f ca="1">_05preva_view43[Folder Path1]&amp;"Process &amp; Database\Documentation\Colo Applications"</f>
        <v>#VALUE!</v>
      </c>
      <c r="BL139" s="104" t="e">
        <f ca="1">_05preva_view43[Folder Path2]&amp;"\Colo App "&amp;_05preva_view43[[#This Row],[Operator]]&amp;"\"</f>
        <v>#VALUE!</v>
      </c>
      <c r="BM139" s="63" t="e">
        <f ca="1">_05preva_view43[[#This Row],[Folder Path3]]&amp;_05preva_view43[[#This Row],[File Name]]</f>
        <v>#VALUE!</v>
      </c>
      <c r="BN139" s="104"/>
      <c r="CF139" s="5"/>
      <c r="CG139" s="5"/>
      <c r="CH139" s="3"/>
      <c r="CJ139" s="5"/>
      <c r="CN139" s="3"/>
      <c r="CO139" s="3"/>
      <c r="CP139" s="5"/>
      <c r="CR139" s="3"/>
      <c r="DN139" s="5"/>
      <c r="DP139" s="3"/>
      <c r="EB139" s="7"/>
      <c r="EC139" s="7"/>
      <c r="EF139" s="4"/>
      <c r="EG139" s="4"/>
      <c r="EQ139" s="2"/>
      <c r="ER139" s="2"/>
    </row>
    <row r="140" spans="1:148">
      <c r="A140" s="227">
        <v>3493</v>
      </c>
      <c r="B140" s="228" t="s">
        <v>1246</v>
      </c>
      <c r="C140" s="228" t="s">
        <v>116</v>
      </c>
      <c r="D140" s="228" t="s">
        <v>127</v>
      </c>
      <c r="E140" s="228" t="s">
        <v>1247</v>
      </c>
      <c r="F140" s="228" t="s">
        <v>35</v>
      </c>
      <c r="G140" s="228" t="s">
        <v>1287</v>
      </c>
      <c r="H140" s="228" t="s">
        <v>1285</v>
      </c>
      <c r="I140" s="228" t="s">
        <v>1242</v>
      </c>
      <c r="J140" s="228" t="s">
        <v>677</v>
      </c>
      <c r="K140" s="229">
        <v>43445</v>
      </c>
      <c r="L140" s="230">
        <v>1.399</v>
      </c>
      <c r="M140" s="230">
        <v>2.1989999999999998</v>
      </c>
      <c r="N140" s="228">
        <v>4.13</v>
      </c>
      <c r="O140" s="228" t="s">
        <v>119</v>
      </c>
      <c r="P140" s="231" t="s">
        <v>1164</v>
      </c>
      <c r="Q140" s="231" t="s">
        <v>533</v>
      </c>
      <c r="R140" s="228" t="s">
        <v>24</v>
      </c>
      <c r="S140" s="228"/>
      <c r="T140" s="232" t="s">
        <v>615</v>
      </c>
      <c r="U140" s="228"/>
      <c r="V140" s="232" t="s">
        <v>120</v>
      </c>
      <c r="W140" s="228"/>
      <c r="X140" s="232" t="s">
        <v>120</v>
      </c>
      <c r="Y140" s="228" t="s">
        <v>1248</v>
      </c>
      <c r="Z140" s="233" t="s">
        <v>120</v>
      </c>
      <c r="AA140" s="234"/>
      <c r="AB140" s="234"/>
      <c r="AC140" s="235" t="s">
        <v>123</v>
      </c>
      <c r="AD140" s="228" t="s">
        <v>1249</v>
      </c>
      <c r="AE140" s="232" t="s">
        <v>120</v>
      </c>
      <c r="AF140" s="229"/>
      <c r="AG140" s="236"/>
      <c r="AH140" s="236"/>
      <c r="AI140" s="228"/>
      <c r="AJ140" s="232" t="s">
        <v>120</v>
      </c>
      <c r="AK140" s="228" t="s">
        <v>123</v>
      </c>
      <c r="AL140" s="228" t="s">
        <v>935</v>
      </c>
      <c r="AM140" s="232"/>
      <c r="AN140" s="228"/>
      <c r="AO140" s="228"/>
      <c r="AP140" s="237"/>
      <c r="AQ140" s="228"/>
      <c r="AR140" s="232"/>
      <c r="AS140" s="228"/>
      <c r="AT140" s="229">
        <v>43446.4726368056</v>
      </c>
      <c r="AU140" s="229">
        <v>43445.639607523102</v>
      </c>
      <c r="AV140" s="229">
        <v>43446.611587847197</v>
      </c>
      <c r="AW140" s="229">
        <v>43446.4726368056</v>
      </c>
      <c r="AX140" s="229"/>
      <c r="AY140" s="229">
        <v>43445.434493402798</v>
      </c>
      <c r="AZ140" s="238">
        <v>43447.425436689802</v>
      </c>
      <c r="BA140" s="1" t="s">
        <v>7684</v>
      </c>
      <c r="BB140"/>
      <c r="BC140">
        <v>35</v>
      </c>
      <c r="BD140">
        <v>215</v>
      </c>
      <c r="BE14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2.4254366898021544</v>
      </c>
      <c r="BF140" s="240">
        <f>COUNTIFS(_05preva_view43[Site ID],_05preva_view43[[#This Row],[Site ID]],_05preva_view43[Prevalidation Status],"Under Prevalidation")</f>
        <v>0</v>
      </c>
      <c r="BG14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0" s="242" t="str">
        <f>CONCATENATE(_05preva_view43[[#This Row],[Site ID]]," (",_05preva_view43[[#This Row],[tenant id]],") Application",IF(_05preva_view43[[#This Row],[Colo Rev]]&gt;0," Rev "&amp;_05preva_view43[[#This Row],[Colo Rev]],""),".xlsx")</f>
        <v>ANMD_0022 (MDY00913) Application Rev 0.xlsx</v>
      </c>
      <c r="BI140" s="64" t="e">
        <f t="shared" ca="1" si="2"/>
        <v>#VALUE!</v>
      </c>
      <c r="BJ140" s="104" t="e">
        <f ca="1">LEFT(CELL("filename",A125),_05preva_view43[[#This Row],[Find Process &amp; Database]]-1)</f>
        <v>#VALUE!</v>
      </c>
      <c r="BK140" s="104" t="e">
        <f ca="1">_05preva_view43[Folder Path1]&amp;"Process &amp; Database\Documentation\Colo Applications"</f>
        <v>#VALUE!</v>
      </c>
      <c r="BL140" s="104" t="e">
        <f ca="1">_05preva_view43[Folder Path2]&amp;"\Colo App "&amp;_05preva_view43[[#This Row],[Operator]]&amp;"\"</f>
        <v>#VALUE!</v>
      </c>
      <c r="BM140" s="63" t="e">
        <f ca="1">_05preva_view43[[#This Row],[Folder Path3]]&amp;_05preva_view43[[#This Row],[File Name]]</f>
        <v>#VALUE!</v>
      </c>
      <c r="BN140" s="104"/>
      <c r="CF140" s="5"/>
      <c r="CG140" s="5"/>
      <c r="CH140" s="3"/>
      <c r="CJ140" s="5"/>
      <c r="CN140" s="3"/>
      <c r="CO140" s="3"/>
      <c r="CP140" s="5"/>
      <c r="CR140" s="3"/>
      <c r="DN140" s="5"/>
      <c r="DP140" s="3"/>
      <c r="EB140" s="7"/>
      <c r="EC140" s="7"/>
      <c r="EF140" s="4"/>
      <c r="EG140" s="4"/>
      <c r="EQ140" s="2"/>
      <c r="ER140" s="2"/>
    </row>
    <row r="141" spans="1:148">
      <c r="A141" s="227">
        <v>3494</v>
      </c>
      <c r="B141" s="228" t="s">
        <v>826</v>
      </c>
      <c r="C141" s="228" t="s">
        <v>116</v>
      </c>
      <c r="D141" s="228" t="s">
        <v>127</v>
      </c>
      <c r="E141" s="228" t="s">
        <v>827</v>
      </c>
      <c r="F141" s="228" t="s">
        <v>35</v>
      </c>
      <c r="G141" s="228" t="s">
        <v>1287</v>
      </c>
      <c r="H141" s="228" t="s">
        <v>1285</v>
      </c>
      <c r="I141" s="228" t="s">
        <v>981</v>
      </c>
      <c r="J141" s="228" t="s">
        <v>686</v>
      </c>
      <c r="K141" s="229">
        <v>43445</v>
      </c>
      <c r="L141" s="230">
        <v>1</v>
      </c>
      <c r="M141" s="230">
        <v>1.4</v>
      </c>
      <c r="N141" s="228">
        <v>4.51</v>
      </c>
      <c r="O141" s="228" t="s">
        <v>119</v>
      </c>
      <c r="P141" s="231" t="s">
        <v>655</v>
      </c>
      <c r="Q141" s="231" t="s">
        <v>669</v>
      </c>
      <c r="R141" s="228" t="s">
        <v>24</v>
      </c>
      <c r="S141" s="228"/>
      <c r="T141" s="232" t="s">
        <v>615</v>
      </c>
      <c r="U141" s="228"/>
      <c r="V141" s="232" t="s">
        <v>120</v>
      </c>
      <c r="W141" s="228"/>
      <c r="X141" s="232" t="s">
        <v>120</v>
      </c>
      <c r="Y141" s="228" t="s">
        <v>1250</v>
      </c>
      <c r="Z141" s="233" t="s">
        <v>120</v>
      </c>
      <c r="AA141" s="234"/>
      <c r="AB141" s="234"/>
      <c r="AC141" s="235" t="s">
        <v>123</v>
      </c>
      <c r="AD141" s="228" t="s">
        <v>1251</v>
      </c>
      <c r="AE141" s="232" t="s">
        <v>120</v>
      </c>
      <c r="AF141" s="229"/>
      <c r="AG141" s="236"/>
      <c r="AH141" s="236"/>
      <c r="AI141" s="228"/>
      <c r="AJ141" s="232" t="s">
        <v>120</v>
      </c>
      <c r="AK141" s="228" t="s">
        <v>123</v>
      </c>
      <c r="AL141" s="228" t="s">
        <v>935</v>
      </c>
      <c r="AM141" s="232"/>
      <c r="AN141" s="228"/>
      <c r="AO141" s="228"/>
      <c r="AP141" s="237"/>
      <c r="AQ141" s="228"/>
      <c r="AR141" s="232"/>
      <c r="AS141" s="228"/>
      <c r="AT141" s="229">
        <v>43446.472638541702</v>
      </c>
      <c r="AU141" s="229">
        <v>43445.639608680598</v>
      </c>
      <c r="AV141" s="229">
        <v>43446.590792361101</v>
      </c>
      <c r="AW141" s="229">
        <v>43446.472638541702</v>
      </c>
      <c r="AX141" s="229"/>
      <c r="AY141" s="229">
        <v>43452.513665972197</v>
      </c>
      <c r="AZ141" s="238">
        <v>43452.584169560199</v>
      </c>
      <c r="BA141" s="1" t="s">
        <v>7684</v>
      </c>
      <c r="BB141"/>
      <c r="BC141">
        <v>50</v>
      </c>
      <c r="BD141">
        <v>658</v>
      </c>
      <c r="BE14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7.5841695601993706</v>
      </c>
      <c r="BF141" s="240">
        <f>COUNTIFS(_05preva_view43[Site ID],_05preva_view43[[#This Row],[Site ID]],_05preva_view43[Prevalidation Status],"Under Prevalidation")</f>
        <v>0</v>
      </c>
      <c r="BG14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1" s="242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2.xlsx</v>
      </c>
      <c r="BI141" s="64" t="e">
        <f t="shared" ca="1" si="2"/>
        <v>#VALUE!</v>
      </c>
      <c r="BJ141" s="104" t="e">
        <f ca="1">LEFT(CELL("filename",A126),_05preva_view43[[#This Row],[Find Process &amp; Database]]-1)</f>
        <v>#VALUE!</v>
      </c>
      <c r="BK141" s="104" t="e">
        <f ca="1">_05preva_view43[Folder Path1]&amp;"Process &amp; Database\Documentation\Colo Applications"</f>
        <v>#VALUE!</v>
      </c>
      <c r="BL141" s="104" t="e">
        <f ca="1">_05preva_view43[Folder Path2]&amp;"\Colo App "&amp;_05preva_view43[[#This Row],[Operator]]&amp;"\"</f>
        <v>#VALUE!</v>
      </c>
      <c r="BM141" s="63" t="e">
        <f ca="1">_05preva_view43[[#This Row],[Folder Path3]]&amp;_05preva_view43[[#This Row],[File Name]]</f>
        <v>#VALUE!</v>
      </c>
      <c r="BN141" s="104"/>
      <c r="CF141" s="5"/>
      <c r="CG141" s="5"/>
      <c r="CH141" s="3"/>
      <c r="CJ141" s="5"/>
      <c r="CN141" s="3"/>
      <c r="CO141" s="3"/>
      <c r="CP141" s="5"/>
      <c r="CR141" s="3"/>
      <c r="DN141" s="5"/>
      <c r="DP141" s="3"/>
      <c r="EB141" s="7"/>
      <c r="EC141" s="7"/>
      <c r="EF141" s="4"/>
      <c r="EG141" s="4"/>
      <c r="EQ141" s="2"/>
      <c r="ER141" s="2"/>
    </row>
    <row r="142" spans="1:148">
      <c r="A142" s="227">
        <v>3495</v>
      </c>
      <c r="B142" s="228" t="s">
        <v>1252</v>
      </c>
      <c r="C142" s="228" t="s">
        <v>278</v>
      </c>
      <c r="D142" s="228" t="s">
        <v>117</v>
      </c>
      <c r="E142" s="228" t="s">
        <v>1253</v>
      </c>
      <c r="F142" s="228" t="s">
        <v>35</v>
      </c>
      <c r="G142" s="228" t="s">
        <v>1292</v>
      </c>
      <c r="H142" s="228" t="s">
        <v>1290</v>
      </c>
      <c r="I142" s="228" t="s">
        <v>970</v>
      </c>
      <c r="J142" s="228" t="s">
        <v>677</v>
      </c>
      <c r="K142" s="229">
        <v>43445</v>
      </c>
      <c r="L142" s="230">
        <v>1</v>
      </c>
      <c r="M142" s="230">
        <v>1.462</v>
      </c>
      <c r="N142" s="228"/>
      <c r="O142" s="228" t="s">
        <v>687</v>
      </c>
      <c r="P142" s="231" t="s">
        <v>695</v>
      </c>
      <c r="Q142" s="231" t="s">
        <v>696</v>
      </c>
      <c r="R142" s="228" t="s">
        <v>24</v>
      </c>
      <c r="S142" s="228"/>
      <c r="T142" s="232" t="s">
        <v>615</v>
      </c>
      <c r="U142" s="228"/>
      <c r="V142" s="232" t="s">
        <v>615</v>
      </c>
      <c r="W142" s="228"/>
      <c r="X142" s="232" t="s">
        <v>615</v>
      </c>
      <c r="Y142" s="228"/>
      <c r="Z142" s="233" t="s">
        <v>615</v>
      </c>
      <c r="AA142" s="234"/>
      <c r="AB142" s="234"/>
      <c r="AC142" s="235"/>
      <c r="AD142" s="228"/>
      <c r="AE142" s="232" t="s">
        <v>120</v>
      </c>
      <c r="AF142" s="229"/>
      <c r="AG142" s="236"/>
      <c r="AH142" s="236"/>
      <c r="AI142" s="228"/>
      <c r="AJ142" s="232" t="s">
        <v>615</v>
      </c>
      <c r="AK142" s="228"/>
      <c r="AL142" s="228"/>
      <c r="AM142" s="232"/>
      <c r="AN142" s="228"/>
      <c r="AO142" s="228"/>
      <c r="AP142" s="237"/>
      <c r="AQ142" s="228"/>
      <c r="AR142" s="232"/>
      <c r="AS142" s="228"/>
      <c r="AT142" s="229"/>
      <c r="AU142" s="229">
        <v>43445.639611342602</v>
      </c>
      <c r="AV142" s="229"/>
      <c r="AW142" s="229"/>
      <c r="AX142" s="229"/>
      <c r="AY142" s="229"/>
      <c r="AZ142" s="238">
        <v>43445.714635879602</v>
      </c>
      <c r="BA142" s="1" t="s">
        <v>7684</v>
      </c>
      <c r="BB142">
        <v>130</v>
      </c>
      <c r="BC142">
        <v>60</v>
      </c>
      <c r="BD142">
        <v>2836</v>
      </c>
      <c r="BE14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0.71463587960170116</v>
      </c>
      <c r="BF142" s="240">
        <f>COUNTIFS(_05preva_view43[Site ID],_05preva_view43[[#This Row],[Site ID]],_05preva_view43[Prevalidation Status],"Under Prevalidation")</f>
        <v>0</v>
      </c>
      <c r="BG14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2" s="242" t="str">
        <f>CONCATENATE(_05preva_view43[[#This Row],[Site ID]]," (",_05preva_view43[[#This Row],[tenant id]],") Application",IF(_05preva_view43[[#This Row],[Colo Rev]]&gt;0," Rev "&amp;_05preva_view43[[#This Row],[Colo Rev]],""),".xlsx")</f>
        <v>1-01-09022-005 (MGW00780) Application Rev 0.xlsx</v>
      </c>
      <c r="BI142" s="64" t="e">
        <f t="shared" ca="1" si="2"/>
        <v>#VALUE!</v>
      </c>
      <c r="BJ142" s="104" t="e">
        <f ca="1">LEFT(CELL("filename",A127),_05preva_view43[[#This Row],[Find Process &amp; Database]]-1)</f>
        <v>#VALUE!</v>
      </c>
      <c r="BK142" s="104" t="e">
        <f ca="1">_05preva_view43[Folder Path1]&amp;"Process &amp; Database\Documentation\Colo Applications"</f>
        <v>#VALUE!</v>
      </c>
      <c r="BL142" s="104" t="e">
        <f ca="1">_05preva_view43[Folder Path2]&amp;"\Colo App "&amp;_05preva_view43[[#This Row],[Operator]]&amp;"\"</f>
        <v>#VALUE!</v>
      </c>
      <c r="BM142" s="63" t="e">
        <f ca="1">_05preva_view43[[#This Row],[Folder Path3]]&amp;_05preva_view43[[#This Row],[File Name]]</f>
        <v>#VALUE!</v>
      </c>
      <c r="BN142" s="104"/>
      <c r="CF142" s="5"/>
      <c r="CG142" s="5"/>
      <c r="CH142" s="3"/>
      <c r="CJ142" s="5"/>
      <c r="CN142" s="3"/>
      <c r="CO142" s="3"/>
      <c r="CP142" s="5"/>
      <c r="CR142" s="3"/>
      <c r="DN142" s="5"/>
      <c r="DP142" s="3"/>
      <c r="EB142" s="7"/>
      <c r="EC142" s="7"/>
      <c r="EF142" s="4"/>
      <c r="EG142" s="4"/>
      <c r="EQ142" s="2"/>
      <c r="ER142" s="2"/>
    </row>
    <row r="143" spans="1:148">
      <c r="A143" s="227">
        <v>3487</v>
      </c>
      <c r="B143" s="228" t="s">
        <v>1222</v>
      </c>
      <c r="C143" s="228" t="s">
        <v>278</v>
      </c>
      <c r="D143" s="228" t="s">
        <v>127</v>
      </c>
      <c r="E143" s="228" t="s">
        <v>1223</v>
      </c>
      <c r="F143" s="228" t="s">
        <v>35</v>
      </c>
      <c r="G143" s="228" t="s">
        <v>1292</v>
      </c>
      <c r="H143" s="228" t="s">
        <v>1290</v>
      </c>
      <c r="I143" s="228" t="s">
        <v>814</v>
      </c>
      <c r="J143" s="228" t="s">
        <v>668</v>
      </c>
      <c r="K143" s="229">
        <v>43444</v>
      </c>
      <c r="L143" s="230">
        <v>1</v>
      </c>
      <c r="M143" s="230">
        <v>1.462</v>
      </c>
      <c r="N143" s="228"/>
      <c r="O143" s="228" t="s">
        <v>687</v>
      </c>
      <c r="P143" s="231" t="s">
        <v>526</v>
      </c>
      <c r="Q143" s="231" t="s">
        <v>629</v>
      </c>
      <c r="R143" s="228" t="s">
        <v>24</v>
      </c>
      <c r="S143" s="228"/>
      <c r="T143" s="232" t="s">
        <v>615</v>
      </c>
      <c r="U143" s="228"/>
      <c r="V143" s="232" t="s">
        <v>615</v>
      </c>
      <c r="W143" s="228"/>
      <c r="X143" s="232" t="s">
        <v>615</v>
      </c>
      <c r="Y143" s="228"/>
      <c r="Z143" s="233" t="s">
        <v>615</v>
      </c>
      <c r="AA143" s="234"/>
      <c r="AB143" s="234"/>
      <c r="AC143" s="235"/>
      <c r="AD143" s="228"/>
      <c r="AE143" s="232" t="s">
        <v>120</v>
      </c>
      <c r="AF143" s="229" t="s">
        <v>904</v>
      </c>
      <c r="AG143" s="236"/>
      <c r="AH143" s="236"/>
      <c r="AI143" s="228" t="s">
        <v>1224</v>
      </c>
      <c r="AJ143" s="232" t="s">
        <v>615</v>
      </c>
      <c r="AK143" s="228"/>
      <c r="AL143" s="228"/>
      <c r="AM143" s="232"/>
      <c r="AN143" s="228"/>
      <c r="AO143" s="228"/>
      <c r="AP143" s="237"/>
      <c r="AQ143" s="228"/>
      <c r="AR143" s="232"/>
      <c r="AS143" s="228"/>
      <c r="AT143" s="229"/>
      <c r="AU143" s="229">
        <v>43444.680435995397</v>
      </c>
      <c r="AV143" s="229"/>
      <c r="AW143" s="229"/>
      <c r="AX143" s="229"/>
      <c r="AY143" s="229"/>
      <c r="AZ143" s="238">
        <v>43445.483934837997</v>
      </c>
      <c r="BA143" s="1" t="s">
        <v>7684</v>
      </c>
      <c r="BB143">
        <v>130</v>
      </c>
      <c r="BC143">
        <v>45</v>
      </c>
      <c r="BD143">
        <v>3586</v>
      </c>
      <c r="BE14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1.4839348379973671</v>
      </c>
      <c r="BF143" s="240">
        <f>COUNTIFS(_05preva_view43[Site ID],_05preva_view43[[#This Row],[Site ID]],_05preva_view43[Prevalidation Status],"Under Prevalidation")</f>
        <v>0</v>
      </c>
      <c r="BG14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3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1.xlsx</v>
      </c>
      <c r="BI143" s="64" t="e">
        <f t="shared" ca="1" si="2"/>
        <v>#VALUE!</v>
      </c>
      <c r="BJ143" s="104" t="e">
        <f ca="1">LEFT(CELL("filename",A128),_05preva_view43[[#This Row],[Find Process &amp; Database]]-1)</f>
        <v>#VALUE!</v>
      </c>
      <c r="BK143" s="104" t="e">
        <f ca="1">_05preva_view43[Folder Path1]&amp;"Process &amp; Database\Documentation\Colo Applications"</f>
        <v>#VALUE!</v>
      </c>
      <c r="BL143" s="104" t="e">
        <f ca="1">_05preva_view43[Folder Path2]&amp;"\Colo App "&amp;_05preva_view43[[#This Row],[Operator]]&amp;"\"</f>
        <v>#VALUE!</v>
      </c>
      <c r="BM143" s="63" t="e">
        <f ca="1">_05preva_view43[[#This Row],[Folder Path3]]&amp;_05preva_view43[[#This Row],[File Name]]</f>
        <v>#VALUE!</v>
      </c>
      <c r="BN143" s="104"/>
      <c r="CF143" s="5"/>
      <c r="CG143" s="5"/>
      <c r="CH143" s="3"/>
      <c r="CJ143" s="5"/>
      <c r="CN143" s="3"/>
      <c r="CO143" s="3"/>
      <c r="CP143" s="5"/>
      <c r="CR143" s="3"/>
      <c r="DN143" s="5"/>
      <c r="DP143" s="3"/>
      <c r="EB143" s="7"/>
      <c r="EC143" s="7"/>
      <c r="EF143" s="4"/>
      <c r="EG143" s="4"/>
      <c r="EQ143" s="2"/>
      <c r="ER143" s="2"/>
    </row>
    <row r="144" spans="1:148">
      <c r="A144" s="227">
        <v>3488</v>
      </c>
      <c r="B144" s="228" t="s">
        <v>1225</v>
      </c>
      <c r="C144" s="228" t="s">
        <v>278</v>
      </c>
      <c r="D144" s="228" t="s">
        <v>153</v>
      </c>
      <c r="E144" s="228" t="s">
        <v>1226</v>
      </c>
      <c r="F144" s="228" t="s">
        <v>38</v>
      </c>
      <c r="G144" s="228" t="s">
        <v>1295</v>
      </c>
      <c r="H144" s="228" t="s">
        <v>1285</v>
      </c>
      <c r="I144" s="228" t="s">
        <v>1227</v>
      </c>
      <c r="J144" s="228" t="s">
        <v>668</v>
      </c>
      <c r="K144" s="229">
        <v>43444</v>
      </c>
      <c r="L144" s="230"/>
      <c r="M144" s="230"/>
      <c r="N144" s="228">
        <v>4.6100000000000003</v>
      </c>
      <c r="O144" s="228" t="s">
        <v>687</v>
      </c>
      <c r="P144" s="231" t="s">
        <v>993</v>
      </c>
      <c r="Q144" s="231" t="s">
        <v>994</v>
      </c>
      <c r="R144" s="228" t="s">
        <v>24</v>
      </c>
      <c r="S144" s="228"/>
      <c r="T144" s="232" t="s">
        <v>615</v>
      </c>
      <c r="U144" s="228"/>
      <c r="V144" s="232" t="s">
        <v>615</v>
      </c>
      <c r="W144" s="228"/>
      <c r="X144" s="232" t="s">
        <v>120</v>
      </c>
      <c r="Y144" s="228" t="s">
        <v>1228</v>
      </c>
      <c r="Z144" s="233" t="s">
        <v>120</v>
      </c>
      <c r="AA144" s="234"/>
      <c r="AB144" s="234"/>
      <c r="AC144" s="235" t="s">
        <v>123</v>
      </c>
      <c r="AD144" s="228" t="s">
        <v>1229</v>
      </c>
      <c r="AE144" s="232" t="s">
        <v>615</v>
      </c>
      <c r="AF144" s="229"/>
      <c r="AG144" s="236"/>
      <c r="AH144" s="236"/>
      <c r="AI144" s="228"/>
      <c r="AJ144" s="232" t="s">
        <v>120</v>
      </c>
      <c r="AK144" s="228" t="s">
        <v>123</v>
      </c>
      <c r="AL144" s="228" t="s">
        <v>935</v>
      </c>
      <c r="AM144" s="232"/>
      <c r="AN144" s="228"/>
      <c r="AO144" s="228"/>
      <c r="AP144" s="237"/>
      <c r="AQ144" s="228"/>
      <c r="AR144" s="232"/>
      <c r="AS144" s="228"/>
      <c r="AT144" s="229">
        <v>43444.601477430602</v>
      </c>
      <c r="AU144" s="229"/>
      <c r="AV144" s="229">
        <v>43444.701096990699</v>
      </c>
      <c r="AW144" s="229">
        <v>43444.601477430602</v>
      </c>
      <c r="AX144" s="229"/>
      <c r="AY144" s="229"/>
      <c r="AZ144" s="238">
        <v>43445.588910763901</v>
      </c>
      <c r="BA144" s="1" t="s">
        <v>7684</v>
      </c>
      <c r="BB144">
        <v>195</v>
      </c>
      <c r="BC144">
        <v>60</v>
      </c>
      <c r="BD144">
        <v>2930</v>
      </c>
      <c r="BE14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1.5889107639013673</v>
      </c>
      <c r="BF144" s="240">
        <f>COUNTIFS(_05preva_view43[Site ID],_05preva_view43[[#This Row],[Site ID]],_05preva_view43[Prevalidation Status],"Under Prevalidation")</f>
        <v>0</v>
      </c>
      <c r="BG14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4" s="242" t="str">
        <f>CONCATENATE(_05preva_view43[[#This Row],[Site ID]]," (",_05preva_view43[[#This Row],[tenant id]],") Application",IF(_05preva_view43[[#This Row],[Colo Rev]]&gt;0," Rev "&amp;_05preva_view43[[#This Row],[Colo Rev]],""),".xlsx")</f>
        <v>1-01-17003-008 (AY0830) Application Rev 1.xlsx</v>
      </c>
      <c r="BI144" s="64" t="e">
        <f t="shared" ref="BI144:BI207" ca="1" si="3">FIND("Process &amp; Database\",CELL("filename",$A$1))</f>
        <v>#VALUE!</v>
      </c>
      <c r="BJ144" s="104" t="e">
        <f ca="1">LEFT(CELL("filename",A129),_05preva_view43[[#This Row],[Find Process &amp; Database]]-1)</f>
        <v>#VALUE!</v>
      </c>
      <c r="BK144" s="104" t="e">
        <f ca="1">_05preva_view43[Folder Path1]&amp;"Process &amp; Database\Documentation\Colo Applications"</f>
        <v>#VALUE!</v>
      </c>
      <c r="BL144" s="104" t="e">
        <f ca="1">_05preva_view43[Folder Path2]&amp;"\Colo App "&amp;_05preva_view43[[#This Row],[Operator]]&amp;"\"</f>
        <v>#VALUE!</v>
      </c>
      <c r="BM144" s="63" t="e">
        <f ca="1">_05preva_view43[[#This Row],[Folder Path3]]&amp;_05preva_view43[[#This Row],[File Name]]</f>
        <v>#VALUE!</v>
      </c>
      <c r="BN144" s="104"/>
      <c r="CF144" s="5"/>
      <c r="CG144" s="5"/>
      <c r="CH144" s="3"/>
      <c r="CJ144" s="5"/>
      <c r="CN144" s="3"/>
      <c r="CO144" s="3"/>
      <c r="CP144" s="5"/>
      <c r="CR144" s="3"/>
      <c r="DN144" s="5"/>
      <c r="DP144" s="3"/>
      <c r="EB144" s="7"/>
      <c r="EC144" s="7"/>
      <c r="EF144" s="4"/>
      <c r="EG144" s="4"/>
      <c r="EQ144" s="2"/>
      <c r="ER144" s="2"/>
    </row>
    <row r="145" spans="1:148">
      <c r="A145" s="227">
        <v>3489</v>
      </c>
      <c r="B145" s="228" t="s">
        <v>1230</v>
      </c>
      <c r="C145" s="228" t="s">
        <v>278</v>
      </c>
      <c r="D145" s="228" t="s">
        <v>127</v>
      </c>
      <c r="E145" s="228" t="s">
        <v>1231</v>
      </c>
      <c r="F145" s="228" t="s">
        <v>35</v>
      </c>
      <c r="G145" s="228" t="s">
        <v>1292</v>
      </c>
      <c r="H145" s="228" t="s">
        <v>1290</v>
      </c>
      <c r="I145" s="228" t="s">
        <v>970</v>
      </c>
      <c r="J145" s="228" t="s">
        <v>677</v>
      </c>
      <c r="K145" s="229">
        <v>43444</v>
      </c>
      <c r="L145" s="230">
        <v>1</v>
      </c>
      <c r="M145" s="230">
        <v>1.462</v>
      </c>
      <c r="N145" s="228"/>
      <c r="O145" s="228" t="s">
        <v>687</v>
      </c>
      <c r="P145" s="231" t="s">
        <v>279</v>
      </c>
      <c r="Q145" s="231" t="s">
        <v>526</v>
      </c>
      <c r="R145" s="228" t="s">
        <v>24</v>
      </c>
      <c r="S145" s="228"/>
      <c r="T145" s="232" t="s">
        <v>615</v>
      </c>
      <c r="U145" s="228"/>
      <c r="V145" s="232" t="s">
        <v>615</v>
      </c>
      <c r="W145" s="228"/>
      <c r="X145" s="232" t="s">
        <v>615</v>
      </c>
      <c r="Y145" s="228"/>
      <c r="Z145" s="233" t="s">
        <v>615</v>
      </c>
      <c r="AA145" s="234"/>
      <c r="AB145" s="234"/>
      <c r="AC145" s="235"/>
      <c r="AD145" s="228"/>
      <c r="AE145" s="232" t="s">
        <v>120</v>
      </c>
      <c r="AF145" s="229" t="s">
        <v>904</v>
      </c>
      <c r="AG145" s="236"/>
      <c r="AH145" s="236"/>
      <c r="AI145" s="228" t="s">
        <v>1232</v>
      </c>
      <c r="AJ145" s="232" t="s">
        <v>615</v>
      </c>
      <c r="AK145" s="228"/>
      <c r="AL145" s="228"/>
      <c r="AM145" s="232"/>
      <c r="AN145" s="228"/>
      <c r="AO145" s="228"/>
      <c r="AP145" s="237"/>
      <c r="AQ145" s="228"/>
      <c r="AR145" s="232"/>
      <c r="AS145" s="228"/>
      <c r="AT145" s="229"/>
      <c r="AU145" s="229">
        <v>43444.680442013901</v>
      </c>
      <c r="AV145" s="229"/>
      <c r="AW145" s="229"/>
      <c r="AX145" s="229"/>
      <c r="AY145" s="229"/>
      <c r="AZ145" s="238">
        <v>43445.483935648102</v>
      </c>
      <c r="BA145" s="1" t="s">
        <v>7684</v>
      </c>
      <c r="BB145">
        <v>130</v>
      </c>
      <c r="BC145">
        <v>30</v>
      </c>
      <c r="BD145">
        <v>3587</v>
      </c>
      <c r="BE14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1.4839356481024879</v>
      </c>
      <c r="BF145" s="240">
        <f>COUNTIFS(_05preva_view43[Site ID],_05preva_view43[[#This Row],[Site ID]],_05preva_view43[Prevalidation Status],"Under Prevalidation")</f>
        <v>0</v>
      </c>
      <c r="BG14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5" s="242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0.xlsx</v>
      </c>
      <c r="BI145" s="64" t="e">
        <f t="shared" ca="1" si="3"/>
        <v>#VALUE!</v>
      </c>
      <c r="BJ145" s="104" t="e">
        <f ca="1">LEFT(CELL("filename",A130),_05preva_view43[[#This Row],[Find Process &amp; Database]]-1)</f>
        <v>#VALUE!</v>
      </c>
      <c r="BK145" s="104" t="e">
        <f ca="1">_05preva_view43[Folder Path1]&amp;"Process &amp; Database\Documentation\Colo Applications"</f>
        <v>#VALUE!</v>
      </c>
      <c r="BL145" s="104" t="e">
        <f ca="1">_05preva_view43[Folder Path2]&amp;"\Colo App "&amp;_05preva_view43[[#This Row],[Operator]]&amp;"\"</f>
        <v>#VALUE!</v>
      </c>
      <c r="BM145" s="63" t="e">
        <f ca="1">_05preva_view43[[#This Row],[Folder Path3]]&amp;_05preva_view43[[#This Row],[File Name]]</f>
        <v>#VALUE!</v>
      </c>
      <c r="BN145" s="104"/>
      <c r="CF145" s="5"/>
      <c r="CG145" s="5"/>
      <c r="CH145" s="3"/>
      <c r="CJ145" s="5"/>
      <c r="CN145" s="3"/>
      <c r="CO145" s="3"/>
      <c r="CP145" s="5"/>
      <c r="CR145" s="3"/>
      <c r="DN145" s="5"/>
      <c r="DP145" s="3"/>
      <c r="EB145" s="7"/>
      <c r="EC145" s="7"/>
      <c r="EF145" s="4"/>
      <c r="EG145" s="4"/>
      <c r="EQ145" s="2"/>
      <c r="ER145" s="2"/>
    </row>
    <row r="146" spans="1:148">
      <c r="A146" s="227">
        <v>3490</v>
      </c>
      <c r="B146" s="228" t="s">
        <v>1233</v>
      </c>
      <c r="C146" s="228" t="s">
        <v>116</v>
      </c>
      <c r="D146" s="228" t="s">
        <v>127</v>
      </c>
      <c r="E146" s="228" t="s">
        <v>1234</v>
      </c>
      <c r="F146" s="228" t="s">
        <v>41</v>
      </c>
      <c r="G146" s="228" t="s">
        <v>1129</v>
      </c>
      <c r="H146" s="228" t="s">
        <v>1037</v>
      </c>
      <c r="I146" s="228" t="s">
        <v>880</v>
      </c>
      <c r="J146" s="228" t="s">
        <v>677</v>
      </c>
      <c r="K146" s="229">
        <v>43444</v>
      </c>
      <c r="L146" s="230"/>
      <c r="M146" s="230">
        <v>2</v>
      </c>
      <c r="N146" s="228">
        <v>3</v>
      </c>
      <c r="O146" s="228" t="s">
        <v>119</v>
      </c>
      <c r="P146" s="231" t="s">
        <v>1022</v>
      </c>
      <c r="Q146" s="231" t="s">
        <v>966</v>
      </c>
      <c r="R146" s="228" t="s">
        <v>24</v>
      </c>
      <c r="S146" s="228"/>
      <c r="T146" s="232" t="s">
        <v>120</v>
      </c>
      <c r="U146" s="228" t="s">
        <v>1447</v>
      </c>
      <c r="V146" s="232" t="s">
        <v>120</v>
      </c>
      <c r="W146" s="228"/>
      <c r="X146" s="232" t="s">
        <v>120</v>
      </c>
      <c r="Y146" s="228" t="s">
        <v>1235</v>
      </c>
      <c r="Z146" s="233" t="s">
        <v>120</v>
      </c>
      <c r="AA146" s="234"/>
      <c r="AB146" s="234"/>
      <c r="AC146" s="235" t="s">
        <v>123</v>
      </c>
      <c r="AD146" s="228" t="s">
        <v>1236</v>
      </c>
      <c r="AE146" s="232" t="s">
        <v>120</v>
      </c>
      <c r="AF146" s="229" t="s">
        <v>639</v>
      </c>
      <c r="AG146" s="236"/>
      <c r="AH146" s="236"/>
      <c r="AI146" s="228" t="s">
        <v>1134</v>
      </c>
      <c r="AJ146" s="232" t="s">
        <v>120</v>
      </c>
      <c r="AK146" s="228" t="s">
        <v>206</v>
      </c>
      <c r="AL146" s="228" t="s">
        <v>1237</v>
      </c>
      <c r="AM146" s="232"/>
      <c r="AN146" s="228"/>
      <c r="AO146" s="228"/>
      <c r="AP146" s="237"/>
      <c r="AQ146" s="228"/>
      <c r="AR146" s="232"/>
      <c r="AS146" s="228"/>
      <c r="AT146" s="229">
        <v>43444.601481134298</v>
      </c>
      <c r="AU146" s="229">
        <v>43444.680445601902</v>
      </c>
      <c r="AV146" s="229">
        <v>43445.6883550926</v>
      </c>
      <c r="AW146" s="229">
        <v>43444.601481134298</v>
      </c>
      <c r="AX146" s="229">
        <v>43460.604111226901</v>
      </c>
      <c r="AY146" s="229">
        <v>43444.668289236099</v>
      </c>
      <c r="AZ146" s="238">
        <v>43476.382870833302</v>
      </c>
      <c r="BA146" s="1" t="s">
        <v>7684</v>
      </c>
      <c r="BB146">
        <v>160</v>
      </c>
      <c r="BC146">
        <v>35</v>
      </c>
      <c r="BD146">
        <v>1888</v>
      </c>
      <c r="BE14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32.38287083330215</v>
      </c>
      <c r="BF146" s="240">
        <f>COUNTIFS(_05preva_view43[Site ID],_05preva_view43[[#This Row],[Site ID]],_05preva_view43[Prevalidation Status],"Under Prevalidation")</f>
        <v>0</v>
      </c>
      <c r="BG14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6" s="242" t="str">
        <f>CONCATENATE(_05preva_view43[[#This Row],[Site ID]]," (",_05preva_view43[[#This Row],[tenant id]],") Application",IF(_05preva_view43[[#This Row],[Colo Rev]]&gt;0," Rev "&amp;_05preva_view43[[#This Row],[Colo Rev]],""),".xlsx")</f>
        <v>ANMD_0169 (MDYPGTG007ML) Application Rev 0.xlsx</v>
      </c>
      <c r="BI146" s="64" t="e">
        <f t="shared" ca="1" si="3"/>
        <v>#VALUE!</v>
      </c>
      <c r="BJ146" s="104" t="e">
        <f ca="1">LEFT(CELL("filename",A131),_05preva_view43[[#This Row],[Find Process &amp; Database]]-1)</f>
        <v>#VALUE!</v>
      </c>
      <c r="BK146" s="104" t="e">
        <f ca="1">_05preva_view43[Folder Path1]&amp;"Process &amp; Database\Documentation\Colo Applications"</f>
        <v>#VALUE!</v>
      </c>
      <c r="BL146" s="104" t="e">
        <f ca="1">_05preva_view43[Folder Path2]&amp;"\Colo App "&amp;_05preva_view43[[#This Row],[Operator]]&amp;"\"</f>
        <v>#VALUE!</v>
      </c>
      <c r="BM146" s="63" t="e">
        <f ca="1">_05preva_view43[[#This Row],[Folder Path3]]&amp;_05preva_view43[[#This Row],[File Name]]</f>
        <v>#VALUE!</v>
      </c>
      <c r="BN146" s="104"/>
      <c r="CF146" s="5"/>
      <c r="CG146" s="5"/>
      <c r="CH146" s="3"/>
      <c r="CJ146" s="5"/>
      <c r="CN146" s="3"/>
      <c r="CO146" s="3"/>
      <c r="CP146" s="5"/>
      <c r="CR146" s="3"/>
      <c r="DN146" s="5"/>
      <c r="DP146" s="3"/>
      <c r="EB146" s="7"/>
      <c r="EC146" s="7"/>
      <c r="EF146" s="4"/>
      <c r="EG146" s="4"/>
      <c r="EQ146" s="2"/>
      <c r="ER146" s="2"/>
    </row>
    <row r="147" spans="1:148">
      <c r="A147" s="227">
        <v>3491</v>
      </c>
      <c r="B147" s="228" t="s">
        <v>1238</v>
      </c>
      <c r="C147" s="228" t="s">
        <v>278</v>
      </c>
      <c r="D147" s="228" t="s">
        <v>127</v>
      </c>
      <c r="E147" s="228" t="s">
        <v>1239</v>
      </c>
      <c r="F147" s="228" t="s">
        <v>35</v>
      </c>
      <c r="G147" s="228" t="s">
        <v>1292</v>
      </c>
      <c r="H147" s="228" t="s">
        <v>1285</v>
      </c>
      <c r="I147" s="228" t="s">
        <v>970</v>
      </c>
      <c r="J147" s="228" t="s">
        <v>668</v>
      </c>
      <c r="K147" s="229">
        <v>43444</v>
      </c>
      <c r="L147" s="230">
        <v>1.39</v>
      </c>
      <c r="M147" s="230">
        <v>1.7949999999999999</v>
      </c>
      <c r="N147" s="228"/>
      <c r="O147" s="228" t="s">
        <v>687</v>
      </c>
      <c r="P147" s="231" t="s">
        <v>240</v>
      </c>
      <c r="Q147" s="231" t="s">
        <v>241</v>
      </c>
      <c r="R147" s="228" t="s">
        <v>24</v>
      </c>
      <c r="S147" s="228"/>
      <c r="T147" s="232" t="s">
        <v>615</v>
      </c>
      <c r="U147" s="228"/>
      <c r="V147" s="232" t="s">
        <v>615</v>
      </c>
      <c r="W147" s="228"/>
      <c r="X147" s="232" t="s">
        <v>615</v>
      </c>
      <c r="Y147" s="228"/>
      <c r="Z147" s="233" t="s">
        <v>615</v>
      </c>
      <c r="AA147" s="234"/>
      <c r="AB147" s="234"/>
      <c r="AC147" s="235"/>
      <c r="AD147" s="228"/>
      <c r="AE147" s="232" t="s">
        <v>120</v>
      </c>
      <c r="AF147" s="229" t="s">
        <v>904</v>
      </c>
      <c r="AG147" s="236"/>
      <c r="AH147" s="236"/>
      <c r="AI147" s="228" t="s">
        <v>1232</v>
      </c>
      <c r="AJ147" s="232" t="s">
        <v>615</v>
      </c>
      <c r="AK147" s="228"/>
      <c r="AL147" s="228"/>
      <c r="AM147" s="232"/>
      <c r="AN147" s="228"/>
      <c r="AO147" s="228"/>
      <c r="AP147" s="237"/>
      <c r="AQ147" s="228"/>
      <c r="AR147" s="232"/>
      <c r="AS147" s="228"/>
      <c r="AT147" s="229"/>
      <c r="AU147" s="229">
        <v>43444.680447685198</v>
      </c>
      <c r="AV147" s="229"/>
      <c r="AW147" s="229"/>
      <c r="AX147" s="229"/>
      <c r="AY147" s="229"/>
      <c r="AZ147" s="238">
        <v>43445.483937037003</v>
      </c>
      <c r="BA147" s="1" t="s">
        <v>7684</v>
      </c>
      <c r="BB147">
        <v>130</v>
      </c>
      <c r="BC147">
        <v>60</v>
      </c>
      <c r="BD147">
        <v>3283</v>
      </c>
      <c r="BE14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1.4839370370027609</v>
      </c>
      <c r="BF147" s="240">
        <f>COUNTIFS(_05preva_view43[Site ID],_05preva_view43[[#This Row],[Site ID]],_05preva_view43[Prevalidation Status],"Under Prevalidation")</f>
        <v>0</v>
      </c>
      <c r="BG14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7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1-01-01009-002 (KCN00139) Application Rev 1.xlsx</v>
      </c>
      <c r="BI147" s="64" t="e">
        <f t="shared" ca="1" si="3"/>
        <v>#VALUE!</v>
      </c>
      <c r="BJ147" s="104" t="e">
        <f ca="1">LEFT(CELL("filename",A132),_05preva_view43[[#This Row],[Find Process &amp; Database]]-1)</f>
        <v>#VALUE!</v>
      </c>
      <c r="BK147" s="104" t="e">
        <f ca="1">_05preva_view43[Folder Path1]&amp;"Process &amp; Database\Documentation\Colo Applications"</f>
        <v>#VALUE!</v>
      </c>
      <c r="BL147" s="104" t="e">
        <f ca="1">_05preva_view43[Folder Path2]&amp;"\Colo App "&amp;_05preva_view43[[#This Row],[Operator]]&amp;"\"</f>
        <v>#VALUE!</v>
      </c>
      <c r="BM147" s="63" t="e">
        <f ca="1">_05preva_view43[[#This Row],[Folder Path3]]&amp;_05preva_view43[[#This Row],[File Name]]</f>
        <v>#VALUE!</v>
      </c>
      <c r="BN147" s="104"/>
      <c r="CF147" s="5"/>
      <c r="CG147" s="5"/>
      <c r="CH147" s="3"/>
      <c r="CJ147" s="5"/>
      <c r="CN147" s="3"/>
      <c r="CO147" s="3"/>
      <c r="CP147" s="5"/>
      <c r="CR147" s="3"/>
      <c r="DN147" s="5"/>
      <c r="DP147" s="3"/>
      <c r="EB147" s="7"/>
      <c r="EC147" s="7"/>
      <c r="EF147" s="4"/>
      <c r="EG147" s="4"/>
      <c r="EQ147" s="2"/>
      <c r="ER147" s="2"/>
    </row>
    <row r="148" spans="1:148">
      <c r="A148" s="227">
        <v>3492</v>
      </c>
      <c r="B148" s="228" t="s">
        <v>1240</v>
      </c>
      <c r="C148" s="228" t="s">
        <v>116</v>
      </c>
      <c r="D148" s="228" t="s">
        <v>127</v>
      </c>
      <c r="E148" s="228" t="s">
        <v>1241</v>
      </c>
      <c r="F148" s="228" t="s">
        <v>35</v>
      </c>
      <c r="G148" s="228" t="s">
        <v>1287</v>
      </c>
      <c r="H148" s="228" t="s">
        <v>1285</v>
      </c>
      <c r="I148" s="228" t="s">
        <v>1242</v>
      </c>
      <c r="J148" s="228" t="s">
        <v>677</v>
      </c>
      <c r="K148" s="229">
        <v>43444</v>
      </c>
      <c r="L148" s="230">
        <v>1.399</v>
      </c>
      <c r="M148" s="230">
        <v>2.1989999999999998</v>
      </c>
      <c r="N148" s="228">
        <v>4.13</v>
      </c>
      <c r="O148" s="228" t="s">
        <v>119</v>
      </c>
      <c r="P148" s="231" t="s">
        <v>240</v>
      </c>
      <c r="Q148" s="231" t="s">
        <v>241</v>
      </c>
      <c r="R148" s="228" t="s">
        <v>24</v>
      </c>
      <c r="S148" s="228"/>
      <c r="T148" s="232" t="s">
        <v>615</v>
      </c>
      <c r="U148" s="228"/>
      <c r="V148" s="232" t="s">
        <v>120</v>
      </c>
      <c r="W148" s="228"/>
      <c r="X148" s="232" t="s">
        <v>120</v>
      </c>
      <c r="Y148" s="228" t="s">
        <v>1243</v>
      </c>
      <c r="Z148" s="233" t="s">
        <v>120</v>
      </c>
      <c r="AA148" s="234"/>
      <c r="AB148" s="234"/>
      <c r="AC148" s="235" t="s">
        <v>123</v>
      </c>
      <c r="AD148" s="228" t="s">
        <v>1244</v>
      </c>
      <c r="AE148" s="232" t="s">
        <v>120</v>
      </c>
      <c r="AF148" s="229"/>
      <c r="AG148" s="236"/>
      <c r="AH148" s="236"/>
      <c r="AI148" s="228" t="s">
        <v>1245</v>
      </c>
      <c r="AJ148" s="232" t="s">
        <v>120</v>
      </c>
      <c r="AK148" s="228" t="s">
        <v>123</v>
      </c>
      <c r="AL148" s="228" t="s">
        <v>935</v>
      </c>
      <c r="AM148" s="232"/>
      <c r="AN148" s="228"/>
      <c r="AO148" s="228"/>
      <c r="AP148" s="237"/>
      <c r="AQ148" s="228"/>
      <c r="AR148" s="232"/>
      <c r="AS148" s="228"/>
      <c r="AT148" s="229">
        <v>43446.472635879603</v>
      </c>
      <c r="AU148" s="229">
        <v>43445.639606365701</v>
      </c>
      <c r="AV148" s="229">
        <v>43446.542096411999</v>
      </c>
      <c r="AW148" s="229">
        <v>43446.472635879603</v>
      </c>
      <c r="AX148" s="229"/>
      <c r="AY148" s="229">
        <v>43445.434492824097</v>
      </c>
      <c r="AZ148" s="238">
        <v>43447.425435300902</v>
      </c>
      <c r="BA148" s="1" t="s">
        <v>7684</v>
      </c>
      <c r="BB148"/>
      <c r="BC148">
        <v>60</v>
      </c>
      <c r="BD148">
        <v>1452</v>
      </c>
      <c r="BE14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3.4254353009018814</v>
      </c>
      <c r="BF148" s="240">
        <f>COUNTIFS(_05preva_view43[Site ID],_05preva_view43[[#This Row],[Site ID]],_05preva_view43[Prevalidation Status],"Under Prevalidation")</f>
        <v>0</v>
      </c>
      <c r="BG14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8" s="242" t="str">
        <f>CONCATENATE(_05preva_view43[[#This Row],[Site ID]]," (",_05preva_view43[[#This Row],[tenant id]],") Application",IF(_05preva_view43[[#This Row],[Colo Rev]]&gt;0," Rev "&amp;_05preva_view43[[#This Row],[Colo Rev]],""),".xlsx")</f>
        <v>ANMD_0195 (MDY00607) Application Rev 0.xlsx</v>
      </c>
      <c r="BI148" s="64" t="e">
        <f t="shared" ca="1" si="3"/>
        <v>#VALUE!</v>
      </c>
      <c r="BJ148" s="104" t="e">
        <f ca="1">LEFT(CELL("filename",A133),_05preva_view43[[#This Row],[Find Process &amp; Database]]-1)</f>
        <v>#VALUE!</v>
      </c>
      <c r="BK148" s="104" t="e">
        <f ca="1">_05preva_view43[Folder Path1]&amp;"Process &amp; Database\Documentation\Colo Applications"</f>
        <v>#VALUE!</v>
      </c>
      <c r="BL148" s="104" t="e">
        <f ca="1">_05preva_view43[Folder Path2]&amp;"\Colo App "&amp;_05preva_view43[[#This Row],[Operator]]&amp;"\"</f>
        <v>#VALUE!</v>
      </c>
      <c r="BM148" s="63" t="e">
        <f ca="1">_05preva_view43[[#This Row],[Folder Path3]]&amp;_05preva_view43[[#This Row],[File Name]]</f>
        <v>#VALUE!</v>
      </c>
      <c r="BN148" s="104"/>
      <c r="CF148" s="5"/>
      <c r="CG148" s="5"/>
      <c r="CH148" s="3"/>
      <c r="CJ148" s="5"/>
      <c r="CN148" s="3"/>
      <c r="CO148" s="3"/>
      <c r="CP148" s="5"/>
      <c r="CR148" s="3"/>
      <c r="DN148" s="5"/>
      <c r="DP148" s="3"/>
      <c r="EB148" s="7"/>
      <c r="EC148" s="7"/>
      <c r="EF148" s="4"/>
      <c r="EG148" s="4"/>
      <c r="EQ148" s="2"/>
      <c r="ER148" s="2"/>
    </row>
    <row r="149" spans="1:148">
      <c r="A149" s="227">
        <v>3483</v>
      </c>
      <c r="B149" s="228" t="s">
        <v>1208</v>
      </c>
      <c r="C149" s="228" t="s">
        <v>116</v>
      </c>
      <c r="D149" s="228" t="s">
        <v>153</v>
      </c>
      <c r="E149" s="228" t="s">
        <v>1209</v>
      </c>
      <c r="F149" s="228" t="s">
        <v>35</v>
      </c>
      <c r="G149" s="228" t="s">
        <v>1287</v>
      </c>
      <c r="H149" s="228" t="s">
        <v>1285</v>
      </c>
      <c r="I149" s="228" t="s">
        <v>1090</v>
      </c>
      <c r="J149" s="228" t="s">
        <v>668</v>
      </c>
      <c r="K149" s="229">
        <v>43441</v>
      </c>
      <c r="L149" s="230">
        <v>3.28</v>
      </c>
      <c r="M149" s="230">
        <v>4.0999999999999996</v>
      </c>
      <c r="N149" s="228">
        <v>5</v>
      </c>
      <c r="O149" s="228" t="s">
        <v>119</v>
      </c>
      <c r="P149" s="231" t="s">
        <v>1159</v>
      </c>
      <c r="Q149" s="231" t="s">
        <v>1210</v>
      </c>
      <c r="R149" s="228" t="s">
        <v>24</v>
      </c>
      <c r="S149" s="228"/>
      <c r="T149" s="232" t="s">
        <v>615</v>
      </c>
      <c r="U149" s="228"/>
      <c r="V149" s="232" t="s">
        <v>615</v>
      </c>
      <c r="W149" s="228"/>
      <c r="X149" s="232" t="s">
        <v>120</v>
      </c>
      <c r="Y149" s="228" t="s">
        <v>1211</v>
      </c>
      <c r="Z149" s="233" t="s">
        <v>120</v>
      </c>
      <c r="AA149" s="234"/>
      <c r="AB149" s="234"/>
      <c r="AC149" s="235" t="s">
        <v>123</v>
      </c>
      <c r="AD149" s="228" t="s">
        <v>1212</v>
      </c>
      <c r="AE149" s="232" t="s">
        <v>120</v>
      </c>
      <c r="AF149" s="229"/>
      <c r="AG149" s="236"/>
      <c r="AH149" s="236"/>
      <c r="AI149" s="228" t="s">
        <v>1213</v>
      </c>
      <c r="AJ149" s="232" t="s">
        <v>120</v>
      </c>
      <c r="AK149" s="228" t="s">
        <v>123</v>
      </c>
      <c r="AL149" s="228" t="s">
        <v>935</v>
      </c>
      <c r="AM149" s="232"/>
      <c r="AN149" s="228"/>
      <c r="AO149" s="228"/>
      <c r="AP149" s="237"/>
      <c r="AQ149" s="228"/>
      <c r="AR149" s="232"/>
      <c r="AS149" s="228"/>
      <c r="AT149" s="229">
        <v>43443.930115393501</v>
      </c>
      <c r="AU149" s="229">
        <v>43444.680423611098</v>
      </c>
      <c r="AV149" s="229">
        <v>43445.5993190972</v>
      </c>
      <c r="AW149" s="229">
        <v>43443.930115393501</v>
      </c>
      <c r="AX149" s="229"/>
      <c r="AY149" s="229"/>
      <c r="AZ149" s="238">
        <v>43445.682352546297</v>
      </c>
      <c r="BA149" s="1" t="s">
        <v>7684</v>
      </c>
      <c r="BB149">
        <v>195</v>
      </c>
      <c r="BC149">
        <v>45</v>
      </c>
      <c r="BD149">
        <v>1806</v>
      </c>
      <c r="BE14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4.6823525462968973</v>
      </c>
      <c r="BF149" s="240">
        <f>COUNTIFS(_05preva_view43[Site ID],_05preva_view43[[#This Row],[Site ID]],_05preva_view43[Prevalidation Status],"Under Prevalidation")</f>
        <v>0</v>
      </c>
      <c r="BG14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49" s="242" t="str">
        <f>CONCATENATE(_05preva_view43[[#This Row],[Site ID]]," (",_05preva_view43[[#This Row],[tenant id]],") Application",IF(_05preva_view43[[#This Row],[Colo Rev]]&gt;0," Rev "&amp;_05preva_view43[[#This Row],[Colo Rev]],""),".xlsx")</f>
        <v>AYYN_0225 (YGN00526) Application Rev 1.xlsx</v>
      </c>
      <c r="BI149" s="64" t="e">
        <f t="shared" ca="1" si="3"/>
        <v>#VALUE!</v>
      </c>
      <c r="BJ149" s="104" t="e">
        <f ca="1">LEFT(CELL("filename",A134),_05preva_view43[[#This Row],[Find Process &amp; Database]]-1)</f>
        <v>#VALUE!</v>
      </c>
      <c r="BK149" s="104" t="e">
        <f ca="1">_05preva_view43[Folder Path1]&amp;"Process &amp; Database\Documentation\Colo Applications"</f>
        <v>#VALUE!</v>
      </c>
      <c r="BL149" s="104" t="e">
        <f ca="1">_05preva_view43[Folder Path2]&amp;"\Colo App "&amp;_05preva_view43[[#This Row],[Operator]]&amp;"\"</f>
        <v>#VALUE!</v>
      </c>
      <c r="BM149" s="63" t="e">
        <f ca="1">_05preva_view43[[#This Row],[Folder Path3]]&amp;_05preva_view43[[#This Row],[File Name]]</f>
        <v>#VALUE!</v>
      </c>
      <c r="BN149" s="104"/>
      <c r="CF149" s="5"/>
      <c r="CG149" s="5"/>
      <c r="CH149" s="3"/>
      <c r="CJ149" s="5"/>
      <c r="CN149" s="3"/>
      <c r="CO149" s="3"/>
      <c r="CP149" s="5"/>
      <c r="CR149" s="3"/>
      <c r="DN149" s="5"/>
      <c r="DP149" s="3"/>
      <c r="EB149" s="7"/>
      <c r="EC149" s="7"/>
      <c r="EF149" s="4"/>
      <c r="EG149" s="4"/>
      <c r="EQ149" s="2"/>
      <c r="ER149" s="2"/>
    </row>
    <row r="150" spans="1:148">
      <c r="A150" s="227">
        <v>3484</v>
      </c>
      <c r="B150" s="228" t="s">
        <v>1214</v>
      </c>
      <c r="C150" s="228" t="s">
        <v>278</v>
      </c>
      <c r="D150" s="228" t="s">
        <v>153</v>
      </c>
      <c r="E150" s="228" t="s">
        <v>1215</v>
      </c>
      <c r="F150" s="228" t="s">
        <v>35</v>
      </c>
      <c r="G150" s="228" t="s">
        <v>1292</v>
      </c>
      <c r="H150" s="228" t="s">
        <v>1285</v>
      </c>
      <c r="I150" s="228" t="s">
        <v>790</v>
      </c>
      <c r="J150" s="228" t="s">
        <v>686</v>
      </c>
      <c r="K150" s="229">
        <v>43441</v>
      </c>
      <c r="L150" s="230">
        <v>2.96</v>
      </c>
      <c r="M150" s="230">
        <v>3.7</v>
      </c>
      <c r="N150" s="228"/>
      <c r="O150" s="228" t="s">
        <v>687</v>
      </c>
      <c r="P150" s="231" t="s">
        <v>508</v>
      </c>
      <c r="Q150" s="231" t="s">
        <v>509</v>
      </c>
      <c r="R150" s="228" t="s">
        <v>24</v>
      </c>
      <c r="S150" s="228"/>
      <c r="T150" s="232" t="s">
        <v>615</v>
      </c>
      <c r="U150" s="228"/>
      <c r="V150" s="232" t="s">
        <v>615</v>
      </c>
      <c r="W150" s="228"/>
      <c r="X150" s="232" t="s">
        <v>615</v>
      </c>
      <c r="Y150" s="228"/>
      <c r="Z150" s="233" t="s">
        <v>615</v>
      </c>
      <c r="AA150" s="234"/>
      <c r="AB150" s="234"/>
      <c r="AC150" s="235"/>
      <c r="AD150" s="228"/>
      <c r="AE150" s="232" t="s">
        <v>120</v>
      </c>
      <c r="AF150" s="229" t="s">
        <v>904</v>
      </c>
      <c r="AG150" s="236"/>
      <c r="AH150" s="236"/>
      <c r="AI150" s="228" t="s">
        <v>1216</v>
      </c>
      <c r="AJ150" s="232" t="s">
        <v>615</v>
      </c>
      <c r="AK150" s="228"/>
      <c r="AL150" s="228"/>
      <c r="AM150" s="232"/>
      <c r="AN150" s="228"/>
      <c r="AO150" s="228"/>
      <c r="AP150" s="237"/>
      <c r="AQ150" s="228"/>
      <c r="AR150" s="232"/>
      <c r="AS150" s="228"/>
      <c r="AT150" s="229"/>
      <c r="AU150" s="229">
        <v>43444.680427777799</v>
      </c>
      <c r="AV150" s="229"/>
      <c r="AW150" s="229"/>
      <c r="AX150" s="229"/>
      <c r="AY150" s="229"/>
      <c r="AZ150" s="238">
        <v>43445.483932407398</v>
      </c>
      <c r="BA150" s="1" t="s">
        <v>7684</v>
      </c>
      <c r="BB150">
        <v>195</v>
      </c>
      <c r="BC150">
        <v>45</v>
      </c>
      <c r="BD150">
        <v>2568</v>
      </c>
      <c r="BE15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4.4839324073982425</v>
      </c>
      <c r="BF150" s="240">
        <f>COUNTIFS(_05preva_view43[Site ID],_05preva_view43[[#This Row],[Site ID]],_05preva_view43[Prevalidation Status],"Under Prevalidation")</f>
        <v>0</v>
      </c>
      <c r="BG15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0" s="242" t="str">
        <f>CONCATENATE(_05preva_view43[[#This Row],[Site ID]]," (",_05preva_view43[[#This Row],[tenant id]],") Application",IF(_05preva_view43[[#This Row],[Colo Rev]]&gt;0," Rev "&amp;_05preva_view43[[#This Row],[Colo Rev]],""),".xlsx")</f>
        <v>1-01-17019-002 (AWD00413) Application Rev 2.xlsx</v>
      </c>
      <c r="BI150" s="64" t="e">
        <f t="shared" ca="1" si="3"/>
        <v>#VALUE!</v>
      </c>
      <c r="BJ150" s="104" t="e">
        <f ca="1">LEFT(CELL("filename",A135),_05preva_view43[[#This Row],[Find Process &amp; Database]]-1)</f>
        <v>#VALUE!</v>
      </c>
      <c r="BK150" s="104" t="e">
        <f ca="1">_05preva_view43[Folder Path1]&amp;"Process &amp; Database\Documentation\Colo Applications"</f>
        <v>#VALUE!</v>
      </c>
      <c r="BL150" s="104" t="e">
        <f ca="1">_05preva_view43[Folder Path2]&amp;"\Colo App "&amp;_05preva_view43[[#This Row],[Operator]]&amp;"\"</f>
        <v>#VALUE!</v>
      </c>
      <c r="BM150" s="63" t="e">
        <f ca="1">_05preva_view43[[#This Row],[Folder Path3]]&amp;_05preva_view43[[#This Row],[File Name]]</f>
        <v>#VALUE!</v>
      </c>
      <c r="BN150" s="104"/>
      <c r="CF150" s="5"/>
      <c r="CG150" s="5"/>
      <c r="CH150" s="3"/>
      <c r="CJ150" s="5"/>
      <c r="CN150" s="3"/>
      <c r="CO150" s="3"/>
      <c r="CP150" s="5"/>
      <c r="CR150" s="3"/>
      <c r="DN150" s="5"/>
      <c r="DP150" s="3"/>
      <c r="EB150" s="7"/>
      <c r="EC150" s="7"/>
      <c r="EF150" s="4"/>
      <c r="EG150" s="4"/>
      <c r="EQ150" s="2"/>
      <c r="ER150" s="2"/>
    </row>
    <row r="151" spans="1:148">
      <c r="A151" s="227">
        <v>3485</v>
      </c>
      <c r="B151" s="228" t="s">
        <v>1217</v>
      </c>
      <c r="C151" s="228" t="s">
        <v>278</v>
      </c>
      <c r="D151" s="228" t="s">
        <v>153</v>
      </c>
      <c r="E151" s="228" t="s">
        <v>1218</v>
      </c>
      <c r="F151" s="228" t="s">
        <v>35</v>
      </c>
      <c r="G151" s="228" t="s">
        <v>1292</v>
      </c>
      <c r="H151" s="228" t="s">
        <v>1285</v>
      </c>
      <c r="I151" s="228" t="s">
        <v>790</v>
      </c>
      <c r="J151" s="228" t="s">
        <v>727</v>
      </c>
      <c r="K151" s="229">
        <v>43441</v>
      </c>
      <c r="L151" s="230">
        <v>2.96</v>
      </c>
      <c r="M151" s="230">
        <v>3.7</v>
      </c>
      <c r="N151" s="228"/>
      <c r="O151" s="228" t="s">
        <v>687</v>
      </c>
      <c r="P151" s="231" t="s">
        <v>695</v>
      </c>
      <c r="Q151" s="231" t="s">
        <v>696</v>
      </c>
      <c r="R151" s="228" t="s">
        <v>24</v>
      </c>
      <c r="S151" s="228"/>
      <c r="T151" s="232" t="s">
        <v>615</v>
      </c>
      <c r="U151" s="228"/>
      <c r="V151" s="232" t="s">
        <v>615</v>
      </c>
      <c r="W151" s="228"/>
      <c r="X151" s="232" t="s">
        <v>615</v>
      </c>
      <c r="Y151" s="228"/>
      <c r="Z151" s="233" t="s">
        <v>615</v>
      </c>
      <c r="AA151" s="234"/>
      <c r="AB151" s="234"/>
      <c r="AC151" s="235"/>
      <c r="AD151" s="228"/>
      <c r="AE151" s="232" t="s">
        <v>120</v>
      </c>
      <c r="AF151" s="229" t="s">
        <v>904</v>
      </c>
      <c r="AG151" s="236"/>
      <c r="AH151" s="236"/>
      <c r="AI151" s="228" t="s">
        <v>1216</v>
      </c>
      <c r="AJ151" s="232" t="s">
        <v>615</v>
      </c>
      <c r="AK151" s="228"/>
      <c r="AL151" s="228"/>
      <c r="AM151" s="232"/>
      <c r="AN151" s="228"/>
      <c r="AO151" s="228"/>
      <c r="AP151" s="237"/>
      <c r="AQ151" s="228"/>
      <c r="AR151" s="232"/>
      <c r="AS151" s="228"/>
      <c r="AT151" s="229"/>
      <c r="AU151" s="229">
        <v>43444.680430208296</v>
      </c>
      <c r="AV151" s="229"/>
      <c r="AW151" s="229"/>
      <c r="AX151" s="229"/>
      <c r="AY151" s="229"/>
      <c r="AZ151" s="238">
        <v>43445.483933449097</v>
      </c>
      <c r="BA151" s="1" t="s">
        <v>7684</v>
      </c>
      <c r="BB151">
        <v>160</v>
      </c>
      <c r="BC151">
        <v>60</v>
      </c>
      <c r="BD151">
        <v>2715</v>
      </c>
      <c r="BE15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4.4839334490970941</v>
      </c>
      <c r="BF151" s="240">
        <f>COUNTIFS(_05preva_view43[Site ID],_05preva_view43[[#This Row],[Site ID]],_05preva_view43[Prevalidation Status],"Under Prevalidation")</f>
        <v>0</v>
      </c>
      <c r="BG15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1" s="242" t="str">
        <f>CONCATENATE(_05preva_view43[[#This Row],[Site ID]]," (",_05preva_view43[[#This Row],[tenant id]],") Application",IF(_05preva_view43[[#This Row],[Colo Rev]]&gt;0," Rev "&amp;_05preva_view43[[#This Row],[Colo Rev]],""),".xlsx")</f>
        <v>1-01-17011-006 (AWD00287) Application Rev 3.xlsx</v>
      </c>
      <c r="BI151" s="64" t="e">
        <f t="shared" ca="1" si="3"/>
        <v>#VALUE!</v>
      </c>
      <c r="BJ151" s="104" t="e">
        <f ca="1">LEFT(CELL("filename",A136),_05preva_view43[[#This Row],[Find Process &amp; Database]]-1)</f>
        <v>#VALUE!</v>
      </c>
      <c r="BK151" s="104" t="e">
        <f ca="1">_05preva_view43[Folder Path1]&amp;"Process &amp; Database\Documentation\Colo Applications"</f>
        <v>#VALUE!</v>
      </c>
      <c r="BL151" s="104" t="e">
        <f ca="1">_05preva_view43[Folder Path2]&amp;"\Colo App "&amp;_05preva_view43[[#This Row],[Operator]]&amp;"\"</f>
        <v>#VALUE!</v>
      </c>
      <c r="BM151" s="63" t="e">
        <f ca="1">_05preva_view43[[#This Row],[Folder Path3]]&amp;_05preva_view43[[#This Row],[File Name]]</f>
        <v>#VALUE!</v>
      </c>
      <c r="BN151" s="104"/>
      <c r="CF151" s="5"/>
      <c r="CG151" s="5"/>
      <c r="CH151" s="3"/>
      <c r="CJ151" s="5"/>
      <c r="CN151" s="3"/>
      <c r="CO151" s="3"/>
      <c r="CP151" s="5"/>
      <c r="CR151" s="3"/>
      <c r="DN151" s="5"/>
      <c r="DP151" s="3"/>
      <c r="EB151" s="7"/>
      <c r="EC151" s="7"/>
      <c r="EF151" s="4"/>
      <c r="EG151" s="4"/>
      <c r="EQ151" s="2"/>
      <c r="ER151" s="2"/>
    </row>
    <row r="152" spans="1:148">
      <c r="A152" s="227">
        <v>3486</v>
      </c>
      <c r="B152" s="228" t="s">
        <v>1219</v>
      </c>
      <c r="C152" s="228" t="s">
        <v>278</v>
      </c>
      <c r="D152" s="228" t="s">
        <v>153</v>
      </c>
      <c r="E152" s="228" t="s">
        <v>1220</v>
      </c>
      <c r="F152" s="228" t="s">
        <v>35</v>
      </c>
      <c r="G152" s="228" t="s">
        <v>1292</v>
      </c>
      <c r="H152" s="228" t="s">
        <v>1290</v>
      </c>
      <c r="I152" s="228" t="s">
        <v>970</v>
      </c>
      <c r="J152" s="228" t="s">
        <v>828</v>
      </c>
      <c r="K152" s="229">
        <v>43441</v>
      </c>
      <c r="L152" s="230">
        <v>1.5</v>
      </c>
      <c r="M152" s="230"/>
      <c r="N152" s="228"/>
      <c r="O152" s="228" t="s">
        <v>687</v>
      </c>
      <c r="P152" s="231" t="s">
        <v>284</v>
      </c>
      <c r="Q152" s="231" t="s">
        <v>240</v>
      </c>
      <c r="R152" s="228" t="s">
        <v>24</v>
      </c>
      <c r="S152" s="228"/>
      <c r="T152" s="232" t="s">
        <v>615</v>
      </c>
      <c r="U152" s="228"/>
      <c r="V152" s="232" t="s">
        <v>615</v>
      </c>
      <c r="W152" s="228"/>
      <c r="X152" s="232" t="s">
        <v>615</v>
      </c>
      <c r="Y152" s="228"/>
      <c r="Z152" s="233" t="s">
        <v>615</v>
      </c>
      <c r="AA152" s="234"/>
      <c r="AB152" s="234"/>
      <c r="AC152" s="235"/>
      <c r="AD152" s="228"/>
      <c r="AE152" s="232" t="s">
        <v>120</v>
      </c>
      <c r="AF152" s="229" t="s">
        <v>1448</v>
      </c>
      <c r="AG152" s="236"/>
      <c r="AH152" s="236"/>
      <c r="AI152" s="228" t="s">
        <v>1221</v>
      </c>
      <c r="AJ152" s="232" t="s">
        <v>615</v>
      </c>
      <c r="AK152" s="228"/>
      <c r="AL152" s="228"/>
      <c r="AM152" s="232"/>
      <c r="AN152" s="228"/>
      <c r="AO152" s="228"/>
      <c r="AP152" s="237"/>
      <c r="AQ152" s="228"/>
      <c r="AR152" s="232"/>
      <c r="AS152" s="228"/>
      <c r="AT152" s="229"/>
      <c r="AU152" s="229">
        <v>43451.370477546297</v>
      </c>
      <c r="AV152" s="229"/>
      <c r="AW152" s="229"/>
      <c r="AX152" s="229"/>
      <c r="AY152" s="229"/>
      <c r="AZ152" s="238">
        <v>43451.4114625</v>
      </c>
      <c r="BA152" s="1" t="s">
        <v>7684</v>
      </c>
      <c r="BB152">
        <v>160</v>
      </c>
      <c r="BC152">
        <v>45</v>
      </c>
      <c r="BD152">
        <v>3745</v>
      </c>
      <c r="BE15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10.411462500000198</v>
      </c>
      <c r="BF152" s="240">
        <f>COUNTIFS(_05preva_view43[Site ID],_05preva_view43[[#This Row],[Site ID]],_05preva_view43[Prevalidation Status],"Under Prevalidation")</f>
        <v>0</v>
      </c>
      <c r="BG15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2" s="242" t="str">
        <f>CONCATENATE(_05preva_view43[[#This Row],[Site ID]]," (",_05preva_view43[[#This Row],[tenant id]],") Application",IF(_05preva_view43[[#This Row],[Colo Rev]]&gt;0," Rev "&amp;_05preva_view43[[#This Row],[Colo Rev]],""),".xlsx")</f>
        <v>1-03-06008-014 (TNY00361) Application Rev .xlsx</v>
      </c>
      <c r="BI152" s="64" t="e">
        <f t="shared" ca="1" si="3"/>
        <v>#VALUE!</v>
      </c>
      <c r="BJ152" s="104" t="e">
        <f ca="1">LEFT(CELL("filename",A137),_05preva_view43[[#This Row],[Find Process &amp; Database]]-1)</f>
        <v>#VALUE!</v>
      </c>
      <c r="BK152" s="104" t="e">
        <f ca="1">_05preva_view43[Folder Path1]&amp;"Process &amp; Database\Documentation\Colo Applications"</f>
        <v>#VALUE!</v>
      </c>
      <c r="BL152" s="104" t="e">
        <f ca="1">_05preva_view43[Folder Path2]&amp;"\Colo App "&amp;_05preva_view43[[#This Row],[Operator]]&amp;"\"</f>
        <v>#VALUE!</v>
      </c>
      <c r="BM152" s="63" t="e">
        <f ca="1">_05preva_view43[[#This Row],[Folder Path3]]&amp;_05preva_view43[[#This Row],[File Name]]</f>
        <v>#VALUE!</v>
      </c>
      <c r="BN152" s="104"/>
      <c r="CF152" s="5"/>
      <c r="CG152" s="5"/>
      <c r="CH152" s="3"/>
      <c r="CJ152" s="5"/>
      <c r="CN152" s="3"/>
      <c r="CO152" s="3"/>
      <c r="CP152" s="5"/>
      <c r="CR152" s="3"/>
      <c r="DN152" s="5"/>
      <c r="DP152" s="3"/>
      <c r="EB152" s="7"/>
      <c r="EC152" s="7"/>
      <c r="EF152" s="4"/>
      <c r="EG152" s="4"/>
      <c r="EQ152" s="2"/>
      <c r="ER152" s="2"/>
    </row>
    <row r="153" spans="1:148">
      <c r="A153" s="227">
        <v>3477</v>
      </c>
      <c r="B153" s="228" t="s">
        <v>288</v>
      </c>
      <c r="C153" s="228" t="s">
        <v>116</v>
      </c>
      <c r="D153" s="228" t="s">
        <v>127</v>
      </c>
      <c r="E153" s="228" t="s">
        <v>1193</v>
      </c>
      <c r="F153" s="228" t="s">
        <v>41</v>
      </c>
      <c r="G153" s="228" t="s">
        <v>1129</v>
      </c>
      <c r="H153" s="228" t="s">
        <v>1037</v>
      </c>
      <c r="I153" s="228" t="s">
        <v>880</v>
      </c>
      <c r="J153" s="228" t="s">
        <v>677</v>
      </c>
      <c r="K153" s="229">
        <v>43440</v>
      </c>
      <c r="L153" s="230"/>
      <c r="M153" s="230">
        <v>2</v>
      </c>
      <c r="N153" s="228">
        <v>3</v>
      </c>
      <c r="O153" s="228" t="s">
        <v>119</v>
      </c>
      <c r="P153" s="231" t="s">
        <v>281</v>
      </c>
      <c r="Q153" s="231" t="s">
        <v>220</v>
      </c>
      <c r="R153" s="228" t="s">
        <v>24</v>
      </c>
      <c r="S153" s="228"/>
      <c r="T153" s="232" t="s">
        <v>615</v>
      </c>
      <c r="U153" s="228" t="s">
        <v>1449</v>
      </c>
      <c r="V153" s="232" t="s">
        <v>120</v>
      </c>
      <c r="W153" s="228"/>
      <c r="X153" s="232" t="s">
        <v>120</v>
      </c>
      <c r="Y153" s="228" t="s">
        <v>1194</v>
      </c>
      <c r="Z153" s="233" t="s">
        <v>120</v>
      </c>
      <c r="AA153" s="234"/>
      <c r="AB153" s="234"/>
      <c r="AC153" s="235" t="s">
        <v>123</v>
      </c>
      <c r="AD153" s="228" t="s">
        <v>1195</v>
      </c>
      <c r="AE153" s="232" t="s">
        <v>120</v>
      </c>
      <c r="AF153" s="229" t="s">
        <v>904</v>
      </c>
      <c r="AG153" s="236"/>
      <c r="AH153" s="236"/>
      <c r="AI153" s="228" t="s">
        <v>1134</v>
      </c>
      <c r="AJ153" s="232" t="s">
        <v>120</v>
      </c>
      <c r="AK153" s="228" t="s">
        <v>123</v>
      </c>
      <c r="AL153" s="228" t="s">
        <v>1135</v>
      </c>
      <c r="AM153" s="232"/>
      <c r="AN153" s="228"/>
      <c r="AO153" s="228"/>
      <c r="AP153" s="237"/>
      <c r="AQ153" s="228"/>
      <c r="AR153" s="232"/>
      <c r="AS153" s="228"/>
      <c r="AT153" s="229">
        <v>43440.497927893499</v>
      </c>
      <c r="AU153" s="229">
        <v>43444.680405555599</v>
      </c>
      <c r="AV153" s="229">
        <v>43441.421344907401</v>
      </c>
      <c r="AW153" s="229">
        <v>43440.497927893499</v>
      </c>
      <c r="AX153" s="229"/>
      <c r="AY153" s="229">
        <v>43444.668278240701</v>
      </c>
      <c r="AZ153" s="238">
        <v>43482.756292245402</v>
      </c>
      <c r="BA153" s="1" t="s">
        <v>7691</v>
      </c>
      <c r="BB153"/>
      <c r="BC153">
        <v>6</v>
      </c>
      <c r="BD153">
        <v>1487</v>
      </c>
      <c r="BE15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42.75629224540171</v>
      </c>
      <c r="BF153" s="240">
        <f>COUNTIFS(_05preva_view43[Site ID],_05preva_view43[[#This Row],[Site ID]],_05preva_view43[Prevalidation Status],"Under Prevalidation")</f>
        <v>0</v>
      </c>
      <c r="BG15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3" s="242" t="str">
        <f>CONCATENATE(_05preva_view43[[#This Row],[Site ID]]," (",_05preva_view43[[#This Row],[tenant id]],") Application",IF(_05preva_view43[[#This Row],[Colo Rev]]&gt;0," Rev "&amp;_05preva_view43[[#This Row],[Colo Rev]],""),".xlsx")</f>
        <v>ANMD_0004 (MDYAMTZ010) Application Rev 0.xlsx</v>
      </c>
      <c r="BI153" s="64" t="e">
        <f t="shared" ca="1" si="3"/>
        <v>#VALUE!</v>
      </c>
      <c r="BJ153" s="104" t="e">
        <f ca="1">LEFT(CELL("filename",A138),_05preva_view43[[#This Row],[Find Process &amp; Database]]-1)</f>
        <v>#VALUE!</v>
      </c>
      <c r="BK153" s="104" t="e">
        <f ca="1">_05preva_view43[Folder Path1]&amp;"Process &amp; Database\Documentation\Colo Applications"</f>
        <v>#VALUE!</v>
      </c>
      <c r="BL153" s="104" t="e">
        <f ca="1">_05preva_view43[Folder Path2]&amp;"\Colo App "&amp;_05preva_view43[[#This Row],[Operator]]&amp;"\"</f>
        <v>#VALUE!</v>
      </c>
      <c r="BM153" s="63" t="e">
        <f ca="1">_05preva_view43[[#This Row],[Folder Path3]]&amp;_05preva_view43[[#This Row],[File Name]]</f>
        <v>#VALUE!</v>
      </c>
      <c r="BN153" s="104"/>
      <c r="CF153" s="5"/>
      <c r="CG153" s="5"/>
      <c r="CH153" s="3"/>
      <c r="CJ153" s="5"/>
      <c r="CN153" s="3"/>
      <c r="CO153" s="3"/>
      <c r="CP153" s="5"/>
      <c r="CR153" s="3"/>
      <c r="DN153" s="5"/>
      <c r="DP153" s="3"/>
      <c r="EB153" s="7"/>
      <c r="EC153" s="7"/>
      <c r="EF153" s="4"/>
      <c r="EG153" s="4"/>
      <c r="EQ153" s="2"/>
      <c r="ER153" s="2"/>
    </row>
    <row r="154" spans="1:148">
      <c r="A154" s="227">
        <v>3478</v>
      </c>
      <c r="B154" s="228" t="s">
        <v>1196</v>
      </c>
      <c r="C154" s="228" t="s">
        <v>116</v>
      </c>
      <c r="D154" s="228" t="s">
        <v>127</v>
      </c>
      <c r="E154" s="228" t="s">
        <v>1197</v>
      </c>
      <c r="F154" s="228" t="s">
        <v>41</v>
      </c>
      <c r="G154" s="228" t="s">
        <v>1129</v>
      </c>
      <c r="H154" s="228" t="s">
        <v>1037</v>
      </c>
      <c r="I154" s="228" t="s">
        <v>880</v>
      </c>
      <c r="J154" s="228" t="s">
        <v>677</v>
      </c>
      <c r="K154" s="229">
        <v>43440</v>
      </c>
      <c r="L154" s="230"/>
      <c r="M154" s="230">
        <v>2</v>
      </c>
      <c r="N154" s="228">
        <v>3</v>
      </c>
      <c r="O154" s="228" t="s">
        <v>119</v>
      </c>
      <c r="P154" s="231" t="s">
        <v>280</v>
      </c>
      <c r="Q154" s="231" t="s">
        <v>281</v>
      </c>
      <c r="R154" s="228" t="s">
        <v>24</v>
      </c>
      <c r="S154" s="228"/>
      <c r="T154" s="232" t="s">
        <v>120</v>
      </c>
      <c r="U154" s="228" t="s">
        <v>1447</v>
      </c>
      <c r="V154" s="232" t="s">
        <v>120</v>
      </c>
      <c r="W154" s="228"/>
      <c r="X154" s="232" t="s">
        <v>120</v>
      </c>
      <c r="Y154" s="228" t="s">
        <v>1198</v>
      </c>
      <c r="Z154" s="233" t="s">
        <v>120</v>
      </c>
      <c r="AA154" s="234"/>
      <c r="AB154" s="234"/>
      <c r="AC154" s="235" t="s">
        <v>123</v>
      </c>
      <c r="AD154" s="228" t="s">
        <v>1199</v>
      </c>
      <c r="AE154" s="232" t="s">
        <v>120</v>
      </c>
      <c r="AF154" s="229" t="s">
        <v>904</v>
      </c>
      <c r="AG154" s="236"/>
      <c r="AH154" s="236"/>
      <c r="AI154" s="228" t="s">
        <v>1134</v>
      </c>
      <c r="AJ154" s="232" t="s">
        <v>120</v>
      </c>
      <c r="AK154" s="228" t="s">
        <v>123</v>
      </c>
      <c r="AL154" s="228" t="s">
        <v>1135</v>
      </c>
      <c r="AM154" s="232"/>
      <c r="AN154" s="228"/>
      <c r="AO154" s="228"/>
      <c r="AP154" s="237"/>
      <c r="AQ154" s="228"/>
      <c r="AR154" s="232"/>
      <c r="AS154" s="228"/>
      <c r="AT154" s="229">
        <v>43440.4979290509</v>
      </c>
      <c r="AU154" s="229">
        <v>43444.680409375003</v>
      </c>
      <c r="AV154" s="229">
        <v>43441.421349768498</v>
      </c>
      <c r="AW154" s="229">
        <v>43440.4979290509</v>
      </c>
      <c r="AX154" s="229">
        <v>43460.604108217602</v>
      </c>
      <c r="AY154" s="229">
        <v>43444.668279166697</v>
      </c>
      <c r="AZ154" s="238">
        <v>43475.681592013898</v>
      </c>
      <c r="BA154" s="1" t="s">
        <v>7684</v>
      </c>
      <c r="BB154">
        <v>160</v>
      </c>
      <c r="BC154">
        <v>45</v>
      </c>
      <c r="BD154">
        <v>946</v>
      </c>
      <c r="BE15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35.681592013897898</v>
      </c>
      <c r="BF154" s="240">
        <f>COUNTIFS(_05preva_view43[Site ID],_05preva_view43[[#This Row],[Site ID]],_05preva_view43[Prevalidation Status],"Under Prevalidation")</f>
        <v>0</v>
      </c>
      <c r="BG15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4" s="242" t="str">
        <f>CONCATENATE(_05preva_view43[[#This Row],[Site ID]]," (",_05preva_view43[[#This Row],[tenant id]],") Application",IF(_05preva_view43[[#This Row],[Colo Rev]]&gt;0," Rev "&amp;_05preva_view43[[#This Row],[Colo Rev]],""),".xlsx")</f>
        <v>ANMD_0173 (MDYPGTG007) Application Rev 0.xlsx</v>
      </c>
      <c r="BI154" s="64" t="e">
        <f t="shared" ca="1" si="3"/>
        <v>#VALUE!</v>
      </c>
      <c r="BJ154" s="104" t="e">
        <f ca="1">LEFT(CELL("filename",A139),_05preva_view43[[#This Row],[Find Process &amp; Database]]-1)</f>
        <v>#VALUE!</v>
      </c>
      <c r="BK154" s="104" t="e">
        <f ca="1">_05preva_view43[Folder Path1]&amp;"Process &amp; Database\Documentation\Colo Applications"</f>
        <v>#VALUE!</v>
      </c>
      <c r="BL154" s="104" t="e">
        <f ca="1">_05preva_view43[Folder Path2]&amp;"\Colo App "&amp;_05preva_view43[[#This Row],[Operator]]&amp;"\"</f>
        <v>#VALUE!</v>
      </c>
      <c r="BM154" s="63" t="e">
        <f ca="1">_05preva_view43[[#This Row],[Folder Path3]]&amp;_05preva_view43[[#This Row],[File Name]]</f>
        <v>#VALUE!</v>
      </c>
      <c r="BN154" s="104"/>
      <c r="CF154" s="5"/>
      <c r="CG154" s="5"/>
      <c r="CH154" s="3"/>
      <c r="CJ154" s="5"/>
      <c r="CN154" s="3"/>
      <c r="CO154" s="3"/>
      <c r="CP154" s="5"/>
      <c r="CR154" s="3"/>
      <c r="DN154" s="5"/>
      <c r="DP154" s="3"/>
      <c r="EB154" s="7"/>
      <c r="EC154" s="7"/>
      <c r="EF154" s="4"/>
      <c r="EG154" s="4"/>
      <c r="EQ154" s="2"/>
      <c r="ER154" s="2"/>
    </row>
    <row r="155" spans="1:148">
      <c r="A155" s="227">
        <v>3479</v>
      </c>
      <c r="B155" s="228" t="s">
        <v>463</v>
      </c>
      <c r="C155" s="228" t="s">
        <v>116</v>
      </c>
      <c r="D155" s="228" t="s">
        <v>127</v>
      </c>
      <c r="E155" s="228" t="s">
        <v>1200</v>
      </c>
      <c r="F155" s="228" t="s">
        <v>41</v>
      </c>
      <c r="G155" s="228" t="s">
        <v>1129</v>
      </c>
      <c r="H155" s="228" t="s">
        <v>1037</v>
      </c>
      <c r="I155" s="228" t="s">
        <v>880</v>
      </c>
      <c r="J155" s="228" t="s">
        <v>677</v>
      </c>
      <c r="K155" s="229">
        <v>43440</v>
      </c>
      <c r="L155" s="230"/>
      <c r="M155" s="230">
        <v>2</v>
      </c>
      <c r="N155" s="228">
        <v>3</v>
      </c>
      <c r="O155" s="228" t="s">
        <v>119</v>
      </c>
      <c r="P155" s="231" t="s">
        <v>234</v>
      </c>
      <c r="Q155" s="231" t="s">
        <v>247</v>
      </c>
      <c r="R155" s="228" t="s">
        <v>24</v>
      </c>
      <c r="S155" s="228"/>
      <c r="T155" s="232" t="s">
        <v>120</v>
      </c>
      <c r="U155" s="228" t="s">
        <v>1408</v>
      </c>
      <c r="V155" s="232" t="s">
        <v>120</v>
      </c>
      <c r="W155" s="228"/>
      <c r="X155" s="232" t="s">
        <v>120</v>
      </c>
      <c r="Y155" s="228" t="s">
        <v>1201</v>
      </c>
      <c r="Z155" s="233" t="s">
        <v>120</v>
      </c>
      <c r="AA155" s="234"/>
      <c r="AB155" s="234"/>
      <c r="AC155" s="235" t="s">
        <v>123</v>
      </c>
      <c r="AD155" s="228" t="s">
        <v>1202</v>
      </c>
      <c r="AE155" s="232" t="s">
        <v>120</v>
      </c>
      <c r="AF155" s="229" t="s">
        <v>904</v>
      </c>
      <c r="AG155" s="236"/>
      <c r="AH155" s="236"/>
      <c r="AI155" s="228" t="s">
        <v>1134</v>
      </c>
      <c r="AJ155" s="232" t="s">
        <v>120</v>
      </c>
      <c r="AK155" s="228" t="s">
        <v>123</v>
      </c>
      <c r="AL155" s="228" t="s">
        <v>1135</v>
      </c>
      <c r="AM155" s="232"/>
      <c r="AN155" s="228"/>
      <c r="AO155" s="228"/>
      <c r="AP155" s="237"/>
      <c r="AQ155" s="228"/>
      <c r="AR155" s="232"/>
      <c r="AS155" s="228"/>
      <c r="AT155" s="229">
        <v>43440.497929976897</v>
      </c>
      <c r="AU155" s="229">
        <v>43444.680411574103</v>
      </c>
      <c r="AV155" s="229">
        <v>43441.421354861101</v>
      </c>
      <c r="AW155" s="229">
        <v>43440.497929976897</v>
      </c>
      <c r="AX155" s="229">
        <v>43460.604110185202</v>
      </c>
      <c r="AY155" s="229">
        <v>43444.668283796302</v>
      </c>
      <c r="AZ155" s="238">
        <v>43475.681592708301</v>
      </c>
      <c r="BA155" s="1" t="s">
        <v>7684</v>
      </c>
      <c r="BB155"/>
      <c r="BC155">
        <v>35</v>
      </c>
      <c r="BD155">
        <v>1584</v>
      </c>
      <c r="BE15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35.681592708300741</v>
      </c>
      <c r="BF155" s="240">
        <f>COUNTIFS(_05preva_view43[Site ID],_05preva_view43[[#This Row],[Site ID]],_05preva_view43[Prevalidation Status],"Under Prevalidation")</f>
        <v>0</v>
      </c>
      <c r="BG15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5" s="242" t="str">
        <f>CONCATENATE(_05preva_view43[[#This Row],[Site ID]]," (",_05preva_view43[[#This Row],[tenant id]],") Application",IF(_05preva_view43[[#This Row],[Colo Rev]]&gt;0," Rev "&amp;_05preva_view43[[#This Row],[Colo Rev]],""),".xlsx")</f>
        <v>ANMD_0164 (MDYPGTG010) Application Rev 0.xlsx</v>
      </c>
      <c r="BI155" s="64" t="e">
        <f t="shared" ca="1" si="3"/>
        <v>#VALUE!</v>
      </c>
      <c r="BJ155" s="104" t="e">
        <f ca="1">LEFT(CELL("filename",A140),_05preva_view43[[#This Row],[Find Process &amp; Database]]-1)</f>
        <v>#VALUE!</v>
      </c>
      <c r="BK155" s="104" t="e">
        <f ca="1">_05preva_view43[Folder Path1]&amp;"Process &amp; Database\Documentation\Colo Applications"</f>
        <v>#VALUE!</v>
      </c>
      <c r="BL155" s="104" t="e">
        <f ca="1">_05preva_view43[Folder Path2]&amp;"\Colo App "&amp;_05preva_view43[[#This Row],[Operator]]&amp;"\"</f>
        <v>#VALUE!</v>
      </c>
      <c r="BM155" s="63" t="e">
        <f ca="1">_05preva_view43[[#This Row],[Folder Path3]]&amp;_05preva_view43[[#This Row],[File Name]]</f>
        <v>#VALUE!</v>
      </c>
      <c r="BN155" s="104"/>
      <c r="CF155" s="5"/>
      <c r="CG155" s="5"/>
      <c r="CH155" s="3"/>
      <c r="CJ155" s="5"/>
      <c r="CN155" s="3"/>
      <c r="CO155" s="3"/>
      <c r="CP155" s="5"/>
      <c r="CR155" s="3"/>
      <c r="DN155" s="5"/>
      <c r="DP155" s="3"/>
      <c r="EB155" s="7"/>
      <c r="EC155" s="7"/>
      <c r="EF155" s="4"/>
      <c r="EG155" s="4"/>
      <c r="EQ155" s="2"/>
      <c r="ER155" s="2"/>
    </row>
    <row r="156" spans="1:148">
      <c r="A156" s="227">
        <v>3481</v>
      </c>
      <c r="B156" s="228" t="s">
        <v>1203</v>
      </c>
      <c r="C156" s="228" t="s">
        <v>278</v>
      </c>
      <c r="D156" s="228" t="s">
        <v>127</v>
      </c>
      <c r="E156" s="228" t="s">
        <v>1204</v>
      </c>
      <c r="F156" s="228" t="s">
        <v>41</v>
      </c>
      <c r="G156" s="228" t="s">
        <v>1129</v>
      </c>
      <c r="H156" s="228" t="s">
        <v>1037</v>
      </c>
      <c r="I156" s="228" t="s">
        <v>880</v>
      </c>
      <c r="J156" s="228" t="s">
        <v>677</v>
      </c>
      <c r="K156" s="229">
        <v>43440</v>
      </c>
      <c r="L156" s="230"/>
      <c r="M156" s="230">
        <v>2</v>
      </c>
      <c r="N156" s="228">
        <v>3</v>
      </c>
      <c r="O156" s="228" t="s">
        <v>119</v>
      </c>
      <c r="P156" s="231" t="s">
        <v>247</v>
      </c>
      <c r="Q156" s="231" t="s">
        <v>227</v>
      </c>
      <c r="R156" s="228" t="s">
        <v>24</v>
      </c>
      <c r="S156" s="228"/>
      <c r="T156" s="232" t="s">
        <v>120</v>
      </c>
      <c r="U156" s="228"/>
      <c r="V156" s="232" t="s">
        <v>120</v>
      </c>
      <c r="W156" s="228"/>
      <c r="X156" s="232" t="s">
        <v>120</v>
      </c>
      <c r="Y156" s="228" t="s">
        <v>1205</v>
      </c>
      <c r="Z156" s="233" t="s">
        <v>120</v>
      </c>
      <c r="AA156" s="234"/>
      <c r="AB156" s="234"/>
      <c r="AC156" s="235" t="s">
        <v>123</v>
      </c>
      <c r="AD156" s="228" t="s">
        <v>1206</v>
      </c>
      <c r="AE156" s="232" t="s">
        <v>120</v>
      </c>
      <c r="AF156" s="229" t="s">
        <v>904</v>
      </c>
      <c r="AG156" s="236"/>
      <c r="AH156" s="236"/>
      <c r="AI156" s="228" t="s">
        <v>1134</v>
      </c>
      <c r="AJ156" s="232" t="s">
        <v>120</v>
      </c>
      <c r="AK156" s="228" t="s">
        <v>206</v>
      </c>
      <c r="AL156" s="228" t="s">
        <v>1207</v>
      </c>
      <c r="AM156" s="232"/>
      <c r="AN156" s="228"/>
      <c r="AO156" s="228"/>
      <c r="AP156" s="237"/>
      <c r="AQ156" s="228"/>
      <c r="AR156" s="232"/>
      <c r="AS156" s="228"/>
      <c r="AT156" s="229">
        <v>43441.359249421301</v>
      </c>
      <c r="AU156" s="229">
        <v>43444.680417592601</v>
      </c>
      <c r="AV156" s="229">
        <v>43444.452038194402</v>
      </c>
      <c r="AW156" s="229">
        <v>43441.359249421301</v>
      </c>
      <c r="AX156" s="229">
        <v>43472.656799536999</v>
      </c>
      <c r="AY156" s="229">
        <v>43479.4084925926</v>
      </c>
      <c r="AZ156" s="238">
        <v>43479.610190277803</v>
      </c>
      <c r="BA156" s="1" t="s">
        <v>7684</v>
      </c>
      <c r="BB156">
        <v>130</v>
      </c>
      <c r="BC156">
        <v>45</v>
      </c>
      <c r="BD156">
        <v>3675</v>
      </c>
      <c r="BE15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39.610190277802758</v>
      </c>
      <c r="BF156" s="240">
        <f>COUNTIFS(_05preva_view43[Site ID],_05preva_view43[[#This Row],[Site ID]],_05preva_view43[Prevalidation Status],"Under Prevalidation")</f>
        <v>0</v>
      </c>
      <c r="BG15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6" s="242" t="str">
        <f>CONCATENATE(_05preva_view43[[#This Row],[Site ID]]," (",_05preva_view43[[#This Row],[tenant id]],") Application",IF(_05preva_view43[[#This Row],[Colo Rev]]&gt;0," Rev "&amp;_05preva_view43[[#This Row],[Colo Rev]],""),".xlsx")</f>
        <v>1-01-10006-004 (MDYAMPR005) Application Rev 0.xlsx</v>
      </c>
      <c r="BI156" s="64" t="e">
        <f t="shared" ca="1" si="3"/>
        <v>#VALUE!</v>
      </c>
      <c r="BJ156" s="104" t="e">
        <f ca="1">LEFT(CELL("filename",A141),_05preva_view43[[#This Row],[Find Process &amp; Database]]-1)</f>
        <v>#VALUE!</v>
      </c>
      <c r="BK156" s="104" t="e">
        <f ca="1">_05preva_view43[Folder Path1]&amp;"Process &amp; Database\Documentation\Colo Applications"</f>
        <v>#VALUE!</v>
      </c>
      <c r="BL156" s="104" t="e">
        <f ca="1">_05preva_view43[Folder Path2]&amp;"\Colo App "&amp;_05preva_view43[[#This Row],[Operator]]&amp;"\"</f>
        <v>#VALUE!</v>
      </c>
      <c r="BM156" s="63" t="e">
        <f ca="1">_05preva_view43[[#This Row],[Folder Path3]]&amp;_05preva_view43[[#This Row],[File Name]]</f>
        <v>#VALUE!</v>
      </c>
      <c r="BN156" s="104"/>
      <c r="CF156" s="5"/>
      <c r="CG156" s="5"/>
      <c r="CH156" s="3"/>
      <c r="CJ156" s="5"/>
      <c r="CN156" s="3"/>
      <c r="CO156" s="3"/>
      <c r="CP156" s="5"/>
      <c r="CR156" s="3"/>
      <c r="DN156" s="5"/>
      <c r="DP156" s="3"/>
      <c r="EB156" s="7"/>
      <c r="EC156" s="7"/>
      <c r="EF156" s="4"/>
      <c r="EG156" s="4"/>
      <c r="EQ156" s="2"/>
      <c r="ER156" s="2"/>
    </row>
    <row r="157" spans="1:148">
      <c r="A157" s="227">
        <v>3462</v>
      </c>
      <c r="B157" s="228" t="s">
        <v>1127</v>
      </c>
      <c r="C157" s="228" t="s">
        <v>116</v>
      </c>
      <c r="D157" s="228" t="s">
        <v>127</v>
      </c>
      <c r="E157" s="228" t="s">
        <v>1128</v>
      </c>
      <c r="F157" s="228" t="s">
        <v>41</v>
      </c>
      <c r="G157" s="228" t="s">
        <v>1129</v>
      </c>
      <c r="H157" s="228" t="s">
        <v>1037</v>
      </c>
      <c r="I157" s="228" t="s">
        <v>880</v>
      </c>
      <c r="J157" s="228" t="s">
        <v>677</v>
      </c>
      <c r="K157" s="229">
        <v>43437</v>
      </c>
      <c r="L157" s="230"/>
      <c r="M157" s="230">
        <v>2</v>
      </c>
      <c r="N157" s="228">
        <v>3</v>
      </c>
      <c r="O157" s="228" t="s">
        <v>119</v>
      </c>
      <c r="P157" s="231" t="s">
        <v>228</v>
      </c>
      <c r="Q157" s="231" t="s">
        <v>284</v>
      </c>
      <c r="R157" s="228" t="s">
        <v>24</v>
      </c>
      <c r="S157" s="228"/>
      <c r="T157" s="232" t="s">
        <v>120</v>
      </c>
      <c r="U157" s="228" t="s">
        <v>1130</v>
      </c>
      <c r="V157" s="232" t="s">
        <v>120</v>
      </c>
      <c r="W157" s="228"/>
      <c r="X157" s="232" t="s">
        <v>120</v>
      </c>
      <c r="Y157" s="228" t="s">
        <v>1131</v>
      </c>
      <c r="Z157" s="233" t="s">
        <v>120</v>
      </c>
      <c r="AA157" s="234"/>
      <c r="AB157" s="234"/>
      <c r="AC157" s="235" t="s">
        <v>123</v>
      </c>
      <c r="AD157" s="228" t="s">
        <v>1132</v>
      </c>
      <c r="AE157" s="232" t="s">
        <v>120</v>
      </c>
      <c r="AF157" s="229" t="s">
        <v>1133</v>
      </c>
      <c r="AG157" s="236"/>
      <c r="AH157" s="236"/>
      <c r="AI157" s="228" t="s">
        <v>1134</v>
      </c>
      <c r="AJ157" s="232" t="s">
        <v>120</v>
      </c>
      <c r="AK157" s="228" t="s">
        <v>123</v>
      </c>
      <c r="AL157" s="228" t="s">
        <v>1135</v>
      </c>
      <c r="AM157" s="232"/>
      <c r="AN157" s="228"/>
      <c r="AO157" s="228"/>
      <c r="AP157" s="237"/>
      <c r="AQ157" s="228"/>
      <c r="AR157" s="232"/>
      <c r="AS157" s="228"/>
      <c r="AT157" s="229">
        <v>43437.721829861097</v>
      </c>
      <c r="AU157" s="229">
        <v>43439.507182986097</v>
      </c>
      <c r="AV157" s="229">
        <v>43438.692452314797</v>
      </c>
      <c r="AW157" s="229">
        <v>43438.482049189799</v>
      </c>
      <c r="AX157" s="229">
        <v>43438.738735648098</v>
      </c>
      <c r="AY157" s="229">
        <v>43437.702622222198</v>
      </c>
      <c r="AZ157" s="238">
        <v>43441.389728009301</v>
      </c>
      <c r="BA157" s="1" t="s">
        <v>7684</v>
      </c>
      <c r="BB157"/>
      <c r="BC157">
        <v>60</v>
      </c>
      <c r="BD157">
        <v>2154</v>
      </c>
      <c r="BE15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4.3897280093005975</v>
      </c>
      <c r="BF157" s="240">
        <f>COUNTIFS(_05preva_view43[Site ID],_05preva_view43[[#This Row],[Site ID]],_05preva_view43[Prevalidation Status],"Under Prevalidation")</f>
        <v>0</v>
      </c>
      <c r="BG15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7" s="242" t="str">
        <f>CONCATENATE(_05preva_view43[[#This Row],[Site ID]]," (",_05preva_view43[[#This Row],[tenant id]],") Application",IF(_05preva_view43[[#This Row],[Colo Rev]]&gt;0," Rev "&amp;_05preva_view43[[#This Row],[Colo Rev]],""),".xlsx")</f>
        <v>ANMD_0069 (MDYAMPR004) Application Rev 0.xlsx</v>
      </c>
      <c r="BI157" s="64" t="e">
        <f t="shared" ca="1" si="3"/>
        <v>#VALUE!</v>
      </c>
      <c r="BJ157" s="104" t="e">
        <f ca="1">LEFT(CELL("filename",A142),_05preva_view43[[#This Row],[Find Process &amp; Database]]-1)</f>
        <v>#VALUE!</v>
      </c>
      <c r="BK157" s="104" t="e">
        <f ca="1">_05preva_view43[Folder Path1]&amp;"Process &amp; Database\Documentation\Colo Applications"</f>
        <v>#VALUE!</v>
      </c>
      <c r="BL157" s="104" t="e">
        <f ca="1">_05preva_view43[Folder Path2]&amp;"\Colo App "&amp;_05preva_view43[[#This Row],[Operator]]&amp;"\"</f>
        <v>#VALUE!</v>
      </c>
      <c r="BM157" s="63" t="e">
        <f ca="1">_05preva_view43[[#This Row],[Folder Path3]]&amp;_05preva_view43[[#This Row],[File Name]]</f>
        <v>#VALUE!</v>
      </c>
      <c r="BN157" s="104"/>
      <c r="CF157" s="5"/>
      <c r="CG157" s="5"/>
      <c r="CH157" s="3"/>
      <c r="CJ157" s="5"/>
      <c r="CN157" s="3"/>
      <c r="CO157" s="3"/>
      <c r="CP157" s="5"/>
      <c r="CR157" s="3"/>
      <c r="DN157" s="5"/>
      <c r="DP157" s="3"/>
      <c r="EB157" s="7"/>
      <c r="EC157" s="7"/>
      <c r="EF157" s="4"/>
      <c r="EG157" s="4"/>
      <c r="EQ157" s="2"/>
      <c r="ER157" s="2"/>
    </row>
    <row r="158" spans="1:148">
      <c r="A158" s="227">
        <v>3463</v>
      </c>
      <c r="B158" s="228" t="s">
        <v>1136</v>
      </c>
      <c r="C158" s="228" t="s">
        <v>116</v>
      </c>
      <c r="D158" s="228" t="s">
        <v>127</v>
      </c>
      <c r="E158" s="228" t="s">
        <v>1137</v>
      </c>
      <c r="F158" s="228" t="s">
        <v>41</v>
      </c>
      <c r="G158" s="228" t="s">
        <v>1129</v>
      </c>
      <c r="H158" s="228" t="s">
        <v>1037</v>
      </c>
      <c r="I158" s="228" t="s">
        <v>880</v>
      </c>
      <c r="J158" s="228" t="s">
        <v>677</v>
      </c>
      <c r="K158" s="229">
        <v>43437</v>
      </c>
      <c r="L158" s="230"/>
      <c r="M158" s="230">
        <v>1.9</v>
      </c>
      <c r="N158" s="228">
        <v>3</v>
      </c>
      <c r="O158" s="228" t="s">
        <v>119</v>
      </c>
      <c r="P158" s="231" t="s">
        <v>246</v>
      </c>
      <c r="Q158" s="231" t="s">
        <v>247</v>
      </c>
      <c r="R158" s="228" t="s">
        <v>24</v>
      </c>
      <c r="S158" s="228"/>
      <c r="T158" s="232" t="s">
        <v>120</v>
      </c>
      <c r="U158" s="228" t="s">
        <v>1130</v>
      </c>
      <c r="V158" s="232" t="s">
        <v>120</v>
      </c>
      <c r="W158" s="228"/>
      <c r="X158" s="232" t="s">
        <v>120</v>
      </c>
      <c r="Y158" s="228" t="s">
        <v>1138</v>
      </c>
      <c r="Z158" s="233" t="s">
        <v>120</v>
      </c>
      <c r="AA158" s="234"/>
      <c r="AB158" s="234"/>
      <c r="AC158" s="235" t="s">
        <v>123</v>
      </c>
      <c r="AD158" s="228" t="s">
        <v>1139</v>
      </c>
      <c r="AE158" s="232" t="s">
        <v>120</v>
      </c>
      <c r="AF158" s="229" t="s">
        <v>1133</v>
      </c>
      <c r="AG158" s="236"/>
      <c r="AH158" s="236"/>
      <c r="AI158" s="228" t="s">
        <v>1134</v>
      </c>
      <c r="AJ158" s="232" t="s">
        <v>120</v>
      </c>
      <c r="AK158" s="228" t="s">
        <v>123</v>
      </c>
      <c r="AL158" s="228" t="s">
        <v>1135</v>
      </c>
      <c r="AM158" s="232"/>
      <c r="AN158" s="228"/>
      <c r="AO158" s="228"/>
      <c r="AP158" s="237"/>
      <c r="AQ158" s="228"/>
      <c r="AR158" s="232"/>
      <c r="AS158" s="228"/>
      <c r="AT158" s="229">
        <v>43437.721831481504</v>
      </c>
      <c r="AU158" s="229">
        <v>43439.507184027803</v>
      </c>
      <c r="AV158" s="229">
        <v>43438.692453124997</v>
      </c>
      <c r="AW158" s="229">
        <v>43438.482050694402</v>
      </c>
      <c r="AX158" s="229">
        <v>43438.738740046298</v>
      </c>
      <c r="AY158" s="229">
        <v>43437.702622569399</v>
      </c>
      <c r="AZ158" s="238">
        <v>43441.389728472197</v>
      </c>
      <c r="BA158" s="1" t="s">
        <v>7684</v>
      </c>
      <c r="BB158"/>
      <c r="BC158">
        <v>40</v>
      </c>
      <c r="BD158">
        <v>242</v>
      </c>
      <c r="BE15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4.3897284721970209</v>
      </c>
      <c r="BF158" s="240">
        <f>COUNTIFS(_05preva_view43[Site ID],_05preva_view43[[#This Row],[Site ID]],_05preva_view43[Prevalidation Status],"Under Prevalidation")</f>
        <v>0</v>
      </c>
      <c r="BG15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8" s="242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0.xlsx</v>
      </c>
      <c r="BI158" s="64" t="e">
        <f t="shared" ca="1" si="3"/>
        <v>#VALUE!</v>
      </c>
      <c r="BJ158" s="104" t="e">
        <f ca="1">LEFT(CELL("filename",A143),_05preva_view43[[#This Row],[Find Process &amp; Database]]-1)</f>
        <v>#VALUE!</v>
      </c>
      <c r="BK158" s="104" t="e">
        <f ca="1">_05preva_view43[Folder Path1]&amp;"Process &amp; Database\Documentation\Colo Applications"</f>
        <v>#VALUE!</v>
      </c>
      <c r="BL158" s="104" t="e">
        <f ca="1">_05preva_view43[Folder Path2]&amp;"\Colo App "&amp;_05preva_view43[[#This Row],[Operator]]&amp;"\"</f>
        <v>#VALUE!</v>
      </c>
      <c r="BM158" s="63" t="e">
        <f ca="1">_05preva_view43[[#This Row],[Folder Path3]]&amp;_05preva_view43[[#This Row],[File Name]]</f>
        <v>#VALUE!</v>
      </c>
      <c r="BN158" s="104"/>
      <c r="CF158" s="5"/>
      <c r="CG158" s="5"/>
      <c r="CH158" s="3"/>
      <c r="CJ158" s="5"/>
      <c r="CN158" s="3"/>
      <c r="CO158" s="3"/>
      <c r="CP158" s="5"/>
      <c r="CR158" s="3"/>
      <c r="DN158" s="5"/>
      <c r="DP158" s="3"/>
      <c r="EB158" s="7"/>
      <c r="EC158" s="7"/>
      <c r="EF158" s="4"/>
      <c r="EG158" s="4"/>
      <c r="EQ158" s="2"/>
      <c r="ER158" s="2"/>
    </row>
    <row r="159" spans="1:148">
      <c r="A159" s="227">
        <v>3464</v>
      </c>
      <c r="B159" s="228" t="s">
        <v>1140</v>
      </c>
      <c r="C159" s="228" t="s">
        <v>116</v>
      </c>
      <c r="D159" s="228" t="s">
        <v>127</v>
      </c>
      <c r="E159" s="228" t="s">
        <v>1141</v>
      </c>
      <c r="F159" s="228" t="s">
        <v>41</v>
      </c>
      <c r="G159" s="228" t="s">
        <v>1129</v>
      </c>
      <c r="H159" s="228" t="s">
        <v>1037</v>
      </c>
      <c r="I159" s="228" t="s">
        <v>880</v>
      </c>
      <c r="J159" s="228" t="s">
        <v>677</v>
      </c>
      <c r="K159" s="229">
        <v>43437</v>
      </c>
      <c r="L159" s="230"/>
      <c r="M159" s="230">
        <v>2.5</v>
      </c>
      <c r="N159" s="228">
        <v>3</v>
      </c>
      <c r="O159" s="228" t="s">
        <v>119</v>
      </c>
      <c r="P159" s="231" t="s">
        <v>246</v>
      </c>
      <c r="Q159" s="231" t="s">
        <v>247</v>
      </c>
      <c r="R159" s="228" t="s">
        <v>24</v>
      </c>
      <c r="S159" s="228"/>
      <c r="T159" s="232" t="s">
        <v>120</v>
      </c>
      <c r="U159" s="228" t="s">
        <v>1130</v>
      </c>
      <c r="V159" s="232" t="s">
        <v>120</v>
      </c>
      <c r="W159" s="228"/>
      <c r="X159" s="232" t="s">
        <v>120</v>
      </c>
      <c r="Y159" s="228" t="s">
        <v>1142</v>
      </c>
      <c r="Z159" s="233" t="s">
        <v>120</v>
      </c>
      <c r="AA159" s="234"/>
      <c r="AB159" s="234"/>
      <c r="AC159" s="235" t="s">
        <v>123</v>
      </c>
      <c r="AD159" s="228" t="s">
        <v>1143</v>
      </c>
      <c r="AE159" s="232" t="s">
        <v>120</v>
      </c>
      <c r="AF159" s="229" t="s">
        <v>1133</v>
      </c>
      <c r="AG159" s="236"/>
      <c r="AH159" s="236"/>
      <c r="AI159" s="228" t="s">
        <v>1144</v>
      </c>
      <c r="AJ159" s="232" t="s">
        <v>120</v>
      </c>
      <c r="AK159" s="228" t="s">
        <v>123</v>
      </c>
      <c r="AL159" s="228" t="s">
        <v>1135</v>
      </c>
      <c r="AM159" s="232"/>
      <c r="AN159" s="228"/>
      <c r="AO159" s="228"/>
      <c r="AP159" s="237"/>
      <c r="AQ159" s="228"/>
      <c r="AR159" s="232"/>
      <c r="AS159" s="228"/>
      <c r="AT159" s="229">
        <v>43437.721833217598</v>
      </c>
      <c r="AU159" s="229">
        <v>43439.507185532399</v>
      </c>
      <c r="AV159" s="229">
        <v>43438.692454861099</v>
      </c>
      <c r="AW159" s="229">
        <v>43438.482052314801</v>
      </c>
      <c r="AX159" s="229">
        <v>43438.738743634298</v>
      </c>
      <c r="AY159" s="229">
        <v>43437.702624189798</v>
      </c>
      <c r="AZ159" s="238">
        <v>43441.389729976901</v>
      </c>
      <c r="BA159" s="1" t="s">
        <v>7684</v>
      </c>
      <c r="BB159"/>
      <c r="BC159">
        <v>35</v>
      </c>
      <c r="BD159">
        <v>1937</v>
      </c>
      <c r="BE15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4.3897299769014353</v>
      </c>
      <c r="BF159" s="240">
        <f>COUNTIFS(_05preva_view43[Site ID],_05preva_view43[[#This Row],[Site ID]],_05preva_view43[Prevalidation Status],"Under Prevalidation")</f>
        <v>0</v>
      </c>
      <c r="BG15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59" s="242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0.xlsx</v>
      </c>
      <c r="BI159" s="64" t="e">
        <f t="shared" ca="1" si="3"/>
        <v>#VALUE!</v>
      </c>
      <c r="BJ159" s="104" t="e">
        <f ca="1">LEFT(CELL("filename",A144),_05preva_view43[[#This Row],[Find Process &amp; Database]]-1)</f>
        <v>#VALUE!</v>
      </c>
      <c r="BK159" s="104" t="e">
        <f ca="1">_05preva_view43[Folder Path1]&amp;"Process &amp; Database\Documentation\Colo Applications"</f>
        <v>#VALUE!</v>
      </c>
      <c r="BL159" s="104" t="e">
        <f ca="1">_05preva_view43[Folder Path2]&amp;"\Colo App "&amp;_05preva_view43[[#This Row],[Operator]]&amp;"\"</f>
        <v>#VALUE!</v>
      </c>
      <c r="BM159" s="63" t="e">
        <f ca="1">_05preva_view43[[#This Row],[Folder Path3]]&amp;_05preva_view43[[#This Row],[File Name]]</f>
        <v>#VALUE!</v>
      </c>
      <c r="BN159" s="104"/>
      <c r="CF159" s="5"/>
      <c r="CG159" s="5"/>
      <c r="CH159" s="3"/>
      <c r="CJ159" s="5"/>
      <c r="CN159" s="3"/>
      <c r="CO159" s="3"/>
      <c r="CP159" s="5"/>
      <c r="CR159" s="3"/>
      <c r="DN159" s="5"/>
      <c r="DP159" s="3"/>
      <c r="EB159" s="7"/>
      <c r="EC159" s="7"/>
      <c r="EF159" s="4"/>
      <c r="EG159" s="4"/>
      <c r="EQ159" s="2"/>
      <c r="ER159" s="2"/>
    </row>
    <row r="160" spans="1:148">
      <c r="A160" s="227">
        <v>3465</v>
      </c>
      <c r="B160" s="228" t="s">
        <v>1145</v>
      </c>
      <c r="C160" s="228" t="s">
        <v>116</v>
      </c>
      <c r="D160" s="228" t="s">
        <v>127</v>
      </c>
      <c r="E160" s="228" t="s">
        <v>1146</v>
      </c>
      <c r="F160" s="228" t="s">
        <v>41</v>
      </c>
      <c r="G160" s="228" t="s">
        <v>1129</v>
      </c>
      <c r="H160" s="228" t="s">
        <v>1037</v>
      </c>
      <c r="I160" s="228" t="s">
        <v>880</v>
      </c>
      <c r="J160" s="228" t="s">
        <v>677</v>
      </c>
      <c r="K160" s="229">
        <v>43437</v>
      </c>
      <c r="L160" s="230"/>
      <c r="M160" s="230">
        <v>2.5</v>
      </c>
      <c r="N160" s="228">
        <v>3</v>
      </c>
      <c r="O160" s="228" t="s">
        <v>119</v>
      </c>
      <c r="P160" s="231" t="s">
        <v>247</v>
      </c>
      <c r="Q160" s="231" t="s">
        <v>227</v>
      </c>
      <c r="R160" s="228" t="s">
        <v>24</v>
      </c>
      <c r="S160" s="228"/>
      <c r="T160" s="232" t="s">
        <v>120</v>
      </c>
      <c r="U160" s="228" t="s">
        <v>1147</v>
      </c>
      <c r="V160" s="232" t="s">
        <v>120</v>
      </c>
      <c r="W160" s="228"/>
      <c r="X160" s="232" t="s">
        <v>120</v>
      </c>
      <c r="Y160" s="228" t="s">
        <v>1148</v>
      </c>
      <c r="Z160" s="233" t="s">
        <v>120</v>
      </c>
      <c r="AA160" s="234"/>
      <c r="AB160" s="234"/>
      <c r="AC160" s="235" t="s">
        <v>123</v>
      </c>
      <c r="AD160" s="228" t="s">
        <v>1149</v>
      </c>
      <c r="AE160" s="232" t="s">
        <v>120</v>
      </c>
      <c r="AF160" s="229" t="s">
        <v>1133</v>
      </c>
      <c r="AG160" s="236"/>
      <c r="AH160" s="236"/>
      <c r="AI160" s="228" t="s">
        <v>1134</v>
      </c>
      <c r="AJ160" s="232" t="s">
        <v>120</v>
      </c>
      <c r="AK160" s="228" t="s">
        <v>123</v>
      </c>
      <c r="AL160" s="228" t="s">
        <v>1135</v>
      </c>
      <c r="AM160" s="232"/>
      <c r="AN160" s="228"/>
      <c r="AO160" s="228"/>
      <c r="AP160" s="237"/>
      <c r="AQ160" s="228"/>
      <c r="AR160" s="232"/>
      <c r="AS160" s="228"/>
      <c r="AT160" s="229">
        <v>43438.4820539352</v>
      </c>
      <c r="AU160" s="229">
        <v>43439.507186574097</v>
      </c>
      <c r="AV160" s="229">
        <v>43438.692456481498</v>
      </c>
      <c r="AW160" s="229">
        <v>43438.4820539352</v>
      </c>
      <c r="AX160" s="229">
        <v>43438.738747685202</v>
      </c>
      <c r="AY160" s="229">
        <v>43437.702625694401</v>
      </c>
      <c r="AZ160" s="238">
        <v>43441.389730902803</v>
      </c>
      <c r="BA160" s="1" t="s">
        <v>7684</v>
      </c>
      <c r="BB160"/>
      <c r="BC160">
        <v>45</v>
      </c>
      <c r="BD160">
        <v>1637</v>
      </c>
      <c r="BE16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4.3897309028034215</v>
      </c>
      <c r="BF160" s="240">
        <f>COUNTIFS(_05preva_view43[Site ID],_05preva_view43[[#This Row],[Site ID]],_05preva_view43[Prevalidation Status],"Under Prevalidation")</f>
        <v>0</v>
      </c>
      <c r="BG16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0" s="242" t="str">
        <f>CONCATENATE(_05preva_view43[[#This Row],[Site ID]]," (",_05preva_view43[[#This Row],[tenant id]],") Application",IF(_05preva_view43[[#This Row],[Colo Rev]]&gt;0," Rev "&amp;_05preva_view43[[#This Row],[Colo Rev]],""),".xlsx")</f>
        <v>ANMD_0070 (MDYAMPR013) Application Rev 0.xlsx</v>
      </c>
      <c r="BI160" s="64" t="e">
        <f t="shared" ca="1" si="3"/>
        <v>#VALUE!</v>
      </c>
      <c r="BJ160" s="104" t="e">
        <f ca="1">LEFT(CELL("filename",A145),_05preva_view43[[#This Row],[Find Process &amp; Database]]-1)</f>
        <v>#VALUE!</v>
      </c>
      <c r="BK160" s="104" t="e">
        <f ca="1">_05preva_view43[Folder Path1]&amp;"Process &amp; Database\Documentation\Colo Applications"</f>
        <v>#VALUE!</v>
      </c>
      <c r="BL160" s="104" t="e">
        <f ca="1">_05preva_view43[Folder Path2]&amp;"\Colo App "&amp;_05preva_view43[[#This Row],[Operator]]&amp;"\"</f>
        <v>#VALUE!</v>
      </c>
      <c r="BM160" s="63" t="e">
        <f ca="1">_05preva_view43[[#This Row],[Folder Path3]]&amp;_05preva_view43[[#This Row],[File Name]]</f>
        <v>#VALUE!</v>
      </c>
      <c r="BN160" s="104"/>
      <c r="CF160" s="5"/>
      <c r="CG160" s="5"/>
      <c r="CH160" s="3"/>
      <c r="CJ160" s="5"/>
      <c r="CN160" s="3"/>
      <c r="CO160" s="3"/>
      <c r="CP160" s="5"/>
      <c r="CR160" s="3"/>
      <c r="DN160" s="5"/>
      <c r="DP160" s="3"/>
      <c r="EB160" s="7"/>
      <c r="EC160" s="7"/>
      <c r="EF160" s="4"/>
      <c r="EG160" s="4"/>
      <c r="EQ160" s="2"/>
      <c r="ER160" s="2"/>
    </row>
    <row r="161" spans="1:148">
      <c r="A161" s="227">
        <v>3466</v>
      </c>
      <c r="B161" s="228" t="s">
        <v>1150</v>
      </c>
      <c r="C161" s="228" t="s">
        <v>116</v>
      </c>
      <c r="D161" s="228" t="s">
        <v>127</v>
      </c>
      <c r="E161" s="228" t="s">
        <v>1151</v>
      </c>
      <c r="F161" s="228" t="s">
        <v>41</v>
      </c>
      <c r="G161" s="228" t="s">
        <v>1129</v>
      </c>
      <c r="H161" s="228" t="s">
        <v>1037</v>
      </c>
      <c r="I161" s="228" t="s">
        <v>880</v>
      </c>
      <c r="J161" s="228" t="s">
        <v>677</v>
      </c>
      <c r="K161" s="229">
        <v>43437</v>
      </c>
      <c r="L161" s="230"/>
      <c r="M161" s="230">
        <v>2</v>
      </c>
      <c r="N161" s="228">
        <v>3</v>
      </c>
      <c r="O161" s="228" t="s">
        <v>119</v>
      </c>
      <c r="P161" s="231" t="s">
        <v>227</v>
      </c>
      <c r="Q161" s="231" t="s">
        <v>228</v>
      </c>
      <c r="R161" s="228" t="s">
        <v>24</v>
      </c>
      <c r="S161" s="228"/>
      <c r="T161" s="232" t="s">
        <v>120</v>
      </c>
      <c r="U161" s="228" t="s">
        <v>1147</v>
      </c>
      <c r="V161" s="232" t="s">
        <v>120</v>
      </c>
      <c r="W161" s="228"/>
      <c r="X161" s="232" t="s">
        <v>120</v>
      </c>
      <c r="Y161" s="228" t="s">
        <v>1152</v>
      </c>
      <c r="Z161" s="233" t="s">
        <v>120</v>
      </c>
      <c r="AA161" s="234"/>
      <c r="AB161" s="234"/>
      <c r="AC161" s="235" t="s">
        <v>123</v>
      </c>
      <c r="AD161" s="228" t="s">
        <v>1153</v>
      </c>
      <c r="AE161" s="232" t="s">
        <v>120</v>
      </c>
      <c r="AF161" s="229" t="s">
        <v>1133</v>
      </c>
      <c r="AG161" s="236"/>
      <c r="AH161" s="236"/>
      <c r="AI161" s="228" t="s">
        <v>1144</v>
      </c>
      <c r="AJ161" s="232" t="s">
        <v>120</v>
      </c>
      <c r="AK161" s="228" t="s">
        <v>123</v>
      </c>
      <c r="AL161" s="228" t="s">
        <v>1135</v>
      </c>
      <c r="AM161" s="232"/>
      <c r="AN161" s="228"/>
      <c r="AO161" s="228"/>
      <c r="AP161" s="237"/>
      <c r="AQ161" s="228"/>
      <c r="AR161" s="232"/>
      <c r="AS161" s="228"/>
      <c r="AT161" s="229">
        <v>43438.482055208297</v>
      </c>
      <c r="AU161" s="229">
        <v>43439.507187962998</v>
      </c>
      <c r="AV161" s="229">
        <v>43438.692457060199</v>
      </c>
      <c r="AW161" s="229">
        <v>43438.482055208297</v>
      </c>
      <c r="AX161" s="229">
        <v>43438.738751504599</v>
      </c>
      <c r="AY161" s="229">
        <v>43437.702626157399</v>
      </c>
      <c r="AZ161" s="238">
        <v>43441.389732523101</v>
      </c>
      <c r="BA161" s="1" t="s">
        <v>7684</v>
      </c>
      <c r="BB161">
        <v>160</v>
      </c>
      <c r="BC161">
        <v>60</v>
      </c>
      <c r="BD161">
        <v>1861</v>
      </c>
      <c r="BE16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4.3897325231009745</v>
      </c>
      <c r="BF161" s="240">
        <f>COUNTIFS(_05preva_view43[Site ID],_05preva_view43[[#This Row],[Site ID]],_05preva_view43[Prevalidation Status],"Under Prevalidation")</f>
        <v>0</v>
      </c>
      <c r="BG16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1" s="242" t="str">
        <f>CONCATENATE(_05preva_view43[[#This Row],[Site ID]]," (",_05preva_view43[[#This Row],[tenant id]],") Application",IF(_05preva_view43[[#This Row],[Colo Rev]]&gt;0," Rev "&amp;_05preva_view43[[#This Row],[Colo Rev]],""),".xlsx")</f>
        <v>ANMD_0071 (MDYAMPR014) Application Rev 0.xlsx</v>
      </c>
      <c r="BI161" s="64" t="e">
        <f t="shared" ca="1" si="3"/>
        <v>#VALUE!</v>
      </c>
      <c r="BJ161" s="104" t="e">
        <f ca="1">LEFT(CELL("filename",A146),_05preva_view43[[#This Row],[Find Process &amp; Database]]-1)</f>
        <v>#VALUE!</v>
      </c>
      <c r="BK161" s="104" t="e">
        <f ca="1">_05preva_view43[Folder Path1]&amp;"Process &amp; Database\Documentation\Colo Applications"</f>
        <v>#VALUE!</v>
      </c>
      <c r="BL161" s="104" t="e">
        <f ca="1">_05preva_view43[Folder Path2]&amp;"\Colo App "&amp;_05preva_view43[[#This Row],[Operator]]&amp;"\"</f>
        <v>#VALUE!</v>
      </c>
      <c r="BM161" s="63" t="e">
        <f ca="1">_05preva_view43[[#This Row],[Folder Path3]]&amp;_05preva_view43[[#This Row],[File Name]]</f>
        <v>#VALUE!</v>
      </c>
      <c r="BN161" s="104"/>
      <c r="CF161" s="5"/>
      <c r="CG161" s="5"/>
      <c r="CH161" s="3"/>
      <c r="CJ161" s="5"/>
      <c r="CN161" s="3"/>
      <c r="CO161" s="3"/>
      <c r="CP161" s="5"/>
      <c r="CR161" s="3"/>
      <c r="DN161" s="5"/>
      <c r="DP161" s="3"/>
      <c r="EB161" s="7"/>
      <c r="EC161" s="7"/>
      <c r="EF161" s="4"/>
      <c r="EG161" s="4"/>
      <c r="EQ161" s="2"/>
      <c r="ER161" s="2"/>
    </row>
    <row r="162" spans="1:148">
      <c r="A162" s="227">
        <v>3467</v>
      </c>
      <c r="B162" s="228" t="s">
        <v>1154</v>
      </c>
      <c r="C162" s="228" t="s">
        <v>116</v>
      </c>
      <c r="D162" s="228" t="s">
        <v>127</v>
      </c>
      <c r="E162" s="228" t="s">
        <v>1155</v>
      </c>
      <c r="F162" s="228" t="s">
        <v>41</v>
      </c>
      <c r="G162" s="228" t="s">
        <v>1129</v>
      </c>
      <c r="H162" s="228" t="s">
        <v>1037</v>
      </c>
      <c r="I162" s="228" t="s">
        <v>880</v>
      </c>
      <c r="J162" s="228" t="s">
        <v>677</v>
      </c>
      <c r="K162" s="229">
        <v>43437</v>
      </c>
      <c r="L162" s="230"/>
      <c r="M162" s="230">
        <v>2.5</v>
      </c>
      <c r="N162" s="228">
        <v>3</v>
      </c>
      <c r="O162" s="228" t="s">
        <v>119</v>
      </c>
      <c r="P162" s="231" t="s">
        <v>780</v>
      </c>
      <c r="Q162" s="231" t="s">
        <v>221</v>
      </c>
      <c r="R162" s="228" t="s">
        <v>24</v>
      </c>
      <c r="S162" s="228"/>
      <c r="T162" s="232" t="s">
        <v>120</v>
      </c>
      <c r="U162" s="228" t="s">
        <v>1147</v>
      </c>
      <c r="V162" s="232" t="s">
        <v>120</v>
      </c>
      <c r="W162" s="228"/>
      <c r="X162" s="232" t="s">
        <v>120</v>
      </c>
      <c r="Y162" s="228" t="s">
        <v>1156</v>
      </c>
      <c r="Z162" s="233" t="s">
        <v>120</v>
      </c>
      <c r="AA162" s="234"/>
      <c r="AB162" s="234"/>
      <c r="AC162" s="235" t="s">
        <v>123</v>
      </c>
      <c r="AD162" s="228" t="s">
        <v>1157</v>
      </c>
      <c r="AE162" s="232" t="s">
        <v>120</v>
      </c>
      <c r="AF162" s="229" t="s">
        <v>1133</v>
      </c>
      <c r="AG162" s="236"/>
      <c r="AH162" s="236"/>
      <c r="AI162" s="228" t="s">
        <v>1134</v>
      </c>
      <c r="AJ162" s="232" t="s">
        <v>120</v>
      </c>
      <c r="AK162" s="228" t="s">
        <v>123</v>
      </c>
      <c r="AL162" s="228" t="s">
        <v>1135</v>
      </c>
      <c r="AM162" s="232"/>
      <c r="AN162" s="228"/>
      <c r="AO162" s="228"/>
      <c r="AP162" s="237"/>
      <c r="AQ162" s="228"/>
      <c r="AR162" s="232"/>
      <c r="AS162" s="228"/>
      <c r="AT162" s="229">
        <v>43438.482056713001</v>
      </c>
      <c r="AU162" s="229">
        <v>43439.507189120399</v>
      </c>
      <c r="AV162" s="229">
        <v>43438.692457986101</v>
      </c>
      <c r="AW162" s="229">
        <v>43438.482056713001</v>
      </c>
      <c r="AX162" s="229">
        <v>43438.738754629601</v>
      </c>
      <c r="AY162" s="229">
        <v>43437.702628009298</v>
      </c>
      <c r="AZ162" s="238">
        <v>43441.389733217598</v>
      </c>
      <c r="BA162" s="1" t="s">
        <v>7684</v>
      </c>
      <c r="BB162">
        <v>160</v>
      </c>
      <c r="BC162">
        <v>45</v>
      </c>
      <c r="BD162">
        <v>1870</v>
      </c>
      <c r="BE16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4.3897332175984047</v>
      </c>
      <c r="BF162" s="240">
        <f>COUNTIFS(_05preva_view43[Site ID],_05preva_view43[[#This Row],[Site ID]],_05preva_view43[Prevalidation Status],"Under Prevalidation")</f>
        <v>0</v>
      </c>
      <c r="BG16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2" s="242" t="str">
        <f>CONCATENATE(_05preva_view43[[#This Row],[Site ID]]," (",_05preva_view43[[#This Row],[tenant id]],") Application",IF(_05preva_view43[[#This Row],[Colo Rev]]&gt;0," Rev "&amp;_05preva_view43[[#This Row],[Colo Rev]],""),".xlsx")</f>
        <v>ANMD_0077 (MDYAMPR015) Application Rev 0.xlsx</v>
      </c>
      <c r="BI162" s="64" t="e">
        <f t="shared" ca="1" si="3"/>
        <v>#VALUE!</v>
      </c>
      <c r="BJ162" s="104" t="e">
        <f ca="1">LEFT(CELL("filename",A147),_05preva_view43[[#This Row],[Find Process &amp; Database]]-1)</f>
        <v>#VALUE!</v>
      </c>
      <c r="BK162" s="104" t="e">
        <f ca="1">_05preva_view43[Folder Path1]&amp;"Process &amp; Database\Documentation\Colo Applications"</f>
        <v>#VALUE!</v>
      </c>
      <c r="BL162" s="104" t="e">
        <f ca="1">_05preva_view43[Folder Path2]&amp;"\Colo App "&amp;_05preva_view43[[#This Row],[Operator]]&amp;"\"</f>
        <v>#VALUE!</v>
      </c>
      <c r="BM162" s="63" t="e">
        <f ca="1">_05preva_view43[[#This Row],[Folder Path3]]&amp;_05preva_view43[[#This Row],[File Name]]</f>
        <v>#VALUE!</v>
      </c>
      <c r="BN162" s="104"/>
      <c r="CF162" s="5"/>
      <c r="CG162" s="5"/>
      <c r="CH162" s="3"/>
      <c r="CJ162" s="5"/>
      <c r="CN162" s="3"/>
      <c r="CO162" s="3"/>
      <c r="CP162" s="5"/>
      <c r="CR162" s="3"/>
      <c r="DN162" s="5"/>
      <c r="DP162" s="3"/>
      <c r="EB162" s="7"/>
      <c r="EC162" s="7"/>
      <c r="EF162" s="4"/>
      <c r="EG162" s="4"/>
      <c r="EQ162" s="2"/>
      <c r="ER162" s="2"/>
    </row>
    <row r="163" spans="1:148">
      <c r="A163" s="227">
        <v>3468</v>
      </c>
      <c r="B163" s="228" t="s">
        <v>449</v>
      </c>
      <c r="C163" s="228" t="s">
        <v>116</v>
      </c>
      <c r="D163" s="228" t="s">
        <v>127</v>
      </c>
      <c r="E163" s="228" t="s">
        <v>1158</v>
      </c>
      <c r="F163" s="228" t="s">
        <v>41</v>
      </c>
      <c r="G163" s="228" t="s">
        <v>1129</v>
      </c>
      <c r="H163" s="228" t="s">
        <v>1037</v>
      </c>
      <c r="I163" s="228" t="s">
        <v>880</v>
      </c>
      <c r="J163" s="228" t="s">
        <v>677</v>
      </c>
      <c r="K163" s="229">
        <v>43437</v>
      </c>
      <c r="L163" s="230"/>
      <c r="M163" s="230">
        <v>2</v>
      </c>
      <c r="N163" s="228">
        <v>3</v>
      </c>
      <c r="O163" s="228" t="s">
        <v>119</v>
      </c>
      <c r="P163" s="231" t="s">
        <v>780</v>
      </c>
      <c r="Q163" s="231" t="s">
        <v>1159</v>
      </c>
      <c r="R163" s="228" t="s">
        <v>24</v>
      </c>
      <c r="S163" s="228"/>
      <c r="T163" s="232" t="s">
        <v>120</v>
      </c>
      <c r="U163" s="228" t="s">
        <v>1130</v>
      </c>
      <c r="V163" s="232" t="s">
        <v>120</v>
      </c>
      <c r="W163" s="228"/>
      <c r="X163" s="232" t="s">
        <v>120</v>
      </c>
      <c r="Y163" s="228" t="s">
        <v>1160</v>
      </c>
      <c r="Z163" s="233" t="s">
        <v>120</v>
      </c>
      <c r="AA163" s="234"/>
      <c r="AB163" s="234"/>
      <c r="AC163" s="235" t="s">
        <v>123</v>
      </c>
      <c r="AD163" s="228" t="s">
        <v>1161</v>
      </c>
      <c r="AE163" s="232" t="s">
        <v>120</v>
      </c>
      <c r="AF163" s="229" t="s">
        <v>1133</v>
      </c>
      <c r="AG163" s="236"/>
      <c r="AH163" s="236"/>
      <c r="AI163" s="228" t="s">
        <v>1144</v>
      </c>
      <c r="AJ163" s="232" t="s">
        <v>120</v>
      </c>
      <c r="AK163" s="228" t="s">
        <v>123</v>
      </c>
      <c r="AL163" s="228" t="s">
        <v>1135</v>
      </c>
      <c r="AM163" s="232"/>
      <c r="AN163" s="228"/>
      <c r="AO163" s="228"/>
      <c r="AP163" s="237"/>
      <c r="AQ163" s="228"/>
      <c r="AR163" s="232"/>
      <c r="AS163" s="228"/>
      <c r="AT163" s="229">
        <v>43438.482057986097</v>
      </c>
      <c r="AU163" s="229">
        <v>43439.507190625001</v>
      </c>
      <c r="AV163" s="229">
        <v>43438.692459953701</v>
      </c>
      <c r="AW163" s="229">
        <v>43438.482057986097</v>
      </c>
      <c r="AX163" s="229">
        <v>43438.738757407402</v>
      </c>
      <c r="AY163" s="229">
        <v>43437.702629976899</v>
      </c>
      <c r="AZ163" s="238">
        <v>43441.389734722201</v>
      </c>
      <c r="BA163" s="1" t="s">
        <v>7684</v>
      </c>
      <c r="BB163"/>
      <c r="BC163">
        <v>60</v>
      </c>
      <c r="BD163">
        <v>824</v>
      </c>
      <c r="BE16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4.3897347222009557</v>
      </c>
      <c r="BF163" s="240">
        <f>COUNTIFS(_05preva_view43[Site ID],_05preva_view43[[#This Row],[Site ID]],_05preva_view43[Prevalidation Status],"Under Prevalidation")</f>
        <v>0</v>
      </c>
      <c r="BG16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3" s="242" t="str">
        <f>CONCATENATE(_05preva_view43[[#This Row],[Site ID]]," (",_05preva_view43[[#This Row],[tenant id]],") Application",IF(_05preva_view43[[#This Row],[Colo Rev]]&gt;0," Rev "&amp;_05preva_view43[[#This Row],[Colo Rev]],""),".xlsx")</f>
        <v>ANMD_0266 (MDYPGTG020) Application Rev 0.xlsx</v>
      </c>
      <c r="BI163" s="64" t="e">
        <f t="shared" ca="1" si="3"/>
        <v>#VALUE!</v>
      </c>
      <c r="BJ163" s="104" t="e">
        <f ca="1">LEFT(CELL("filename",A148),_05preva_view43[[#This Row],[Find Process &amp; Database]]-1)</f>
        <v>#VALUE!</v>
      </c>
      <c r="BK163" s="104" t="e">
        <f ca="1">_05preva_view43[Folder Path1]&amp;"Process &amp; Database\Documentation\Colo Applications"</f>
        <v>#VALUE!</v>
      </c>
      <c r="BL163" s="104" t="e">
        <f ca="1">_05preva_view43[Folder Path2]&amp;"\Colo App "&amp;_05preva_view43[[#This Row],[Operator]]&amp;"\"</f>
        <v>#VALUE!</v>
      </c>
      <c r="BM163" s="63" t="e">
        <f ca="1">_05preva_view43[[#This Row],[Folder Path3]]&amp;_05preva_view43[[#This Row],[File Name]]</f>
        <v>#VALUE!</v>
      </c>
      <c r="BN163" s="104"/>
      <c r="CF163" s="5"/>
      <c r="CG163" s="5"/>
      <c r="CH163" s="3"/>
      <c r="CJ163" s="5"/>
      <c r="CN163" s="3"/>
      <c r="CO163" s="3"/>
      <c r="CP163" s="5"/>
      <c r="CR163" s="3"/>
      <c r="DN163" s="5"/>
      <c r="DP163" s="3"/>
      <c r="EB163" s="7"/>
      <c r="EC163" s="7"/>
      <c r="EF163" s="4"/>
      <c r="EG163" s="4"/>
      <c r="EQ163" s="2"/>
      <c r="ER163" s="2"/>
    </row>
    <row r="164" spans="1:148">
      <c r="A164" s="227">
        <v>3469</v>
      </c>
      <c r="B164" s="228" t="s">
        <v>1162</v>
      </c>
      <c r="C164" s="228" t="s">
        <v>116</v>
      </c>
      <c r="D164" s="228" t="s">
        <v>127</v>
      </c>
      <c r="E164" s="228" t="s">
        <v>1163</v>
      </c>
      <c r="F164" s="228" t="s">
        <v>41</v>
      </c>
      <c r="G164" s="228" t="s">
        <v>1129</v>
      </c>
      <c r="H164" s="228" t="s">
        <v>1037</v>
      </c>
      <c r="I164" s="228" t="s">
        <v>880</v>
      </c>
      <c r="J164" s="228" t="s">
        <v>677</v>
      </c>
      <c r="K164" s="229">
        <v>43437</v>
      </c>
      <c r="L164" s="230"/>
      <c r="M164" s="230">
        <v>2</v>
      </c>
      <c r="N164" s="228">
        <v>3</v>
      </c>
      <c r="O164" s="228" t="s">
        <v>119</v>
      </c>
      <c r="P164" s="231" t="s">
        <v>1164</v>
      </c>
      <c r="Q164" s="231" t="s">
        <v>533</v>
      </c>
      <c r="R164" s="228" t="s">
        <v>24</v>
      </c>
      <c r="S164" s="228"/>
      <c r="T164" s="232" t="s">
        <v>120</v>
      </c>
      <c r="U164" s="228" t="s">
        <v>1130</v>
      </c>
      <c r="V164" s="232" t="s">
        <v>120</v>
      </c>
      <c r="W164" s="228"/>
      <c r="X164" s="232" t="s">
        <v>120</v>
      </c>
      <c r="Y164" s="228" t="s">
        <v>1165</v>
      </c>
      <c r="Z164" s="233" t="s">
        <v>120</v>
      </c>
      <c r="AA164" s="234"/>
      <c r="AB164" s="234"/>
      <c r="AC164" s="235" t="s">
        <v>123</v>
      </c>
      <c r="AD164" s="228" t="s">
        <v>1166</v>
      </c>
      <c r="AE164" s="232" t="s">
        <v>120</v>
      </c>
      <c r="AF164" s="229" t="s">
        <v>1133</v>
      </c>
      <c r="AG164" s="236"/>
      <c r="AH164" s="236"/>
      <c r="AI164" s="228" t="s">
        <v>1144</v>
      </c>
      <c r="AJ164" s="232" t="s">
        <v>120</v>
      </c>
      <c r="AK164" s="228" t="s">
        <v>123</v>
      </c>
      <c r="AL164" s="228" t="s">
        <v>1135</v>
      </c>
      <c r="AM164" s="232"/>
      <c r="AN164" s="228"/>
      <c r="AO164" s="228"/>
      <c r="AP164" s="237"/>
      <c r="AQ164" s="228"/>
      <c r="AR164" s="232"/>
      <c r="AS164" s="228"/>
      <c r="AT164" s="229">
        <v>43438.482059259302</v>
      </c>
      <c r="AU164" s="229">
        <v>43439.507191782403</v>
      </c>
      <c r="AV164" s="229">
        <v>43438.692460763901</v>
      </c>
      <c r="AW164" s="229">
        <v>43438.482059259302</v>
      </c>
      <c r="AX164" s="229">
        <v>43438.738761342604</v>
      </c>
      <c r="AY164" s="229">
        <v>43437.702630439802</v>
      </c>
      <c r="AZ164" s="238">
        <v>43441.3897363426</v>
      </c>
      <c r="BA164" s="1" t="s">
        <v>7684</v>
      </c>
      <c r="BB164"/>
      <c r="BC164">
        <v>35</v>
      </c>
      <c r="BD164">
        <v>1887</v>
      </c>
      <c r="BE16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4.3897363426003722</v>
      </c>
      <c r="BF164" s="240">
        <f>COUNTIFS(_05preva_view43[Site ID],_05preva_view43[[#This Row],[Site ID]],_05preva_view43[Prevalidation Status],"Under Prevalidation")</f>
        <v>0</v>
      </c>
      <c r="BG16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4" s="242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0.xlsx</v>
      </c>
      <c r="BI164" s="64" t="e">
        <f t="shared" ca="1" si="3"/>
        <v>#VALUE!</v>
      </c>
      <c r="BJ164" s="104" t="e">
        <f ca="1">LEFT(CELL("filename",A149),_05preva_view43[[#This Row],[Find Process &amp; Database]]-1)</f>
        <v>#VALUE!</v>
      </c>
      <c r="BK164" s="104" t="e">
        <f ca="1">_05preva_view43[Folder Path1]&amp;"Process &amp; Database\Documentation\Colo Applications"</f>
        <v>#VALUE!</v>
      </c>
      <c r="BL164" s="104" t="e">
        <f ca="1">_05preva_view43[Folder Path2]&amp;"\Colo App "&amp;_05preva_view43[[#This Row],[Operator]]&amp;"\"</f>
        <v>#VALUE!</v>
      </c>
      <c r="BM164" s="63" t="e">
        <f ca="1">_05preva_view43[[#This Row],[Folder Path3]]&amp;_05preva_view43[[#This Row],[File Name]]</f>
        <v>#VALUE!</v>
      </c>
      <c r="BN164" s="104"/>
      <c r="CF164" s="5"/>
      <c r="CG164" s="5"/>
      <c r="CH164" s="3"/>
      <c r="CJ164" s="5"/>
      <c r="CN164" s="3"/>
      <c r="CO164" s="3"/>
      <c r="CP164" s="5"/>
      <c r="CR164" s="3"/>
      <c r="DN164" s="5"/>
      <c r="DP164" s="3"/>
      <c r="EB164" s="7"/>
      <c r="EC164" s="7"/>
      <c r="EF164" s="4"/>
      <c r="EG164" s="4"/>
      <c r="EQ164" s="2"/>
      <c r="ER164" s="2"/>
    </row>
    <row r="165" spans="1:148">
      <c r="A165" s="227">
        <v>3470</v>
      </c>
      <c r="B165" s="228" t="s">
        <v>451</v>
      </c>
      <c r="C165" s="228" t="s">
        <v>116</v>
      </c>
      <c r="D165" s="228" t="s">
        <v>127</v>
      </c>
      <c r="E165" s="228" t="s">
        <v>1167</v>
      </c>
      <c r="F165" s="228" t="s">
        <v>41</v>
      </c>
      <c r="G165" s="228" t="s">
        <v>1129</v>
      </c>
      <c r="H165" s="228" t="s">
        <v>1037</v>
      </c>
      <c r="I165" s="228" t="s">
        <v>880</v>
      </c>
      <c r="J165" s="228" t="s">
        <v>677</v>
      </c>
      <c r="K165" s="229">
        <v>43437</v>
      </c>
      <c r="L165" s="230"/>
      <c r="M165" s="230">
        <v>2</v>
      </c>
      <c r="N165" s="228">
        <v>3</v>
      </c>
      <c r="O165" s="228" t="s">
        <v>119</v>
      </c>
      <c r="P165" s="231" t="s">
        <v>1164</v>
      </c>
      <c r="Q165" s="231" t="s">
        <v>533</v>
      </c>
      <c r="R165" s="228" t="s">
        <v>24</v>
      </c>
      <c r="S165" s="228"/>
      <c r="T165" s="232" t="s">
        <v>120</v>
      </c>
      <c r="U165" s="228" t="s">
        <v>1130</v>
      </c>
      <c r="V165" s="232" t="s">
        <v>120</v>
      </c>
      <c r="W165" s="228"/>
      <c r="X165" s="232" t="s">
        <v>120</v>
      </c>
      <c r="Y165" s="228" t="s">
        <v>1168</v>
      </c>
      <c r="Z165" s="233" t="s">
        <v>120</v>
      </c>
      <c r="AA165" s="234"/>
      <c r="AB165" s="234"/>
      <c r="AC165" s="235" t="s">
        <v>123</v>
      </c>
      <c r="AD165" s="228" t="s">
        <v>1169</v>
      </c>
      <c r="AE165" s="232" t="s">
        <v>120</v>
      </c>
      <c r="AF165" s="229" t="s">
        <v>1133</v>
      </c>
      <c r="AG165" s="236"/>
      <c r="AH165" s="236"/>
      <c r="AI165" s="228" t="s">
        <v>1144</v>
      </c>
      <c r="AJ165" s="232" t="s">
        <v>120</v>
      </c>
      <c r="AK165" s="228" t="s">
        <v>123</v>
      </c>
      <c r="AL165" s="228" t="s">
        <v>1135</v>
      </c>
      <c r="AM165" s="232"/>
      <c r="AN165" s="228"/>
      <c r="AO165" s="228"/>
      <c r="AP165" s="237"/>
      <c r="AQ165" s="228"/>
      <c r="AR165" s="232"/>
      <c r="AS165" s="228"/>
      <c r="AT165" s="229">
        <v>43438.482060416703</v>
      </c>
      <c r="AU165" s="229">
        <v>43439.507193402802</v>
      </c>
      <c r="AV165" s="229">
        <v>43438.692462384301</v>
      </c>
      <c r="AW165" s="229">
        <v>43438.482060416703</v>
      </c>
      <c r="AX165" s="229">
        <v>43438.7387640046</v>
      </c>
      <c r="AY165" s="229">
        <v>43437.702632060202</v>
      </c>
      <c r="AZ165" s="238">
        <v>43441.389737037003</v>
      </c>
      <c r="BA165" s="1" t="s">
        <v>7684</v>
      </c>
      <c r="BB165"/>
      <c r="BC165">
        <v>35</v>
      </c>
      <c r="BD165">
        <v>1897</v>
      </c>
      <c r="BE16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4.3897370370032149</v>
      </c>
      <c r="BF165" s="240">
        <f>COUNTIFS(_05preva_view43[Site ID],_05preva_view43[[#This Row],[Site ID]],_05preva_view43[Prevalidation Status],"Under Prevalidation")</f>
        <v>0</v>
      </c>
      <c r="BG16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5" s="242" t="str">
        <f>CONCATENATE(_05preva_view43[[#This Row],[Site ID]]," (",_05preva_view43[[#This Row],[tenant id]],") Application",IF(_05preva_view43[[#This Row],[Colo Rev]]&gt;0," Rev "&amp;_05preva_view43[[#This Row],[Colo Rev]],""),".xlsx")</f>
        <v>ANMD_0167 (MDYPGTG036) Application Rev 0.xlsx</v>
      </c>
      <c r="BI165" s="64" t="e">
        <f t="shared" ca="1" si="3"/>
        <v>#VALUE!</v>
      </c>
      <c r="BJ165" s="104" t="e">
        <f ca="1">LEFT(CELL("filename",A150),_05preva_view43[[#This Row],[Find Process &amp; Database]]-1)</f>
        <v>#VALUE!</v>
      </c>
      <c r="BK165" s="104" t="e">
        <f ca="1">_05preva_view43[Folder Path1]&amp;"Process &amp; Database\Documentation\Colo Applications"</f>
        <v>#VALUE!</v>
      </c>
      <c r="BL165" s="104" t="e">
        <f ca="1">_05preva_view43[Folder Path2]&amp;"\Colo App "&amp;_05preva_view43[[#This Row],[Operator]]&amp;"\"</f>
        <v>#VALUE!</v>
      </c>
      <c r="BM165" s="63" t="e">
        <f ca="1">_05preva_view43[[#This Row],[Folder Path3]]&amp;_05preva_view43[[#This Row],[File Name]]</f>
        <v>#VALUE!</v>
      </c>
      <c r="BN165" s="104"/>
      <c r="CF165" s="5"/>
      <c r="CG165" s="5"/>
      <c r="CH165" s="3"/>
      <c r="CJ165" s="5"/>
      <c r="CN165" s="3"/>
      <c r="CO165" s="3"/>
      <c r="CP165" s="5"/>
      <c r="CR165" s="3"/>
      <c r="DN165" s="5"/>
      <c r="DP165" s="3"/>
      <c r="EB165" s="7"/>
      <c r="EC165" s="7"/>
      <c r="EF165" s="4"/>
      <c r="EG165" s="4"/>
      <c r="EQ165" s="2"/>
      <c r="ER165" s="2"/>
    </row>
    <row r="166" spans="1:148">
      <c r="A166" s="227">
        <v>3471</v>
      </c>
      <c r="B166" s="228" t="s">
        <v>1170</v>
      </c>
      <c r="C166" s="228" t="s">
        <v>116</v>
      </c>
      <c r="D166" s="228" t="s">
        <v>127</v>
      </c>
      <c r="E166" s="228" t="s">
        <v>1171</v>
      </c>
      <c r="F166" s="228" t="s">
        <v>41</v>
      </c>
      <c r="G166" s="228" t="s">
        <v>1129</v>
      </c>
      <c r="H166" s="228" t="s">
        <v>1037</v>
      </c>
      <c r="I166" s="228" t="s">
        <v>880</v>
      </c>
      <c r="J166" s="228" t="s">
        <v>677</v>
      </c>
      <c r="K166" s="229">
        <v>43437</v>
      </c>
      <c r="L166" s="230"/>
      <c r="M166" s="230">
        <v>2.5</v>
      </c>
      <c r="N166" s="228">
        <v>5</v>
      </c>
      <c r="O166" s="228" t="s">
        <v>119</v>
      </c>
      <c r="P166" s="231" t="s">
        <v>1172</v>
      </c>
      <c r="Q166" s="231" t="s">
        <v>292</v>
      </c>
      <c r="R166" s="228" t="s">
        <v>24</v>
      </c>
      <c r="S166" s="228"/>
      <c r="T166" s="232" t="s">
        <v>120</v>
      </c>
      <c r="U166" s="228" t="s">
        <v>1130</v>
      </c>
      <c r="V166" s="232" t="s">
        <v>120</v>
      </c>
      <c r="W166" s="228"/>
      <c r="X166" s="232" t="s">
        <v>120</v>
      </c>
      <c r="Y166" s="228" t="s">
        <v>1173</v>
      </c>
      <c r="Z166" s="233" t="s">
        <v>120</v>
      </c>
      <c r="AA166" s="234"/>
      <c r="AB166" s="234"/>
      <c r="AC166" s="235" t="s">
        <v>123</v>
      </c>
      <c r="AD166" s="228" t="s">
        <v>1174</v>
      </c>
      <c r="AE166" s="232" t="s">
        <v>120</v>
      </c>
      <c r="AF166" s="229" t="s">
        <v>1133</v>
      </c>
      <c r="AG166" s="236"/>
      <c r="AH166" s="236"/>
      <c r="AI166" s="228" t="s">
        <v>1144</v>
      </c>
      <c r="AJ166" s="232" t="s">
        <v>120</v>
      </c>
      <c r="AK166" s="228" t="s">
        <v>123</v>
      </c>
      <c r="AL166" s="228" t="s">
        <v>1135</v>
      </c>
      <c r="AM166" s="232"/>
      <c r="AN166" s="228"/>
      <c r="AO166" s="228"/>
      <c r="AP166" s="237"/>
      <c r="AQ166" s="228"/>
      <c r="AR166" s="232"/>
      <c r="AS166" s="228"/>
      <c r="AT166" s="229">
        <v>43438.482061921299</v>
      </c>
      <c r="AU166" s="229">
        <v>43439.507194560203</v>
      </c>
      <c r="AV166" s="229">
        <v>43438.692463310203</v>
      </c>
      <c r="AW166" s="229">
        <v>43438.482061921299</v>
      </c>
      <c r="AX166" s="229">
        <v>43438.738765856499</v>
      </c>
      <c r="AY166" s="229">
        <v>43437.702632407403</v>
      </c>
      <c r="AZ166" s="238">
        <v>43441.389737731501</v>
      </c>
      <c r="BA166" s="1" t="s">
        <v>7684</v>
      </c>
      <c r="BB166"/>
      <c r="BC166">
        <v>35</v>
      </c>
      <c r="BD166">
        <v>1912</v>
      </c>
      <c r="BE16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4.3897377315006452</v>
      </c>
      <c r="BF166" s="240">
        <f>COUNTIFS(_05preva_view43[Site ID],_05preva_view43[[#This Row],[Site ID]],_05preva_view43[Prevalidation Status],"Under Prevalidation")</f>
        <v>0</v>
      </c>
      <c r="BG16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6" s="242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0.xlsx</v>
      </c>
      <c r="BI166" s="64" t="e">
        <f t="shared" ca="1" si="3"/>
        <v>#VALUE!</v>
      </c>
      <c r="BJ166" s="104" t="e">
        <f ca="1">LEFT(CELL("filename",A151),_05preva_view43[[#This Row],[Find Process &amp; Database]]-1)</f>
        <v>#VALUE!</v>
      </c>
      <c r="BK166" s="104" t="e">
        <f ca="1">_05preva_view43[Folder Path1]&amp;"Process &amp; Database\Documentation\Colo Applications"</f>
        <v>#VALUE!</v>
      </c>
      <c r="BL166" s="104" t="e">
        <f ca="1">_05preva_view43[Folder Path2]&amp;"\Colo App "&amp;_05preva_view43[[#This Row],[Operator]]&amp;"\"</f>
        <v>#VALUE!</v>
      </c>
      <c r="BM166" s="63" t="e">
        <f ca="1">_05preva_view43[[#This Row],[Folder Path3]]&amp;_05preva_view43[[#This Row],[File Name]]</f>
        <v>#VALUE!</v>
      </c>
      <c r="BN166" s="104"/>
      <c r="CF166" s="5"/>
      <c r="CG166" s="5"/>
      <c r="CH166" s="3"/>
      <c r="CJ166" s="5"/>
      <c r="CN166" s="3"/>
      <c r="CO166" s="3"/>
      <c r="CP166" s="5"/>
      <c r="CR166" s="3"/>
      <c r="DN166" s="5"/>
      <c r="DP166" s="3"/>
      <c r="EB166" s="7"/>
      <c r="EC166" s="7"/>
      <c r="EF166" s="4"/>
      <c r="EG166" s="4"/>
      <c r="EQ166" s="2"/>
      <c r="ER166" s="2"/>
    </row>
    <row r="167" spans="1:148">
      <c r="A167" s="227">
        <v>3472</v>
      </c>
      <c r="B167" s="228" t="s">
        <v>1175</v>
      </c>
      <c r="C167" s="228" t="s">
        <v>116</v>
      </c>
      <c r="D167" s="228" t="s">
        <v>153</v>
      </c>
      <c r="E167" s="228" t="s">
        <v>1176</v>
      </c>
      <c r="F167" s="228" t="s">
        <v>35</v>
      </c>
      <c r="G167" s="228" t="s">
        <v>1287</v>
      </c>
      <c r="H167" s="228" t="s">
        <v>1285</v>
      </c>
      <c r="I167" s="228" t="s">
        <v>928</v>
      </c>
      <c r="J167" s="228" t="s">
        <v>686</v>
      </c>
      <c r="K167" s="229">
        <v>43437</v>
      </c>
      <c r="L167" s="230">
        <v>1.44</v>
      </c>
      <c r="M167" s="230">
        <v>1.8</v>
      </c>
      <c r="N167" s="228"/>
      <c r="O167" s="228" t="s">
        <v>119</v>
      </c>
      <c r="P167" s="231" t="s">
        <v>227</v>
      </c>
      <c r="Q167" s="231" t="s">
        <v>228</v>
      </c>
      <c r="R167" s="228" t="s">
        <v>24</v>
      </c>
      <c r="S167" s="228"/>
      <c r="T167" s="232" t="s">
        <v>120</v>
      </c>
      <c r="U167" s="228" t="s">
        <v>1177</v>
      </c>
      <c r="V167" s="232" t="s">
        <v>120</v>
      </c>
      <c r="W167" s="228"/>
      <c r="X167" s="232" t="s">
        <v>120</v>
      </c>
      <c r="Y167" s="228" t="s">
        <v>1178</v>
      </c>
      <c r="Z167" s="233" t="s">
        <v>120</v>
      </c>
      <c r="AA167" s="234"/>
      <c r="AB167" s="234"/>
      <c r="AC167" s="235" t="s">
        <v>123</v>
      </c>
      <c r="AD167" s="228" t="s">
        <v>1450</v>
      </c>
      <c r="AE167" s="232" t="s">
        <v>120</v>
      </c>
      <c r="AF167" s="229" t="s">
        <v>1133</v>
      </c>
      <c r="AG167" s="236"/>
      <c r="AH167" s="236"/>
      <c r="AI167" s="228" t="s">
        <v>1134</v>
      </c>
      <c r="AJ167" s="232" t="s">
        <v>120</v>
      </c>
      <c r="AK167" s="228" t="s">
        <v>123</v>
      </c>
      <c r="AL167" s="228" t="s">
        <v>935</v>
      </c>
      <c r="AM167" s="232"/>
      <c r="AN167" s="228"/>
      <c r="AO167" s="228"/>
      <c r="AP167" s="237"/>
      <c r="AQ167" s="228"/>
      <c r="AR167" s="232"/>
      <c r="AS167" s="228"/>
      <c r="AT167" s="229">
        <v>43438.482062962998</v>
      </c>
      <c r="AU167" s="229">
        <v>43440.687472800899</v>
      </c>
      <c r="AV167" s="229">
        <v>43451.650541319403</v>
      </c>
      <c r="AW167" s="229">
        <v>43438.482062962998</v>
      </c>
      <c r="AX167" s="229">
        <v>43444.484554976902</v>
      </c>
      <c r="AY167" s="229">
        <v>43437.702634027803</v>
      </c>
      <c r="AZ167" s="238">
        <v>43451.712499189802</v>
      </c>
      <c r="BA167" s="1" t="s">
        <v>7684</v>
      </c>
      <c r="BB167"/>
      <c r="BC167">
        <v>50</v>
      </c>
      <c r="BD167">
        <v>614</v>
      </c>
      <c r="BE16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14.712499189801747</v>
      </c>
      <c r="BF167" s="240">
        <f>COUNTIFS(_05preva_view43[Site ID],_05preva_view43[[#This Row],[Site ID]],_05preva_view43[Prevalidation Status],"Under Prevalidation")</f>
        <v>0</v>
      </c>
      <c r="BG16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7" s="242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2.xlsx</v>
      </c>
      <c r="BI167" s="64" t="e">
        <f t="shared" ca="1" si="3"/>
        <v>#VALUE!</v>
      </c>
      <c r="BJ167" s="104" t="e">
        <f ca="1">LEFT(CELL("filename",A152),_05preva_view43[[#This Row],[Find Process &amp; Database]]-1)</f>
        <v>#VALUE!</v>
      </c>
      <c r="BK167" s="104" t="e">
        <f ca="1">_05preva_view43[Folder Path1]&amp;"Process &amp; Database\Documentation\Colo Applications"</f>
        <v>#VALUE!</v>
      </c>
      <c r="BL167" s="104" t="e">
        <f ca="1">_05preva_view43[Folder Path2]&amp;"\Colo App "&amp;_05preva_view43[[#This Row],[Operator]]&amp;"\"</f>
        <v>#VALUE!</v>
      </c>
      <c r="BM167" s="63" t="e">
        <f ca="1">_05preva_view43[[#This Row],[Folder Path3]]&amp;_05preva_view43[[#This Row],[File Name]]</f>
        <v>#VALUE!</v>
      </c>
      <c r="BN167" s="104"/>
      <c r="CF167" s="5"/>
      <c r="CG167" s="5"/>
      <c r="CH167" s="3"/>
      <c r="CJ167" s="5"/>
      <c r="CN167" s="3"/>
      <c r="CO167" s="3"/>
      <c r="CP167" s="5"/>
      <c r="CR167" s="3"/>
      <c r="DN167" s="5"/>
      <c r="DP167" s="3"/>
      <c r="EB167" s="7"/>
      <c r="EC167" s="7"/>
      <c r="EF167" s="4"/>
      <c r="EG167" s="4"/>
      <c r="EQ167" s="2"/>
      <c r="ER167" s="2"/>
    </row>
    <row r="168" spans="1:148">
      <c r="A168" s="227">
        <v>3473</v>
      </c>
      <c r="B168" s="228" t="s">
        <v>1179</v>
      </c>
      <c r="C168" s="228" t="s">
        <v>116</v>
      </c>
      <c r="D168" s="228" t="s">
        <v>127</v>
      </c>
      <c r="E168" s="228" t="s">
        <v>1180</v>
      </c>
      <c r="F168" s="228" t="s">
        <v>41</v>
      </c>
      <c r="G168" s="228" t="s">
        <v>1129</v>
      </c>
      <c r="H168" s="228" t="s">
        <v>1037</v>
      </c>
      <c r="I168" s="228" t="s">
        <v>880</v>
      </c>
      <c r="J168" s="228" t="s">
        <v>677</v>
      </c>
      <c r="K168" s="229">
        <v>43437</v>
      </c>
      <c r="L168" s="230"/>
      <c r="M168" s="230">
        <v>2.5</v>
      </c>
      <c r="N168" s="228">
        <v>3</v>
      </c>
      <c r="O168" s="228" t="s">
        <v>119</v>
      </c>
      <c r="P168" s="231" t="s">
        <v>612</v>
      </c>
      <c r="Q168" s="231" t="s">
        <v>246</v>
      </c>
      <c r="R168" s="228" t="s">
        <v>24</v>
      </c>
      <c r="S168" s="228"/>
      <c r="T168" s="232" t="s">
        <v>615</v>
      </c>
      <c r="U168" s="228" t="s">
        <v>1181</v>
      </c>
      <c r="V168" s="232" t="s">
        <v>120</v>
      </c>
      <c r="W168" s="228"/>
      <c r="X168" s="232" t="s">
        <v>120</v>
      </c>
      <c r="Y168" s="228" t="s">
        <v>1182</v>
      </c>
      <c r="Z168" s="233" t="s">
        <v>120</v>
      </c>
      <c r="AA168" s="234"/>
      <c r="AB168" s="234"/>
      <c r="AC168" s="235" t="s">
        <v>123</v>
      </c>
      <c r="AD168" s="228" t="s">
        <v>1183</v>
      </c>
      <c r="AE168" s="232" t="s">
        <v>120</v>
      </c>
      <c r="AF168" s="229" t="s">
        <v>1133</v>
      </c>
      <c r="AG168" s="236"/>
      <c r="AH168" s="236"/>
      <c r="AI168" s="228" t="s">
        <v>1134</v>
      </c>
      <c r="AJ168" s="232" t="s">
        <v>120</v>
      </c>
      <c r="AK168" s="228" t="s">
        <v>123</v>
      </c>
      <c r="AL168" s="228" t="s">
        <v>1135</v>
      </c>
      <c r="AM168" s="232"/>
      <c r="AN168" s="228"/>
      <c r="AO168" s="228"/>
      <c r="AP168" s="237"/>
      <c r="AQ168" s="228"/>
      <c r="AR168" s="232"/>
      <c r="AS168" s="228"/>
      <c r="AT168" s="229">
        <v>43438.482064120399</v>
      </c>
      <c r="AU168" s="229">
        <v>43440.687473611099</v>
      </c>
      <c r="AV168" s="229">
        <v>43438.692468055597</v>
      </c>
      <c r="AW168" s="229">
        <v>43438.482064120399</v>
      </c>
      <c r="AX168" s="229"/>
      <c r="AY168" s="229">
        <v>43437.702634490699</v>
      </c>
      <c r="AZ168" s="238">
        <v>43482.756289814803</v>
      </c>
      <c r="BA168" s="1" t="s">
        <v>7684</v>
      </c>
      <c r="BB168">
        <v>160</v>
      </c>
      <c r="BC168">
        <v>35</v>
      </c>
      <c r="BD168">
        <v>1919</v>
      </c>
      <c r="BE16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45.756289814802585</v>
      </c>
      <c r="BF168" s="240">
        <f>COUNTIFS(_05preva_view43[Site ID],_05preva_view43[[#This Row],[Site ID]],_05preva_view43[Prevalidation Status],"Under Prevalidation")</f>
        <v>0</v>
      </c>
      <c r="BG16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8" s="242" t="str">
        <f>CONCATENATE(_05preva_view43[[#This Row],[Site ID]]," (",_05preva_view43[[#This Row],[tenant id]],") Application",IF(_05preva_view43[[#This Row],[Colo Rev]]&gt;0," Rev "&amp;_05preva_view43[[#This Row],[Colo Rev]],""),".xlsx")</f>
        <v>ANMD_0153 (MDYPTGI008) Application Rev 0.xlsx</v>
      </c>
      <c r="BI168" s="64" t="e">
        <f t="shared" ca="1" si="3"/>
        <v>#VALUE!</v>
      </c>
      <c r="BJ168" s="104" t="e">
        <f ca="1">LEFT(CELL("filename",A153),_05preva_view43[[#This Row],[Find Process &amp; Database]]-1)</f>
        <v>#VALUE!</v>
      </c>
      <c r="BK168" s="104" t="e">
        <f ca="1">_05preva_view43[Folder Path1]&amp;"Process &amp; Database\Documentation\Colo Applications"</f>
        <v>#VALUE!</v>
      </c>
      <c r="BL168" s="104" t="e">
        <f ca="1">_05preva_view43[Folder Path2]&amp;"\Colo App "&amp;_05preva_view43[[#This Row],[Operator]]&amp;"\"</f>
        <v>#VALUE!</v>
      </c>
      <c r="BM168" s="63" t="e">
        <f ca="1">_05preva_view43[[#This Row],[Folder Path3]]&amp;_05preva_view43[[#This Row],[File Name]]</f>
        <v>#VALUE!</v>
      </c>
      <c r="BN168" s="104"/>
      <c r="CF168" s="5"/>
      <c r="CG168" s="5"/>
      <c r="CH168" s="3"/>
      <c r="CJ168" s="5"/>
      <c r="CN168" s="3"/>
      <c r="CO168" s="3"/>
      <c r="CP168" s="5"/>
      <c r="CR168" s="3"/>
      <c r="DN168" s="5"/>
      <c r="DP168" s="3"/>
      <c r="EB168" s="7"/>
      <c r="EC168" s="7"/>
      <c r="EF168" s="4"/>
      <c r="EG168" s="4"/>
      <c r="EQ168" s="2"/>
      <c r="ER168" s="2"/>
    </row>
    <row r="169" spans="1:148">
      <c r="A169" s="227">
        <v>3474</v>
      </c>
      <c r="B169" s="228" t="s">
        <v>1184</v>
      </c>
      <c r="C169" s="228" t="s">
        <v>278</v>
      </c>
      <c r="D169" s="228" t="s">
        <v>127</v>
      </c>
      <c r="E169" s="228" t="s">
        <v>1185</v>
      </c>
      <c r="F169" s="228" t="s">
        <v>35</v>
      </c>
      <c r="G169" s="228" t="s">
        <v>1292</v>
      </c>
      <c r="H169" s="228" t="s">
        <v>1285</v>
      </c>
      <c r="I169" s="228" t="s">
        <v>1006</v>
      </c>
      <c r="J169" s="228" t="s">
        <v>727</v>
      </c>
      <c r="K169" s="229">
        <v>43437</v>
      </c>
      <c r="L169" s="230">
        <v>1.329</v>
      </c>
      <c r="M169" s="230">
        <v>2.1989999999999998</v>
      </c>
      <c r="N169" s="228"/>
      <c r="O169" s="228" t="s">
        <v>687</v>
      </c>
      <c r="P169" s="231" t="s">
        <v>1186</v>
      </c>
      <c r="Q169" s="231" t="s">
        <v>1187</v>
      </c>
      <c r="R169" s="228" t="s">
        <v>24</v>
      </c>
      <c r="S169" s="228"/>
      <c r="T169" s="232" t="s">
        <v>120</v>
      </c>
      <c r="U169" s="228" t="s">
        <v>982</v>
      </c>
      <c r="V169" s="232" t="s">
        <v>120</v>
      </c>
      <c r="W169" s="228"/>
      <c r="X169" s="232" t="s">
        <v>120</v>
      </c>
      <c r="Y169" s="228" t="s">
        <v>1188</v>
      </c>
      <c r="Z169" s="233" t="s">
        <v>120</v>
      </c>
      <c r="AA169" s="234"/>
      <c r="AB169" s="234"/>
      <c r="AC169" s="235" t="s">
        <v>123</v>
      </c>
      <c r="AD169" s="228" t="s">
        <v>1189</v>
      </c>
      <c r="AE169" s="232" t="s">
        <v>120</v>
      </c>
      <c r="AF169" s="229" t="s">
        <v>1451</v>
      </c>
      <c r="AG169" s="236"/>
      <c r="AH169" s="236"/>
      <c r="AI169" s="228" t="s">
        <v>1122</v>
      </c>
      <c r="AJ169" s="232" t="s">
        <v>120</v>
      </c>
      <c r="AK169" s="228" t="s">
        <v>123</v>
      </c>
      <c r="AL169" s="228" t="s">
        <v>935</v>
      </c>
      <c r="AM169" s="232"/>
      <c r="AN169" s="228"/>
      <c r="AO169" s="228"/>
      <c r="AP169" s="237"/>
      <c r="AQ169" s="228"/>
      <c r="AR169" s="232"/>
      <c r="AS169" s="228"/>
      <c r="AT169" s="229">
        <v>43438.482065046301</v>
      </c>
      <c r="AU169" s="229">
        <v>43451.370473379597</v>
      </c>
      <c r="AV169" s="229">
        <v>43441.577858912002</v>
      </c>
      <c r="AW169" s="229">
        <v>43438.482065046301</v>
      </c>
      <c r="AX169" s="229">
        <v>43438.644208564801</v>
      </c>
      <c r="AY169" s="229">
        <v>43437.694959027802</v>
      </c>
      <c r="AZ169" s="238">
        <v>43451.411460879601</v>
      </c>
      <c r="BA169" s="1" t="s">
        <v>7684</v>
      </c>
      <c r="BB169">
        <v>130</v>
      </c>
      <c r="BC169">
        <v>60</v>
      </c>
      <c r="BD169">
        <v>2972</v>
      </c>
      <c r="BE16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14.411460879600781</v>
      </c>
      <c r="BF169" s="240">
        <f>COUNTIFS(_05preva_view43[Site ID],_05preva_view43[[#This Row],[Site ID]],_05preva_view43[Prevalidation Status],"Under Prevalidation")</f>
        <v>0</v>
      </c>
      <c r="BG16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69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1-01-05012-001 (SGG00200) Application Rev 3.xlsx</v>
      </c>
      <c r="BI169" s="64" t="e">
        <f t="shared" ca="1" si="3"/>
        <v>#VALUE!</v>
      </c>
      <c r="BJ169" s="104" t="e">
        <f ca="1">LEFT(CELL("filename",A154),_05preva_view43[[#This Row],[Find Process &amp; Database]]-1)</f>
        <v>#VALUE!</v>
      </c>
      <c r="BK169" s="104" t="e">
        <f ca="1">_05preva_view43[Folder Path1]&amp;"Process &amp; Database\Documentation\Colo Applications"</f>
        <v>#VALUE!</v>
      </c>
      <c r="BL169" s="104" t="e">
        <f ca="1">_05preva_view43[Folder Path2]&amp;"\Colo App "&amp;_05preva_view43[[#This Row],[Operator]]&amp;"\"</f>
        <v>#VALUE!</v>
      </c>
      <c r="BM169" s="63" t="e">
        <f ca="1">_05preva_view43[[#This Row],[Folder Path3]]&amp;_05preva_view43[[#This Row],[File Name]]</f>
        <v>#VALUE!</v>
      </c>
      <c r="BN169" s="104"/>
      <c r="CF169" s="5"/>
      <c r="CG169" s="5"/>
      <c r="CH169" s="3"/>
      <c r="CJ169" s="5"/>
      <c r="CN169" s="3"/>
      <c r="CO169" s="3"/>
      <c r="CP169" s="5"/>
      <c r="CR169" s="3"/>
      <c r="DN169" s="5"/>
      <c r="DP169" s="3"/>
      <c r="EB169" s="7"/>
      <c r="EC169" s="7"/>
      <c r="EF169" s="4"/>
      <c r="EG169" s="4"/>
      <c r="EQ169" s="2"/>
      <c r="ER169" s="2"/>
    </row>
    <row r="170" spans="1:148">
      <c r="A170" s="227">
        <v>3475</v>
      </c>
      <c r="B170" s="228" t="s">
        <v>991</v>
      </c>
      <c r="C170" s="228" t="s">
        <v>278</v>
      </c>
      <c r="D170" s="228" t="s">
        <v>127</v>
      </c>
      <c r="E170" s="228" t="s">
        <v>992</v>
      </c>
      <c r="F170" s="228" t="s">
        <v>35</v>
      </c>
      <c r="G170" s="228" t="s">
        <v>1292</v>
      </c>
      <c r="H170" s="228" t="s">
        <v>1285</v>
      </c>
      <c r="I170" s="228" t="s">
        <v>790</v>
      </c>
      <c r="J170" s="228" t="s">
        <v>727</v>
      </c>
      <c r="K170" s="229">
        <v>43437</v>
      </c>
      <c r="L170" s="230">
        <v>2.673</v>
      </c>
      <c r="M170" s="230">
        <v>4.556</v>
      </c>
      <c r="N170" s="228"/>
      <c r="O170" s="228" t="s">
        <v>687</v>
      </c>
      <c r="P170" s="231" t="s">
        <v>993</v>
      </c>
      <c r="Q170" s="231" t="s">
        <v>994</v>
      </c>
      <c r="R170" s="228" t="s">
        <v>24</v>
      </c>
      <c r="S170" s="228"/>
      <c r="T170" s="232" t="s">
        <v>120</v>
      </c>
      <c r="U170" s="228" t="s">
        <v>982</v>
      </c>
      <c r="V170" s="232" t="s">
        <v>120</v>
      </c>
      <c r="W170" s="228"/>
      <c r="X170" s="232" t="s">
        <v>120</v>
      </c>
      <c r="Y170" s="228" t="s">
        <v>1190</v>
      </c>
      <c r="Z170" s="233" t="s">
        <v>120</v>
      </c>
      <c r="AA170" s="234"/>
      <c r="AB170" s="234"/>
      <c r="AC170" s="235" t="s">
        <v>123</v>
      </c>
      <c r="AD170" s="228" t="s">
        <v>1191</v>
      </c>
      <c r="AE170" s="232" t="s">
        <v>120</v>
      </c>
      <c r="AF170" s="229" t="s">
        <v>1452</v>
      </c>
      <c r="AG170" s="236"/>
      <c r="AH170" s="236"/>
      <c r="AI170" s="228" t="s">
        <v>1192</v>
      </c>
      <c r="AJ170" s="232" t="s">
        <v>120</v>
      </c>
      <c r="AK170" s="228" t="s">
        <v>123</v>
      </c>
      <c r="AL170" s="228" t="s">
        <v>935</v>
      </c>
      <c r="AM170" s="232"/>
      <c r="AN170" s="228"/>
      <c r="AO170" s="228"/>
      <c r="AP170" s="237"/>
      <c r="AQ170" s="228"/>
      <c r="AR170" s="232"/>
      <c r="AS170" s="228"/>
      <c r="AT170" s="229">
        <v>43438.482066550903</v>
      </c>
      <c r="AU170" s="229">
        <v>43451.370473958297</v>
      </c>
      <c r="AV170" s="229">
        <v>43441.577859837998</v>
      </c>
      <c r="AW170" s="229">
        <v>43438.482066550903</v>
      </c>
      <c r="AX170" s="229">
        <v>43438.6442104167</v>
      </c>
      <c r="AY170" s="229">
        <v>43437.694959606502</v>
      </c>
      <c r="AZ170" s="238">
        <v>43451.4114616898</v>
      </c>
      <c r="BA170" s="1" t="s">
        <v>7684</v>
      </c>
      <c r="BB170">
        <v>130</v>
      </c>
      <c r="BC170">
        <v>60</v>
      </c>
      <c r="BD170">
        <v>3349</v>
      </c>
      <c r="BE17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14.41146168980049</v>
      </c>
      <c r="BF170" s="240">
        <f>COUNTIFS(_05preva_view43[Site ID],_05preva_view43[[#This Row],[Site ID]],_05preva_view43[Prevalidation Status],"Under Prevalidation")</f>
        <v>0</v>
      </c>
      <c r="BG17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0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3.xlsx</v>
      </c>
      <c r="BI170" s="64" t="e">
        <f t="shared" ca="1" si="3"/>
        <v>#VALUE!</v>
      </c>
      <c r="BJ170" s="104" t="e">
        <f ca="1">LEFT(CELL("filename",A155),_05preva_view43[[#This Row],[Find Process &amp; Database]]-1)</f>
        <v>#VALUE!</v>
      </c>
      <c r="BK170" s="104" t="e">
        <f ca="1">_05preva_view43[Folder Path1]&amp;"Process &amp; Database\Documentation\Colo Applications"</f>
        <v>#VALUE!</v>
      </c>
      <c r="BL170" s="104" t="e">
        <f ca="1">_05preva_view43[Folder Path2]&amp;"\Colo App "&amp;_05preva_view43[[#This Row],[Operator]]&amp;"\"</f>
        <v>#VALUE!</v>
      </c>
      <c r="BM170" s="63" t="e">
        <f ca="1">_05preva_view43[[#This Row],[Folder Path3]]&amp;_05preva_view43[[#This Row],[File Name]]</f>
        <v>#VALUE!</v>
      </c>
      <c r="BN170" s="104"/>
      <c r="CF170" s="5"/>
      <c r="CG170" s="5"/>
      <c r="CH170" s="3"/>
      <c r="CJ170" s="5"/>
      <c r="CN170" s="3"/>
      <c r="CO170" s="3"/>
      <c r="CP170" s="5"/>
      <c r="CR170" s="3"/>
      <c r="DN170" s="5"/>
      <c r="DP170" s="3"/>
      <c r="EB170" s="7"/>
      <c r="EC170" s="7"/>
      <c r="EF170" s="4"/>
      <c r="EG170" s="4"/>
      <c r="EQ170" s="2"/>
      <c r="ER170" s="2"/>
    </row>
    <row r="171" spans="1:148">
      <c r="A171" s="227">
        <v>3453</v>
      </c>
      <c r="B171" s="228" t="s">
        <v>1088</v>
      </c>
      <c r="C171" s="228" t="s">
        <v>278</v>
      </c>
      <c r="D171" s="228" t="s">
        <v>117</v>
      </c>
      <c r="E171" s="228" t="s">
        <v>1089</v>
      </c>
      <c r="F171" s="228" t="s">
        <v>35</v>
      </c>
      <c r="G171" s="228" t="s">
        <v>1292</v>
      </c>
      <c r="H171" s="228" t="s">
        <v>1285</v>
      </c>
      <c r="I171" s="228" t="s">
        <v>1090</v>
      </c>
      <c r="J171" s="228" t="s">
        <v>668</v>
      </c>
      <c r="K171" s="229">
        <v>43434</v>
      </c>
      <c r="L171" s="230">
        <v>1</v>
      </c>
      <c r="M171" s="230">
        <v>1.44</v>
      </c>
      <c r="N171" s="228">
        <v>2.82</v>
      </c>
      <c r="O171" s="228" t="s">
        <v>687</v>
      </c>
      <c r="P171" s="231" t="s">
        <v>695</v>
      </c>
      <c r="Q171" s="231" t="s">
        <v>696</v>
      </c>
      <c r="R171" s="228" t="s">
        <v>24</v>
      </c>
      <c r="S171" s="228"/>
      <c r="T171" s="232" t="s">
        <v>120</v>
      </c>
      <c r="U171" s="228" t="s">
        <v>982</v>
      </c>
      <c r="V171" s="232" t="s">
        <v>120</v>
      </c>
      <c r="W171" s="228"/>
      <c r="X171" s="232" t="s">
        <v>120</v>
      </c>
      <c r="Y171" s="228" t="s">
        <v>1091</v>
      </c>
      <c r="Z171" s="233" t="s">
        <v>120</v>
      </c>
      <c r="AA171" s="234"/>
      <c r="AB171" s="234"/>
      <c r="AC171" s="235" t="s">
        <v>123</v>
      </c>
      <c r="AD171" s="228" t="s">
        <v>1092</v>
      </c>
      <c r="AE171" s="232" t="s">
        <v>120</v>
      </c>
      <c r="AF171" s="229"/>
      <c r="AG171" s="236"/>
      <c r="AH171" s="236"/>
      <c r="AI171" s="228"/>
      <c r="AJ171" s="232" t="s">
        <v>120</v>
      </c>
      <c r="AK171" s="228" t="s">
        <v>123</v>
      </c>
      <c r="AL171" s="228" t="s">
        <v>935</v>
      </c>
      <c r="AM171" s="232"/>
      <c r="AN171" s="228"/>
      <c r="AO171" s="228"/>
      <c r="AP171" s="237"/>
      <c r="AQ171" s="228"/>
      <c r="AR171" s="232"/>
      <c r="AS171" s="228"/>
      <c r="AT171" s="229">
        <v>43437.615585879597</v>
      </c>
      <c r="AU171" s="229">
        <v>43439.638374421302</v>
      </c>
      <c r="AV171" s="229">
        <v>43440.7054907407</v>
      </c>
      <c r="AW171" s="229">
        <v>43437.615585879597</v>
      </c>
      <c r="AX171" s="229">
        <v>43438.644190161998</v>
      </c>
      <c r="AY171" s="229">
        <v>43434.674923611099</v>
      </c>
      <c r="AZ171" s="238">
        <v>43441.4197810185</v>
      </c>
      <c r="BA171" s="1" t="s">
        <v>7684</v>
      </c>
      <c r="BB171">
        <v>130</v>
      </c>
      <c r="BC171">
        <v>60</v>
      </c>
      <c r="BD171">
        <v>3034</v>
      </c>
      <c r="BE17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7.4197810184996342</v>
      </c>
      <c r="BF171" s="240">
        <f>COUNTIFS(_05preva_view43[Site ID],_05preva_view43[[#This Row],[Site ID]],_05preva_view43[Prevalidation Status],"Under Prevalidation")</f>
        <v>0</v>
      </c>
      <c r="BG17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1" s="242" t="str">
        <f>CONCATENATE(_05preva_view43[[#This Row],[Site ID]]," (",_05preva_view43[[#This Row],[tenant id]],") Application",IF(_05preva_view43[[#This Row],[Colo Rev]]&gt;0," Rev "&amp;_05preva_view43[[#This Row],[Colo Rev]],""),".xlsx")</f>
        <v>1-01-04002-004 (CHN00147) Application Rev 1.xlsx</v>
      </c>
      <c r="BI171" s="64" t="e">
        <f t="shared" ca="1" si="3"/>
        <v>#VALUE!</v>
      </c>
      <c r="BJ171" s="104" t="e">
        <f ca="1">LEFT(CELL("filename",A156),_05preva_view43[[#This Row],[Find Process &amp; Database]]-1)</f>
        <v>#VALUE!</v>
      </c>
      <c r="BK171" s="104" t="e">
        <f ca="1">_05preva_view43[Folder Path1]&amp;"Process &amp; Database\Documentation\Colo Applications"</f>
        <v>#VALUE!</v>
      </c>
      <c r="BL171" s="104" t="e">
        <f ca="1">_05preva_view43[Folder Path2]&amp;"\Colo App "&amp;_05preva_view43[[#This Row],[Operator]]&amp;"\"</f>
        <v>#VALUE!</v>
      </c>
      <c r="BM171" s="63" t="e">
        <f ca="1">_05preva_view43[[#This Row],[Folder Path3]]&amp;_05preva_view43[[#This Row],[File Name]]</f>
        <v>#VALUE!</v>
      </c>
      <c r="BN171" s="104"/>
      <c r="CF171" s="5"/>
      <c r="CG171" s="5"/>
      <c r="CH171" s="3"/>
      <c r="CJ171" s="5"/>
      <c r="CN171" s="3"/>
      <c r="CO171" s="3"/>
      <c r="CP171" s="5"/>
      <c r="CR171" s="3"/>
      <c r="DN171" s="5"/>
      <c r="DP171" s="3"/>
      <c r="EB171" s="7"/>
      <c r="EC171" s="7"/>
      <c r="EF171" s="4"/>
      <c r="EG171" s="4"/>
      <c r="EQ171" s="2"/>
      <c r="ER171" s="2"/>
    </row>
    <row r="172" spans="1:148">
      <c r="A172" s="227">
        <v>3454</v>
      </c>
      <c r="B172" s="228" t="s">
        <v>1093</v>
      </c>
      <c r="C172" s="228" t="s">
        <v>278</v>
      </c>
      <c r="D172" s="228" t="s">
        <v>117</v>
      </c>
      <c r="E172" s="228" t="s">
        <v>1094</v>
      </c>
      <c r="F172" s="228" t="s">
        <v>35</v>
      </c>
      <c r="G172" s="228" t="s">
        <v>1292</v>
      </c>
      <c r="H172" s="228" t="s">
        <v>1285</v>
      </c>
      <c r="I172" s="228" t="s">
        <v>981</v>
      </c>
      <c r="J172" s="228" t="s">
        <v>686</v>
      </c>
      <c r="K172" s="229">
        <v>43434</v>
      </c>
      <c r="L172" s="230">
        <v>1</v>
      </c>
      <c r="M172" s="230">
        <v>1.4</v>
      </c>
      <c r="N172" s="228">
        <v>3.59</v>
      </c>
      <c r="O172" s="228" t="s">
        <v>687</v>
      </c>
      <c r="P172" s="231" t="s">
        <v>1095</v>
      </c>
      <c r="Q172" s="231" t="s">
        <v>858</v>
      </c>
      <c r="R172" s="228" t="s">
        <v>24</v>
      </c>
      <c r="S172" s="228"/>
      <c r="T172" s="232" t="s">
        <v>120</v>
      </c>
      <c r="U172" s="228" t="s">
        <v>982</v>
      </c>
      <c r="V172" s="232" t="s">
        <v>120</v>
      </c>
      <c r="W172" s="228"/>
      <c r="X172" s="232" t="s">
        <v>120</v>
      </c>
      <c r="Y172" s="228" t="s">
        <v>1096</v>
      </c>
      <c r="Z172" s="233" t="s">
        <v>120</v>
      </c>
      <c r="AA172" s="234"/>
      <c r="AB172" s="234"/>
      <c r="AC172" s="235" t="s">
        <v>123</v>
      </c>
      <c r="AD172" s="228" t="s">
        <v>1097</v>
      </c>
      <c r="AE172" s="232" t="s">
        <v>120</v>
      </c>
      <c r="AF172" s="229" t="s">
        <v>1453</v>
      </c>
      <c r="AG172" s="236"/>
      <c r="AH172" s="236"/>
      <c r="AI172" s="228" t="s">
        <v>1098</v>
      </c>
      <c r="AJ172" s="232" t="s">
        <v>120</v>
      </c>
      <c r="AK172" s="228" t="s">
        <v>123</v>
      </c>
      <c r="AL172" s="228" t="s">
        <v>935</v>
      </c>
      <c r="AM172" s="232"/>
      <c r="AN172" s="228"/>
      <c r="AO172" s="228"/>
      <c r="AP172" s="237"/>
      <c r="AQ172" s="228"/>
      <c r="AR172" s="232"/>
      <c r="AS172" s="228"/>
      <c r="AT172" s="229">
        <v>43437.615589120403</v>
      </c>
      <c r="AU172" s="229">
        <v>43451.370469444402</v>
      </c>
      <c r="AV172" s="229">
        <v>43440.494380439799</v>
      </c>
      <c r="AW172" s="229">
        <v>43437.615589120403</v>
      </c>
      <c r="AX172" s="229">
        <v>43438.644191782398</v>
      </c>
      <c r="AY172" s="229">
        <v>43434.674924305597</v>
      </c>
      <c r="AZ172" s="238">
        <v>43451.411458449104</v>
      </c>
      <c r="BA172" s="1" t="s">
        <v>7684</v>
      </c>
      <c r="BB172">
        <v>160</v>
      </c>
      <c r="BC172">
        <v>60</v>
      </c>
      <c r="BD172">
        <v>2739</v>
      </c>
      <c r="BE17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17.41145844910352</v>
      </c>
      <c r="BF172" s="240">
        <f>COUNTIFS(_05preva_view43[Site ID],_05preva_view43[[#This Row],[Site ID]],_05preva_view43[Prevalidation Status],"Under Prevalidation")</f>
        <v>0</v>
      </c>
      <c r="BG17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2" s="242" t="str">
        <f>CONCATENATE(_05preva_view43[[#This Row],[Site ID]]," (",_05preva_view43[[#This Row],[tenant id]],") Application",IF(_05preva_view43[[#This Row],[Colo Rev]]&gt;0," Rev "&amp;_05preva_view43[[#This Row],[Colo Rev]],""),".xlsx")</f>
        <v>1-01-08009-002 (MGW00400) Application Rev 2.xlsx</v>
      </c>
      <c r="BI172" s="64" t="e">
        <f t="shared" ca="1" si="3"/>
        <v>#VALUE!</v>
      </c>
      <c r="BJ172" s="104" t="e">
        <f ca="1">LEFT(CELL("filename",A157),_05preva_view43[[#This Row],[Find Process &amp; Database]]-1)</f>
        <v>#VALUE!</v>
      </c>
      <c r="BK172" s="104" t="e">
        <f ca="1">_05preva_view43[Folder Path1]&amp;"Process &amp; Database\Documentation\Colo Applications"</f>
        <v>#VALUE!</v>
      </c>
      <c r="BL172" s="104" t="e">
        <f ca="1">_05preva_view43[Folder Path2]&amp;"\Colo App "&amp;_05preva_view43[[#This Row],[Operator]]&amp;"\"</f>
        <v>#VALUE!</v>
      </c>
      <c r="BM172" s="63" t="e">
        <f ca="1">_05preva_view43[[#This Row],[Folder Path3]]&amp;_05preva_view43[[#This Row],[File Name]]</f>
        <v>#VALUE!</v>
      </c>
      <c r="BN172" s="104"/>
      <c r="CF172" s="5"/>
      <c r="CG172" s="5"/>
      <c r="CH172" s="3"/>
      <c r="CJ172" s="5"/>
      <c r="CN172" s="3"/>
      <c r="CO172" s="3"/>
      <c r="CP172" s="5"/>
      <c r="CR172" s="3"/>
      <c r="DN172" s="5"/>
      <c r="DP172" s="3"/>
      <c r="EB172" s="7"/>
      <c r="EC172" s="7"/>
      <c r="EF172" s="4"/>
      <c r="EG172" s="4"/>
      <c r="EQ172" s="2"/>
      <c r="ER172" s="2"/>
    </row>
    <row r="173" spans="1:148">
      <c r="A173" s="227">
        <v>3455</v>
      </c>
      <c r="B173" s="228" t="s">
        <v>1099</v>
      </c>
      <c r="C173" s="228" t="s">
        <v>278</v>
      </c>
      <c r="D173" s="228" t="s">
        <v>117</v>
      </c>
      <c r="E173" s="228" t="s">
        <v>1100</v>
      </c>
      <c r="F173" s="228" t="s">
        <v>35</v>
      </c>
      <c r="G173" s="228" t="s">
        <v>1292</v>
      </c>
      <c r="H173" s="228" t="s">
        <v>1285</v>
      </c>
      <c r="I173" s="228" t="s">
        <v>981</v>
      </c>
      <c r="J173" s="228" t="s">
        <v>668</v>
      </c>
      <c r="K173" s="229">
        <v>43434</v>
      </c>
      <c r="L173" s="230">
        <v>1</v>
      </c>
      <c r="M173" s="230">
        <v>1.4</v>
      </c>
      <c r="N173" s="228">
        <v>4.29</v>
      </c>
      <c r="O173" s="228" t="s">
        <v>687</v>
      </c>
      <c r="P173" s="231" t="s">
        <v>799</v>
      </c>
      <c r="Q173" s="231" t="s">
        <v>695</v>
      </c>
      <c r="R173" s="228" t="s">
        <v>24</v>
      </c>
      <c r="S173" s="228"/>
      <c r="T173" s="232" t="s">
        <v>120</v>
      </c>
      <c r="U173" s="228" t="s">
        <v>982</v>
      </c>
      <c r="V173" s="232" t="s">
        <v>120</v>
      </c>
      <c r="W173" s="228"/>
      <c r="X173" s="232" t="s">
        <v>120</v>
      </c>
      <c r="Y173" s="228" t="s">
        <v>1101</v>
      </c>
      <c r="Z173" s="233" t="s">
        <v>120</v>
      </c>
      <c r="AA173" s="234"/>
      <c r="AB173" s="234"/>
      <c r="AC173" s="235" t="s">
        <v>123</v>
      </c>
      <c r="AD173" s="228" t="s">
        <v>1102</v>
      </c>
      <c r="AE173" s="232" t="s">
        <v>120</v>
      </c>
      <c r="AF173" s="229"/>
      <c r="AG173" s="236"/>
      <c r="AH173" s="236"/>
      <c r="AI173" s="228"/>
      <c r="AJ173" s="232" t="s">
        <v>120</v>
      </c>
      <c r="AK173" s="228" t="s">
        <v>123</v>
      </c>
      <c r="AL173" s="228" t="s">
        <v>935</v>
      </c>
      <c r="AM173" s="232"/>
      <c r="AN173" s="228"/>
      <c r="AO173" s="228"/>
      <c r="AP173" s="237"/>
      <c r="AQ173" s="228"/>
      <c r="AR173" s="232"/>
      <c r="AS173" s="228"/>
      <c r="AT173" s="229">
        <v>43437.615591898102</v>
      </c>
      <c r="AU173" s="229">
        <v>43440.428031249998</v>
      </c>
      <c r="AV173" s="229">
        <v>43440.494381365701</v>
      </c>
      <c r="AW173" s="229">
        <v>43437.615591898102</v>
      </c>
      <c r="AX173" s="229">
        <v>43438.644192939799</v>
      </c>
      <c r="AY173" s="229">
        <v>43434.6749247685</v>
      </c>
      <c r="AZ173" s="238">
        <v>43441.419782291698</v>
      </c>
      <c r="BA173" s="1" t="s">
        <v>7684</v>
      </c>
      <c r="BB173">
        <v>130</v>
      </c>
      <c r="BC173">
        <v>60</v>
      </c>
      <c r="BD173">
        <v>2748</v>
      </c>
      <c r="BE17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7.4197822916976293</v>
      </c>
      <c r="BF173" s="240">
        <f>COUNTIFS(_05preva_view43[Site ID],_05preva_view43[[#This Row],[Site ID]],_05preva_view43[Prevalidation Status],"Under Prevalidation")</f>
        <v>0</v>
      </c>
      <c r="BG17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3" s="242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I173" s="64" t="e">
        <f t="shared" ca="1" si="3"/>
        <v>#VALUE!</v>
      </c>
      <c r="BJ173" s="104" t="e">
        <f ca="1">LEFT(CELL("filename",A158),_05preva_view43[[#This Row],[Find Process &amp; Database]]-1)</f>
        <v>#VALUE!</v>
      </c>
      <c r="BK173" s="104" t="e">
        <f ca="1">_05preva_view43[Folder Path1]&amp;"Process &amp; Database\Documentation\Colo Applications"</f>
        <v>#VALUE!</v>
      </c>
      <c r="BL173" s="104" t="e">
        <f ca="1">_05preva_view43[Folder Path2]&amp;"\Colo App "&amp;_05preva_view43[[#This Row],[Operator]]&amp;"\"</f>
        <v>#VALUE!</v>
      </c>
      <c r="BM173" s="63" t="e">
        <f ca="1">_05preva_view43[[#This Row],[Folder Path3]]&amp;_05preva_view43[[#This Row],[File Name]]</f>
        <v>#VALUE!</v>
      </c>
      <c r="BN173" s="104"/>
      <c r="CF173" s="5"/>
      <c r="CG173" s="5"/>
      <c r="CH173" s="3"/>
      <c r="CJ173" s="5"/>
      <c r="CN173" s="3"/>
      <c r="CO173" s="3"/>
      <c r="CP173" s="5"/>
      <c r="CR173" s="3"/>
      <c r="DN173" s="5"/>
      <c r="DP173" s="3"/>
      <c r="EB173" s="7"/>
      <c r="EC173" s="7"/>
      <c r="EF173" s="4"/>
      <c r="EG173" s="4"/>
      <c r="EQ173" s="2"/>
      <c r="ER173" s="2"/>
    </row>
    <row r="174" spans="1:148">
      <c r="A174" s="227">
        <v>3456</v>
      </c>
      <c r="B174" s="228" t="s">
        <v>979</v>
      </c>
      <c r="C174" s="228" t="s">
        <v>278</v>
      </c>
      <c r="D174" s="228" t="s">
        <v>127</v>
      </c>
      <c r="E174" s="228" t="s">
        <v>980</v>
      </c>
      <c r="F174" s="228" t="s">
        <v>35</v>
      </c>
      <c r="G174" s="228" t="s">
        <v>1292</v>
      </c>
      <c r="H174" s="228" t="s">
        <v>1285</v>
      </c>
      <c r="I174" s="228" t="s">
        <v>790</v>
      </c>
      <c r="J174" s="228" t="s">
        <v>686</v>
      </c>
      <c r="K174" s="229">
        <v>43434</v>
      </c>
      <c r="L174" s="230">
        <v>2.0590000000000002</v>
      </c>
      <c r="M174" s="230">
        <v>3.5489999999999999</v>
      </c>
      <c r="N174" s="228">
        <v>5.56</v>
      </c>
      <c r="O174" s="228" t="s">
        <v>687</v>
      </c>
      <c r="P174" s="231" t="s">
        <v>695</v>
      </c>
      <c r="Q174" s="231" t="s">
        <v>696</v>
      </c>
      <c r="R174" s="228" t="s">
        <v>24</v>
      </c>
      <c r="S174" s="228"/>
      <c r="T174" s="232" t="s">
        <v>120</v>
      </c>
      <c r="U174" s="228" t="s">
        <v>982</v>
      </c>
      <c r="V174" s="232" t="s">
        <v>120</v>
      </c>
      <c r="W174" s="228"/>
      <c r="X174" s="232" t="s">
        <v>120</v>
      </c>
      <c r="Y174" s="228" t="s">
        <v>1103</v>
      </c>
      <c r="Z174" s="233" t="s">
        <v>120</v>
      </c>
      <c r="AA174" s="234"/>
      <c r="AB174" s="234"/>
      <c r="AC174" s="235" t="s">
        <v>123</v>
      </c>
      <c r="AD174" s="228" t="s">
        <v>1104</v>
      </c>
      <c r="AE174" s="232" t="s">
        <v>120</v>
      </c>
      <c r="AF174" s="229" t="s">
        <v>1105</v>
      </c>
      <c r="AG174" s="236"/>
      <c r="AH174" s="236"/>
      <c r="AI174" s="228" t="s">
        <v>1106</v>
      </c>
      <c r="AJ174" s="232" t="s">
        <v>120</v>
      </c>
      <c r="AK174" s="228" t="s">
        <v>123</v>
      </c>
      <c r="AL174" s="228" t="s">
        <v>935</v>
      </c>
      <c r="AM174" s="232"/>
      <c r="AN174" s="228"/>
      <c r="AO174" s="228"/>
      <c r="AP174" s="237"/>
      <c r="AQ174" s="228"/>
      <c r="AR174" s="232"/>
      <c r="AS174" s="228"/>
      <c r="AT174" s="229">
        <v>43437.615594328701</v>
      </c>
      <c r="AU174" s="229">
        <v>43440.428033449098</v>
      </c>
      <c r="AV174" s="229">
        <v>43440.7054929398</v>
      </c>
      <c r="AW174" s="229">
        <v>43437.615594328701</v>
      </c>
      <c r="AX174" s="229">
        <v>43438.644194675901</v>
      </c>
      <c r="AY174" s="229">
        <v>43434.674926041698</v>
      </c>
      <c r="AZ174" s="238">
        <v>43441.4197829861</v>
      </c>
      <c r="BA174" s="1" t="s">
        <v>7684</v>
      </c>
      <c r="BB174">
        <v>130</v>
      </c>
      <c r="BC174">
        <v>60</v>
      </c>
      <c r="BD174">
        <v>3245</v>
      </c>
      <c r="BE17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7.419782986100472</v>
      </c>
      <c r="BF174" s="240">
        <f>COUNTIFS(_05preva_view43[Site ID],_05preva_view43[[#This Row],[Site ID]],_05preva_view43[Prevalidation Status],"Under Prevalidation")</f>
        <v>0</v>
      </c>
      <c r="BG17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4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2.xlsx</v>
      </c>
      <c r="BI174" s="64" t="e">
        <f t="shared" ca="1" si="3"/>
        <v>#VALUE!</v>
      </c>
      <c r="BJ174" s="104" t="e">
        <f ca="1">LEFT(CELL("filename",A159),_05preva_view43[[#This Row],[Find Process &amp; Database]]-1)</f>
        <v>#VALUE!</v>
      </c>
      <c r="BK174" s="104" t="e">
        <f ca="1">_05preva_view43[Folder Path1]&amp;"Process &amp; Database\Documentation\Colo Applications"</f>
        <v>#VALUE!</v>
      </c>
      <c r="BL174" s="104" t="e">
        <f ca="1">_05preva_view43[Folder Path2]&amp;"\Colo App "&amp;_05preva_view43[[#This Row],[Operator]]&amp;"\"</f>
        <v>#VALUE!</v>
      </c>
      <c r="BM174" s="63" t="e">
        <f ca="1">_05preva_view43[[#This Row],[Folder Path3]]&amp;_05preva_view43[[#This Row],[File Name]]</f>
        <v>#VALUE!</v>
      </c>
      <c r="BN174" s="104"/>
      <c r="CF174" s="5"/>
      <c r="CG174" s="5"/>
      <c r="CH174" s="3"/>
      <c r="CJ174" s="5"/>
      <c r="CN174" s="3"/>
      <c r="CO174" s="3"/>
      <c r="CP174" s="5"/>
      <c r="CR174" s="3"/>
      <c r="DN174" s="5"/>
      <c r="DP174" s="3"/>
      <c r="EB174" s="7"/>
      <c r="EC174" s="7"/>
      <c r="EF174" s="4"/>
      <c r="EG174" s="4"/>
      <c r="EQ174" s="2"/>
      <c r="ER174" s="2"/>
    </row>
    <row r="175" spans="1:148">
      <c r="A175" s="227">
        <v>3457</v>
      </c>
      <c r="B175" s="228" t="s">
        <v>1107</v>
      </c>
      <c r="C175" s="228" t="s">
        <v>278</v>
      </c>
      <c r="D175" s="228" t="s">
        <v>127</v>
      </c>
      <c r="E175" s="228" t="s">
        <v>1108</v>
      </c>
      <c r="F175" s="228" t="s">
        <v>35</v>
      </c>
      <c r="G175" s="228" t="s">
        <v>1292</v>
      </c>
      <c r="H175" s="228" t="s">
        <v>1285</v>
      </c>
      <c r="I175" s="228" t="s">
        <v>981</v>
      </c>
      <c r="J175" s="228" t="s">
        <v>686</v>
      </c>
      <c r="K175" s="229">
        <v>43434</v>
      </c>
      <c r="L175" s="230">
        <v>1</v>
      </c>
      <c r="M175" s="230">
        <v>1.462</v>
      </c>
      <c r="N175" s="228">
        <v>4.24</v>
      </c>
      <c r="O175" s="228" t="s">
        <v>687</v>
      </c>
      <c r="P175" s="231" t="s">
        <v>695</v>
      </c>
      <c r="Q175" s="231" t="s">
        <v>696</v>
      </c>
      <c r="R175" s="228" t="s">
        <v>24</v>
      </c>
      <c r="S175" s="228"/>
      <c r="T175" s="232" t="s">
        <v>120</v>
      </c>
      <c r="U175" s="228" t="s">
        <v>982</v>
      </c>
      <c r="V175" s="232" t="s">
        <v>120</v>
      </c>
      <c r="W175" s="228"/>
      <c r="X175" s="232" t="s">
        <v>120</v>
      </c>
      <c r="Y175" s="228" t="s">
        <v>1109</v>
      </c>
      <c r="Z175" s="233" t="s">
        <v>120</v>
      </c>
      <c r="AA175" s="234"/>
      <c r="AB175" s="234"/>
      <c r="AC175" s="235" t="s">
        <v>123</v>
      </c>
      <c r="AD175" s="228" t="s">
        <v>1110</v>
      </c>
      <c r="AE175" s="232" t="s">
        <v>120</v>
      </c>
      <c r="AF175" s="229"/>
      <c r="AG175" s="236"/>
      <c r="AH175" s="236"/>
      <c r="AI175" s="228"/>
      <c r="AJ175" s="232" t="s">
        <v>120</v>
      </c>
      <c r="AK175" s="228" t="s">
        <v>123</v>
      </c>
      <c r="AL175" s="228" t="s">
        <v>935</v>
      </c>
      <c r="AM175" s="232"/>
      <c r="AN175" s="228"/>
      <c r="AO175" s="228"/>
      <c r="AP175" s="237"/>
      <c r="AQ175" s="228"/>
      <c r="AR175" s="232"/>
      <c r="AS175" s="228"/>
      <c r="AT175" s="229">
        <v>43437.615600231497</v>
      </c>
      <c r="AU175" s="229">
        <v>43440.687456481501</v>
      </c>
      <c r="AV175" s="229">
        <v>43440.705493865702</v>
      </c>
      <c r="AW175" s="229">
        <v>43437.615600231497</v>
      </c>
      <c r="AX175" s="229">
        <v>43438.644195254601</v>
      </c>
      <c r="AY175" s="229">
        <v>43434.674927083302</v>
      </c>
      <c r="AZ175" s="238">
        <v>43441.419783912002</v>
      </c>
      <c r="BA175" s="1" t="s">
        <v>7684</v>
      </c>
      <c r="BB175">
        <v>130</v>
      </c>
      <c r="BC175">
        <v>60</v>
      </c>
      <c r="BD175">
        <v>2985</v>
      </c>
      <c r="BE17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7.4197839120024582</v>
      </c>
      <c r="BF175" s="240">
        <f>COUNTIFS(_05preva_view43[Site ID],_05preva_view43[[#This Row],[Site ID]],_05preva_view43[Prevalidation Status],"Under Prevalidation")</f>
        <v>0</v>
      </c>
      <c r="BG17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5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2.xlsx</v>
      </c>
      <c r="BI175" s="64" t="e">
        <f t="shared" ca="1" si="3"/>
        <v>#VALUE!</v>
      </c>
      <c r="BJ175" s="104" t="e">
        <f ca="1">LEFT(CELL("filename",A160),_05preva_view43[[#This Row],[Find Process &amp; Database]]-1)</f>
        <v>#VALUE!</v>
      </c>
      <c r="BK175" s="104" t="e">
        <f ca="1">_05preva_view43[Folder Path1]&amp;"Process &amp; Database\Documentation\Colo Applications"</f>
        <v>#VALUE!</v>
      </c>
      <c r="BL175" s="104" t="e">
        <f ca="1">_05preva_view43[Folder Path2]&amp;"\Colo App "&amp;_05preva_view43[[#This Row],[Operator]]&amp;"\"</f>
        <v>#VALUE!</v>
      </c>
      <c r="BM175" s="63" t="e">
        <f ca="1">_05preva_view43[[#This Row],[Folder Path3]]&amp;_05preva_view43[[#This Row],[File Name]]</f>
        <v>#VALUE!</v>
      </c>
      <c r="BN175" s="104"/>
      <c r="CF175" s="5"/>
      <c r="CG175" s="5"/>
      <c r="CH175" s="3"/>
      <c r="CJ175" s="5"/>
      <c r="CN175" s="3"/>
      <c r="CO175" s="3"/>
      <c r="CP175" s="5"/>
      <c r="CR175" s="3"/>
      <c r="DN175" s="5"/>
      <c r="DP175" s="3"/>
      <c r="EB175" s="7"/>
      <c r="EC175" s="7"/>
      <c r="EF175" s="4"/>
      <c r="EG175" s="4"/>
      <c r="EQ175" s="2"/>
      <c r="ER175" s="2"/>
    </row>
    <row r="176" spans="1:148">
      <c r="A176" s="227">
        <v>3458</v>
      </c>
      <c r="B176" s="228" t="s">
        <v>986</v>
      </c>
      <c r="C176" s="228" t="s">
        <v>278</v>
      </c>
      <c r="D176" s="228" t="s">
        <v>127</v>
      </c>
      <c r="E176" s="228" t="s">
        <v>987</v>
      </c>
      <c r="F176" s="228" t="s">
        <v>35</v>
      </c>
      <c r="G176" s="228" t="s">
        <v>1292</v>
      </c>
      <c r="H176" s="228" t="s">
        <v>1285</v>
      </c>
      <c r="I176" s="228" t="s">
        <v>790</v>
      </c>
      <c r="J176" s="228" t="s">
        <v>727</v>
      </c>
      <c r="K176" s="229">
        <v>43434</v>
      </c>
      <c r="L176" s="230">
        <v>2.0590000000000002</v>
      </c>
      <c r="M176" s="230">
        <v>3.649</v>
      </c>
      <c r="N176" s="228">
        <v>11.26</v>
      </c>
      <c r="O176" s="228" t="s">
        <v>687</v>
      </c>
      <c r="P176" s="231" t="s">
        <v>988</v>
      </c>
      <c r="Q176" s="231" t="s">
        <v>989</v>
      </c>
      <c r="R176" s="228" t="s">
        <v>24</v>
      </c>
      <c r="S176" s="228"/>
      <c r="T176" s="232" t="s">
        <v>120</v>
      </c>
      <c r="U176" s="228" t="s">
        <v>982</v>
      </c>
      <c r="V176" s="232" t="s">
        <v>120</v>
      </c>
      <c r="W176" s="228"/>
      <c r="X176" s="232" t="s">
        <v>120</v>
      </c>
      <c r="Y176" s="228" t="s">
        <v>1111</v>
      </c>
      <c r="Z176" s="233" t="s">
        <v>120</v>
      </c>
      <c r="AA176" s="234"/>
      <c r="AB176" s="234"/>
      <c r="AC176" s="235" t="s">
        <v>123</v>
      </c>
      <c r="AD176" s="228" t="s">
        <v>1112</v>
      </c>
      <c r="AE176" s="232" t="s">
        <v>120</v>
      </c>
      <c r="AF176" s="229" t="s">
        <v>1105</v>
      </c>
      <c r="AG176" s="236">
        <v>2.5</v>
      </c>
      <c r="AH176" s="236"/>
      <c r="AI176" s="228" t="s">
        <v>1113</v>
      </c>
      <c r="AJ176" s="232" t="s">
        <v>120</v>
      </c>
      <c r="AK176" s="228" t="s">
        <v>123</v>
      </c>
      <c r="AL176" s="228" t="s">
        <v>935</v>
      </c>
      <c r="AM176" s="232"/>
      <c r="AN176" s="228"/>
      <c r="AO176" s="228"/>
      <c r="AP176" s="237"/>
      <c r="AQ176" s="228"/>
      <c r="AR176" s="232"/>
      <c r="AS176" s="228"/>
      <c r="AT176" s="229">
        <v>43437.615603009297</v>
      </c>
      <c r="AU176" s="229">
        <v>43440.687457523098</v>
      </c>
      <c r="AV176" s="229">
        <v>43439.707483680599</v>
      </c>
      <c r="AW176" s="229">
        <v>43437.615603009297</v>
      </c>
      <c r="AX176" s="229">
        <v>43438.644195949099</v>
      </c>
      <c r="AY176" s="229">
        <v>43434.6749283565</v>
      </c>
      <c r="AZ176" s="238">
        <v>43441.4197846065</v>
      </c>
      <c r="BA176" s="1" t="s">
        <v>7684</v>
      </c>
      <c r="BB176">
        <v>130</v>
      </c>
      <c r="BC176">
        <v>60</v>
      </c>
      <c r="BD176">
        <v>3249</v>
      </c>
      <c r="BE17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7.4197846064998885</v>
      </c>
      <c r="BF176" s="240">
        <f>COUNTIFS(_05preva_view43[Site ID],_05preva_view43[[#This Row],[Site ID]],_05preva_view43[Prevalidation Status],"Under Prevalidation")</f>
        <v>0</v>
      </c>
      <c r="BG17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6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3.xlsx</v>
      </c>
      <c r="BI176" s="64" t="e">
        <f t="shared" ca="1" si="3"/>
        <v>#VALUE!</v>
      </c>
      <c r="BJ176" s="104" t="e">
        <f ca="1">LEFT(CELL("filename",A161),_05preva_view43[[#This Row],[Find Process &amp; Database]]-1)</f>
        <v>#VALUE!</v>
      </c>
      <c r="BK176" s="104" t="e">
        <f ca="1">_05preva_view43[Folder Path1]&amp;"Process &amp; Database\Documentation\Colo Applications"</f>
        <v>#VALUE!</v>
      </c>
      <c r="BL176" s="104" t="e">
        <f ca="1">_05preva_view43[Folder Path2]&amp;"\Colo App "&amp;_05preva_view43[[#This Row],[Operator]]&amp;"\"</f>
        <v>#VALUE!</v>
      </c>
      <c r="BM176" s="63" t="e">
        <f ca="1">_05preva_view43[[#This Row],[Folder Path3]]&amp;_05preva_view43[[#This Row],[File Name]]</f>
        <v>#VALUE!</v>
      </c>
      <c r="BN176" s="104"/>
      <c r="CF176" s="5"/>
      <c r="CG176" s="5"/>
      <c r="CH176" s="3"/>
      <c r="CJ176" s="5"/>
      <c r="CN176" s="3"/>
      <c r="CO176" s="3"/>
      <c r="CP176" s="5"/>
      <c r="CR176" s="3"/>
      <c r="DN176" s="5"/>
      <c r="DP176" s="3"/>
      <c r="EB176" s="7"/>
      <c r="EC176" s="7"/>
      <c r="EF176" s="4"/>
      <c r="EG176" s="4"/>
      <c r="EQ176" s="2"/>
      <c r="ER176" s="2"/>
    </row>
    <row r="177" spans="1:148">
      <c r="A177" s="227">
        <v>3459</v>
      </c>
      <c r="B177" s="228" t="s">
        <v>1114</v>
      </c>
      <c r="C177" s="228" t="s">
        <v>278</v>
      </c>
      <c r="D177" s="228" t="s">
        <v>127</v>
      </c>
      <c r="E177" s="228" t="s">
        <v>1115</v>
      </c>
      <c r="F177" s="228" t="s">
        <v>35</v>
      </c>
      <c r="G177" s="228" t="s">
        <v>1292</v>
      </c>
      <c r="H177" s="228" t="s">
        <v>1285</v>
      </c>
      <c r="I177" s="228" t="s">
        <v>981</v>
      </c>
      <c r="J177" s="228" t="s">
        <v>686</v>
      </c>
      <c r="K177" s="229">
        <v>43434</v>
      </c>
      <c r="L177" s="230">
        <v>1</v>
      </c>
      <c r="M177" s="230">
        <v>1.4</v>
      </c>
      <c r="N177" s="228">
        <v>3.56</v>
      </c>
      <c r="O177" s="228" t="s">
        <v>687</v>
      </c>
      <c r="P177" s="231" t="s">
        <v>695</v>
      </c>
      <c r="Q177" s="231" t="s">
        <v>696</v>
      </c>
      <c r="R177" s="228" t="s">
        <v>24</v>
      </c>
      <c r="S177" s="228"/>
      <c r="T177" s="232" t="s">
        <v>120</v>
      </c>
      <c r="U177" s="228" t="s">
        <v>982</v>
      </c>
      <c r="V177" s="232" t="s">
        <v>120</v>
      </c>
      <c r="W177" s="228"/>
      <c r="X177" s="232" t="s">
        <v>120</v>
      </c>
      <c r="Y177" s="228" t="s">
        <v>1116</v>
      </c>
      <c r="Z177" s="233" t="s">
        <v>120</v>
      </c>
      <c r="AA177" s="234"/>
      <c r="AB177" s="234"/>
      <c r="AC177" s="235" t="s">
        <v>123</v>
      </c>
      <c r="AD177" s="228" t="s">
        <v>1117</v>
      </c>
      <c r="AE177" s="232" t="s">
        <v>120</v>
      </c>
      <c r="AF177" s="229"/>
      <c r="AG177" s="236"/>
      <c r="AH177" s="236"/>
      <c r="AI177" s="228"/>
      <c r="AJ177" s="232" t="s">
        <v>120</v>
      </c>
      <c r="AK177" s="228" t="s">
        <v>123</v>
      </c>
      <c r="AL177" s="228" t="s">
        <v>935</v>
      </c>
      <c r="AM177" s="232"/>
      <c r="AN177" s="228"/>
      <c r="AO177" s="228"/>
      <c r="AP177" s="237"/>
      <c r="AQ177" s="228"/>
      <c r="AR177" s="232"/>
      <c r="AS177" s="228"/>
      <c r="AT177" s="229">
        <v>43437.615606250001</v>
      </c>
      <c r="AU177" s="229">
        <v>43440.687459606503</v>
      </c>
      <c r="AV177" s="229">
        <v>43439.707484722203</v>
      </c>
      <c r="AW177" s="229">
        <v>43437.615606250001</v>
      </c>
      <c r="AX177" s="229">
        <v>43438.644197222202</v>
      </c>
      <c r="AY177" s="229">
        <v>43434.674929398097</v>
      </c>
      <c r="AZ177" s="238">
        <v>43441.419785532402</v>
      </c>
      <c r="BA177" s="1" t="s">
        <v>7684</v>
      </c>
      <c r="BB177">
        <v>130</v>
      </c>
      <c r="BC177">
        <v>60</v>
      </c>
      <c r="BD177">
        <v>3233</v>
      </c>
      <c r="BE17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7.4197855324018747</v>
      </c>
      <c r="BF177" s="240">
        <f>COUNTIFS(_05preva_view43[Site ID],_05preva_view43[[#This Row],[Site ID]],_05preva_view43[Prevalidation Status],"Under Prevalidation")</f>
        <v>0</v>
      </c>
      <c r="BG17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7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1-01-05007-006 (SGG00780) Application Rev 2.xlsx</v>
      </c>
      <c r="BI177" s="64" t="e">
        <f t="shared" ca="1" si="3"/>
        <v>#VALUE!</v>
      </c>
      <c r="BJ177" s="104" t="e">
        <f ca="1">LEFT(CELL("filename",A162),_05preva_view43[[#This Row],[Find Process &amp; Database]]-1)</f>
        <v>#VALUE!</v>
      </c>
      <c r="BK177" s="104" t="e">
        <f ca="1">_05preva_view43[Folder Path1]&amp;"Process &amp; Database\Documentation\Colo Applications"</f>
        <v>#VALUE!</v>
      </c>
      <c r="BL177" s="104" t="e">
        <f ca="1">_05preva_view43[Folder Path2]&amp;"\Colo App "&amp;_05preva_view43[[#This Row],[Operator]]&amp;"\"</f>
        <v>#VALUE!</v>
      </c>
      <c r="BM177" s="63" t="e">
        <f ca="1">_05preva_view43[[#This Row],[Folder Path3]]&amp;_05preva_view43[[#This Row],[File Name]]</f>
        <v>#VALUE!</v>
      </c>
      <c r="BN177" s="104"/>
      <c r="CF177" s="5"/>
      <c r="CG177" s="5"/>
      <c r="CH177" s="3"/>
      <c r="CJ177" s="5"/>
      <c r="CN177" s="3"/>
      <c r="CO177" s="3"/>
      <c r="CP177" s="5"/>
      <c r="CR177" s="3"/>
      <c r="DN177" s="5"/>
      <c r="DP177" s="3"/>
      <c r="EB177" s="7"/>
      <c r="EC177" s="7"/>
      <c r="EF177" s="4"/>
      <c r="EG177" s="4"/>
      <c r="EQ177" s="2"/>
      <c r="ER177" s="2"/>
    </row>
    <row r="178" spans="1:148">
      <c r="A178" s="227">
        <v>3460</v>
      </c>
      <c r="B178" s="228" t="s">
        <v>1118</v>
      </c>
      <c r="C178" s="228" t="s">
        <v>278</v>
      </c>
      <c r="D178" s="228" t="s">
        <v>127</v>
      </c>
      <c r="E178" s="228" t="s">
        <v>1119</v>
      </c>
      <c r="F178" s="228" t="s">
        <v>35</v>
      </c>
      <c r="G178" s="228" t="s">
        <v>1292</v>
      </c>
      <c r="H178" s="228" t="s">
        <v>1285</v>
      </c>
      <c r="I178" s="228" t="s">
        <v>981</v>
      </c>
      <c r="J178" s="228" t="s">
        <v>727</v>
      </c>
      <c r="K178" s="229">
        <v>43434</v>
      </c>
      <c r="L178" s="230">
        <v>1</v>
      </c>
      <c r="M178" s="230">
        <v>1.462</v>
      </c>
      <c r="N178" s="228">
        <v>3.56</v>
      </c>
      <c r="O178" s="228" t="s">
        <v>687</v>
      </c>
      <c r="P178" s="231" t="s">
        <v>993</v>
      </c>
      <c r="Q178" s="231" t="s">
        <v>994</v>
      </c>
      <c r="R178" s="228" t="s">
        <v>24</v>
      </c>
      <c r="S178" s="228"/>
      <c r="T178" s="232" t="s">
        <v>120</v>
      </c>
      <c r="U178" s="228" t="s">
        <v>982</v>
      </c>
      <c r="V178" s="232" t="s">
        <v>120</v>
      </c>
      <c r="W178" s="228"/>
      <c r="X178" s="232" t="s">
        <v>120</v>
      </c>
      <c r="Y178" s="228" t="s">
        <v>1120</v>
      </c>
      <c r="Z178" s="233" t="s">
        <v>120</v>
      </c>
      <c r="AA178" s="234"/>
      <c r="AB178" s="234"/>
      <c r="AC178" s="235" t="s">
        <v>123</v>
      </c>
      <c r="AD178" s="228" t="s">
        <v>1121</v>
      </c>
      <c r="AE178" s="232" t="s">
        <v>120</v>
      </c>
      <c r="AF178" s="229" t="s">
        <v>1432</v>
      </c>
      <c r="AG178" s="236"/>
      <c r="AH178" s="236"/>
      <c r="AI178" s="228" t="s">
        <v>1122</v>
      </c>
      <c r="AJ178" s="232" t="s">
        <v>120</v>
      </c>
      <c r="AK178" s="228" t="s">
        <v>123</v>
      </c>
      <c r="AL178" s="228" t="s">
        <v>935</v>
      </c>
      <c r="AM178" s="232"/>
      <c r="AN178" s="228"/>
      <c r="AO178" s="228"/>
      <c r="AP178" s="237"/>
      <c r="AQ178" s="228"/>
      <c r="AR178" s="232"/>
      <c r="AS178" s="228"/>
      <c r="AT178" s="229">
        <v>43437.615609375003</v>
      </c>
      <c r="AU178" s="229">
        <v>43451.370470833303</v>
      </c>
      <c r="AV178" s="229">
        <v>43439.707486226798</v>
      </c>
      <c r="AW178" s="229">
        <v>43437.615609375003</v>
      </c>
      <c r="AX178" s="229">
        <v>43438.644197916699</v>
      </c>
      <c r="AY178" s="229">
        <v>43434.6749305556</v>
      </c>
      <c r="AZ178" s="238">
        <v>43451.411459259303</v>
      </c>
      <c r="BA178" s="1" t="s">
        <v>7684</v>
      </c>
      <c r="BB178">
        <v>130</v>
      </c>
      <c r="BC178">
        <v>60</v>
      </c>
      <c r="BD178">
        <v>3137</v>
      </c>
      <c r="BE17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17.411459259303228</v>
      </c>
      <c r="BF178" s="240">
        <f>COUNTIFS(_05preva_view43[Site ID],_05preva_view43[[#This Row],[Site ID]],_05preva_view43[Prevalidation Status],"Under Prevalidation")</f>
        <v>0</v>
      </c>
      <c r="BG17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8" s="242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3.xlsx</v>
      </c>
      <c r="BI178" s="64" t="e">
        <f t="shared" ca="1" si="3"/>
        <v>#VALUE!</v>
      </c>
      <c r="BJ178" s="104" t="e">
        <f ca="1">LEFT(CELL("filename",A163),_05preva_view43[[#This Row],[Find Process &amp; Database]]-1)</f>
        <v>#VALUE!</v>
      </c>
      <c r="BK178" s="104" t="e">
        <f ca="1">_05preva_view43[Folder Path1]&amp;"Process &amp; Database\Documentation\Colo Applications"</f>
        <v>#VALUE!</v>
      </c>
      <c r="BL178" s="104" t="e">
        <f ca="1">_05preva_view43[Folder Path2]&amp;"\Colo App "&amp;_05preva_view43[[#This Row],[Operator]]&amp;"\"</f>
        <v>#VALUE!</v>
      </c>
      <c r="BM178" s="63" t="e">
        <f ca="1">_05preva_view43[[#This Row],[Folder Path3]]&amp;_05preva_view43[[#This Row],[File Name]]</f>
        <v>#VALUE!</v>
      </c>
      <c r="BN178" s="104"/>
      <c r="CF178" s="5"/>
      <c r="CG178" s="5"/>
      <c r="CH178" s="3"/>
      <c r="CJ178" s="5"/>
      <c r="CN178" s="3"/>
      <c r="CO178" s="3"/>
      <c r="CP178" s="5"/>
      <c r="CR178" s="3"/>
      <c r="DN178" s="5"/>
      <c r="DP178" s="3"/>
      <c r="EB178" s="7"/>
      <c r="EC178" s="7"/>
      <c r="EF178" s="4"/>
      <c r="EG178" s="4"/>
      <c r="EQ178" s="2"/>
      <c r="ER178" s="2"/>
    </row>
    <row r="179" spans="1:148">
      <c r="A179" s="227">
        <v>3461</v>
      </c>
      <c r="B179" s="228" t="s">
        <v>1123</v>
      </c>
      <c r="C179" s="228" t="s">
        <v>278</v>
      </c>
      <c r="D179" s="228" t="s">
        <v>127</v>
      </c>
      <c r="E179" s="228" t="s">
        <v>1124</v>
      </c>
      <c r="F179" s="228" t="s">
        <v>35</v>
      </c>
      <c r="G179" s="228" t="s">
        <v>1292</v>
      </c>
      <c r="H179" s="228" t="s">
        <v>1285</v>
      </c>
      <c r="I179" s="228" t="s">
        <v>981</v>
      </c>
      <c r="J179" s="228" t="s">
        <v>727</v>
      </c>
      <c r="K179" s="229">
        <v>43434</v>
      </c>
      <c r="L179" s="230">
        <v>1</v>
      </c>
      <c r="M179" s="230">
        <v>1.462</v>
      </c>
      <c r="N179" s="228">
        <v>4.1900000000000004</v>
      </c>
      <c r="O179" s="228" t="s">
        <v>687</v>
      </c>
      <c r="P179" s="231" t="s">
        <v>808</v>
      </c>
      <c r="Q179" s="231" t="s">
        <v>809</v>
      </c>
      <c r="R179" s="228" t="s">
        <v>24</v>
      </c>
      <c r="S179" s="228"/>
      <c r="T179" s="232" t="s">
        <v>120</v>
      </c>
      <c r="U179" s="228" t="s">
        <v>982</v>
      </c>
      <c r="V179" s="232" t="s">
        <v>120</v>
      </c>
      <c r="W179" s="228"/>
      <c r="X179" s="232" t="s">
        <v>120</v>
      </c>
      <c r="Y179" s="228" t="s">
        <v>1125</v>
      </c>
      <c r="Z179" s="233" t="s">
        <v>120</v>
      </c>
      <c r="AA179" s="234"/>
      <c r="AB179" s="234"/>
      <c r="AC179" s="235" t="s">
        <v>123</v>
      </c>
      <c r="AD179" s="228" t="s">
        <v>1126</v>
      </c>
      <c r="AE179" s="232" t="s">
        <v>120</v>
      </c>
      <c r="AF179" s="229" t="s">
        <v>1105</v>
      </c>
      <c r="AG179" s="236"/>
      <c r="AH179" s="236"/>
      <c r="AI179" s="228"/>
      <c r="AJ179" s="232" t="s">
        <v>120</v>
      </c>
      <c r="AK179" s="228" t="s">
        <v>123</v>
      </c>
      <c r="AL179" s="228" t="s">
        <v>935</v>
      </c>
      <c r="AM179" s="232"/>
      <c r="AN179" s="228"/>
      <c r="AO179" s="228"/>
      <c r="AP179" s="237"/>
      <c r="AQ179" s="228"/>
      <c r="AR179" s="232"/>
      <c r="AS179" s="228"/>
      <c r="AT179" s="229">
        <v>43437.615612152797</v>
      </c>
      <c r="AU179" s="229">
        <v>43440.6874626157</v>
      </c>
      <c r="AV179" s="229">
        <v>43440.494384375001</v>
      </c>
      <c r="AW179" s="229">
        <v>43437.615612152797</v>
      </c>
      <c r="AX179" s="229">
        <v>43438.6441984954</v>
      </c>
      <c r="AY179" s="229">
        <v>43434.674931713002</v>
      </c>
      <c r="AZ179" s="238">
        <v>43441.419787268504</v>
      </c>
      <c r="BA179" s="1" t="s">
        <v>7684</v>
      </c>
      <c r="BB179">
        <v>130</v>
      </c>
      <c r="BC179">
        <v>60</v>
      </c>
      <c r="BD179">
        <v>3116</v>
      </c>
      <c r="BE17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7.4197872685035691</v>
      </c>
      <c r="BF179" s="240">
        <f>COUNTIFS(_05preva_view43[Site ID],_05preva_view43[[#This Row],[Site ID]],_05preva_view43[Prevalidation Status],"Under Prevalidation")</f>
        <v>0</v>
      </c>
      <c r="BG17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79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3.xlsx</v>
      </c>
      <c r="BI179" s="64" t="e">
        <f t="shared" ca="1" si="3"/>
        <v>#VALUE!</v>
      </c>
      <c r="BJ179" s="104" t="e">
        <f ca="1">LEFT(CELL("filename",A164),_05preva_view43[[#This Row],[Find Process &amp; Database]]-1)</f>
        <v>#VALUE!</v>
      </c>
      <c r="BK179" s="104" t="e">
        <f ca="1">_05preva_view43[Folder Path1]&amp;"Process &amp; Database\Documentation\Colo Applications"</f>
        <v>#VALUE!</v>
      </c>
      <c r="BL179" s="104" t="e">
        <f ca="1">_05preva_view43[Folder Path2]&amp;"\Colo App "&amp;_05preva_view43[[#This Row],[Operator]]&amp;"\"</f>
        <v>#VALUE!</v>
      </c>
      <c r="BM179" s="63" t="e">
        <f ca="1">_05preva_view43[[#This Row],[Folder Path3]]&amp;_05preva_view43[[#This Row],[File Name]]</f>
        <v>#VALUE!</v>
      </c>
      <c r="BN179" s="104"/>
      <c r="CF179" s="5"/>
      <c r="CG179" s="5"/>
      <c r="CH179" s="3"/>
      <c r="CJ179" s="5"/>
      <c r="CN179" s="3"/>
      <c r="CO179" s="3"/>
      <c r="CP179" s="5"/>
      <c r="CR179" s="3"/>
      <c r="DN179" s="5"/>
      <c r="DP179" s="3"/>
      <c r="EB179" s="7"/>
      <c r="EC179" s="7"/>
      <c r="EF179" s="4"/>
      <c r="EG179" s="4"/>
      <c r="EQ179" s="2"/>
      <c r="ER179" s="2"/>
    </row>
    <row r="180" spans="1:148">
      <c r="A180" s="227">
        <v>3446</v>
      </c>
      <c r="B180" s="228" t="s">
        <v>1061</v>
      </c>
      <c r="C180" s="228" t="s">
        <v>278</v>
      </c>
      <c r="D180" s="228" t="s">
        <v>127</v>
      </c>
      <c r="E180" s="228" t="s">
        <v>1062</v>
      </c>
      <c r="F180" s="228" t="s">
        <v>35</v>
      </c>
      <c r="G180" s="228" t="s">
        <v>1292</v>
      </c>
      <c r="H180" s="228" t="s">
        <v>1285</v>
      </c>
      <c r="I180" s="228" t="s">
        <v>981</v>
      </c>
      <c r="J180" s="228" t="s">
        <v>686</v>
      </c>
      <c r="K180" s="229">
        <v>43432</v>
      </c>
      <c r="L180" s="230">
        <v>1</v>
      </c>
      <c r="M180" s="230">
        <v>1.4</v>
      </c>
      <c r="N180" s="228">
        <v>3.56</v>
      </c>
      <c r="O180" s="228" t="s">
        <v>687</v>
      </c>
      <c r="P180" s="231" t="s">
        <v>993</v>
      </c>
      <c r="Q180" s="231" t="s">
        <v>994</v>
      </c>
      <c r="R180" s="228" t="s">
        <v>24</v>
      </c>
      <c r="S180" s="228"/>
      <c r="T180" s="232" t="s">
        <v>120</v>
      </c>
      <c r="U180" s="228" t="s">
        <v>982</v>
      </c>
      <c r="V180" s="232" t="s">
        <v>120</v>
      </c>
      <c r="W180" s="228"/>
      <c r="X180" s="232" t="s">
        <v>120</v>
      </c>
      <c r="Y180" s="228" t="s">
        <v>1063</v>
      </c>
      <c r="Z180" s="233" t="s">
        <v>120</v>
      </c>
      <c r="AA180" s="234"/>
      <c r="AB180" s="234"/>
      <c r="AC180" s="235" t="s">
        <v>123</v>
      </c>
      <c r="AD180" s="228" t="s">
        <v>1064</v>
      </c>
      <c r="AE180" s="232" t="s">
        <v>120</v>
      </c>
      <c r="AF180" s="229"/>
      <c r="AG180" s="236"/>
      <c r="AH180" s="236"/>
      <c r="AI180" s="228" t="s">
        <v>1065</v>
      </c>
      <c r="AJ180" s="232" t="s">
        <v>120</v>
      </c>
      <c r="AK180" s="228" t="s">
        <v>123</v>
      </c>
      <c r="AL180" s="228" t="s">
        <v>935</v>
      </c>
      <c r="AM180" s="232"/>
      <c r="AN180" s="228"/>
      <c r="AO180" s="228"/>
      <c r="AP180" s="237"/>
      <c r="AQ180" s="228"/>
      <c r="AR180" s="232"/>
      <c r="AS180" s="228"/>
      <c r="AT180" s="229">
        <v>43433.679719791697</v>
      </c>
      <c r="AU180" s="229">
        <v>43433.627221296301</v>
      </c>
      <c r="AV180" s="229">
        <v>43434.722880208297</v>
      </c>
      <c r="AW180" s="229">
        <v>43433.679719791697</v>
      </c>
      <c r="AX180" s="229">
        <v>43438.644180671297</v>
      </c>
      <c r="AY180" s="229">
        <v>43433.472604050898</v>
      </c>
      <c r="AZ180" s="238">
        <v>43439.634170138903</v>
      </c>
      <c r="BA180" s="1" t="s">
        <v>7684</v>
      </c>
      <c r="BB180">
        <v>130</v>
      </c>
      <c r="BC180">
        <v>60</v>
      </c>
      <c r="BD180">
        <v>3121</v>
      </c>
      <c r="BE18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7.6341701389028458</v>
      </c>
      <c r="BF180" s="240">
        <f>COUNTIFS(_05preva_view43[Site ID],_05preva_view43[[#This Row],[Site ID]],_05preva_view43[Prevalidation Status],"Under Prevalidation")</f>
        <v>0</v>
      </c>
      <c r="BG18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0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2.xlsx</v>
      </c>
      <c r="BI180" s="64" t="e">
        <f t="shared" ca="1" si="3"/>
        <v>#VALUE!</v>
      </c>
      <c r="BJ180" s="104" t="e">
        <f ca="1">LEFT(CELL("filename",A165),_05preva_view43[[#This Row],[Find Process &amp; Database]]-1)</f>
        <v>#VALUE!</v>
      </c>
      <c r="BK180" s="104" t="e">
        <f ca="1">_05preva_view43[Folder Path1]&amp;"Process &amp; Database\Documentation\Colo Applications"</f>
        <v>#VALUE!</v>
      </c>
      <c r="BL180" s="104" t="e">
        <f ca="1">_05preva_view43[Folder Path2]&amp;"\Colo App "&amp;_05preva_view43[[#This Row],[Operator]]&amp;"\"</f>
        <v>#VALUE!</v>
      </c>
      <c r="BM180" s="63" t="e">
        <f ca="1">_05preva_view43[[#This Row],[Folder Path3]]&amp;_05preva_view43[[#This Row],[File Name]]</f>
        <v>#VALUE!</v>
      </c>
      <c r="BN180" s="104"/>
      <c r="CF180" s="5"/>
      <c r="CG180" s="5"/>
      <c r="CH180" s="3"/>
      <c r="CJ180" s="5"/>
      <c r="CN180" s="3"/>
      <c r="CO180" s="3"/>
      <c r="CP180" s="5"/>
      <c r="CR180" s="3"/>
      <c r="DN180" s="5"/>
      <c r="DP180" s="3"/>
      <c r="EB180" s="7"/>
      <c r="EC180" s="7"/>
      <c r="EF180" s="4"/>
      <c r="EG180" s="4"/>
      <c r="EQ180" s="2"/>
      <c r="ER180" s="2"/>
    </row>
    <row r="181" spans="1:148">
      <c r="A181" s="227">
        <v>3447</v>
      </c>
      <c r="B181" s="228" t="s">
        <v>1066</v>
      </c>
      <c r="C181" s="228" t="s">
        <v>278</v>
      </c>
      <c r="D181" s="228" t="s">
        <v>153</v>
      </c>
      <c r="E181" s="228" t="s">
        <v>1067</v>
      </c>
      <c r="F181" s="228" t="s">
        <v>35</v>
      </c>
      <c r="G181" s="228" t="s">
        <v>1292</v>
      </c>
      <c r="H181" s="228" t="s">
        <v>1285</v>
      </c>
      <c r="I181" s="228" t="s">
        <v>1068</v>
      </c>
      <c r="J181" s="228" t="s">
        <v>668</v>
      </c>
      <c r="K181" s="229">
        <v>43432</v>
      </c>
      <c r="L181" s="230">
        <v>3.36</v>
      </c>
      <c r="M181" s="230">
        <v>4.2</v>
      </c>
      <c r="N181" s="228">
        <v>3.98</v>
      </c>
      <c r="O181" s="228" t="s">
        <v>687</v>
      </c>
      <c r="P181" s="231" t="s">
        <v>694</v>
      </c>
      <c r="Q181" s="231" t="s">
        <v>1069</v>
      </c>
      <c r="R181" s="228" t="s">
        <v>24</v>
      </c>
      <c r="S181" s="228"/>
      <c r="T181" s="232" t="s">
        <v>120</v>
      </c>
      <c r="U181" s="228" t="s">
        <v>982</v>
      </c>
      <c r="V181" s="232" t="s">
        <v>120</v>
      </c>
      <c r="W181" s="228"/>
      <c r="X181" s="232" t="s">
        <v>120</v>
      </c>
      <c r="Y181" s="228" t="s">
        <v>1070</v>
      </c>
      <c r="Z181" s="233" t="s">
        <v>120</v>
      </c>
      <c r="AA181" s="234"/>
      <c r="AB181" s="234"/>
      <c r="AC181" s="235" t="s">
        <v>123</v>
      </c>
      <c r="AD181" s="228" t="s">
        <v>1071</v>
      </c>
      <c r="AE181" s="232" t="s">
        <v>120</v>
      </c>
      <c r="AF181" s="229" t="s">
        <v>1454</v>
      </c>
      <c r="AG181" s="236"/>
      <c r="AH181" s="236"/>
      <c r="AI181" s="228" t="s">
        <v>1305</v>
      </c>
      <c r="AJ181" s="232" t="s">
        <v>120</v>
      </c>
      <c r="AK181" s="228" t="s">
        <v>123</v>
      </c>
      <c r="AL181" s="228" t="s">
        <v>935</v>
      </c>
      <c r="AM181" s="232"/>
      <c r="AN181" s="228"/>
      <c r="AO181" s="228"/>
      <c r="AP181" s="237"/>
      <c r="AQ181" s="228"/>
      <c r="AR181" s="232"/>
      <c r="AS181" s="228"/>
      <c r="AT181" s="229">
        <v>43433.679725578702</v>
      </c>
      <c r="AU181" s="229">
        <v>43451.370464583299</v>
      </c>
      <c r="AV181" s="229">
        <v>43434.722880786998</v>
      </c>
      <c r="AW181" s="229">
        <v>43433.679725578702</v>
      </c>
      <c r="AX181" s="229">
        <v>43438.644181597199</v>
      </c>
      <c r="AY181" s="229">
        <v>43433.472604513903</v>
      </c>
      <c r="AZ181" s="238">
        <v>43451.411454282403</v>
      </c>
      <c r="BA181" s="1" t="s">
        <v>7684</v>
      </c>
      <c r="BB181">
        <v>160</v>
      </c>
      <c r="BC181">
        <v>21</v>
      </c>
      <c r="BD181">
        <v>3403</v>
      </c>
      <c r="BE18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19.411454282402701</v>
      </c>
      <c r="BF181" s="240">
        <f>COUNTIFS(_05preva_view43[Site ID],_05preva_view43[[#This Row],[Site ID]],_05preva_view43[Prevalidation Status],"Under Prevalidation")</f>
        <v>0</v>
      </c>
      <c r="BG18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1" s="242" t="str">
        <f>CONCATENATE(_05preva_view43[[#This Row],[Site ID]]," (",_05preva_view43[[#This Row],[tenant id]],") Application",IF(_05preva_view43[[#This Row],[Colo Rev]]&gt;0," Rev "&amp;_05preva_view43[[#This Row],[Colo Rev]],""),".xlsx")</f>
        <v>1-01-11009-002 (MON00311) Application Rev 1.xlsx</v>
      </c>
      <c r="BI181" s="64" t="e">
        <f t="shared" ca="1" si="3"/>
        <v>#VALUE!</v>
      </c>
      <c r="BJ181" s="104" t="e">
        <f ca="1">LEFT(CELL("filename",A166),_05preva_view43[[#This Row],[Find Process &amp; Database]]-1)</f>
        <v>#VALUE!</v>
      </c>
      <c r="BK181" s="104" t="e">
        <f ca="1">_05preva_view43[Folder Path1]&amp;"Process &amp; Database\Documentation\Colo Applications"</f>
        <v>#VALUE!</v>
      </c>
      <c r="BL181" s="104" t="e">
        <f ca="1">_05preva_view43[Folder Path2]&amp;"\Colo App "&amp;_05preva_view43[[#This Row],[Operator]]&amp;"\"</f>
        <v>#VALUE!</v>
      </c>
      <c r="BM181" s="63" t="e">
        <f ca="1">_05preva_view43[[#This Row],[Folder Path3]]&amp;_05preva_view43[[#This Row],[File Name]]</f>
        <v>#VALUE!</v>
      </c>
      <c r="BN181" s="104"/>
      <c r="CF181" s="5"/>
      <c r="CG181" s="5"/>
      <c r="CH181" s="3"/>
      <c r="CJ181" s="5"/>
      <c r="CN181" s="3"/>
      <c r="CO181" s="3"/>
      <c r="CP181" s="5"/>
      <c r="CR181" s="3"/>
      <c r="DN181" s="5"/>
      <c r="DP181" s="3"/>
      <c r="EB181" s="7"/>
      <c r="EC181" s="7"/>
      <c r="EF181" s="4"/>
      <c r="EG181" s="4"/>
      <c r="EQ181" s="2"/>
      <c r="ER181" s="2"/>
    </row>
    <row r="182" spans="1:148">
      <c r="A182" s="227">
        <v>3448</v>
      </c>
      <c r="B182" s="228" t="s">
        <v>802</v>
      </c>
      <c r="C182" s="228" t="s">
        <v>278</v>
      </c>
      <c r="D182" s="228" t="s">
        <v>117</v>
      </c>
      <c r="E182" s="228" t="s">
        <v>803</v>
      </c>
      <c r="F182" s="228" t="s">
        <v>35</v>
      </c>
      <c r="G182" s="228" t="s">
        <v>1292</v>
      </c>
      <c r="H182" s="228" t="s">
        <v>1285</v>
      </c>
      <c r="I182" s="228" t="s">
        <v>1068</v>
      </c>
      <c r="J182" s="228" t="s">
        <v>1022</v>
      </c>
      <c r="K182" s="229">
        <v>43432</v>
      </c>
      <c r="L182" s="230">
        <v>3.12</v>
      </c>
      <c r="M182" s="230">
        <v>3.9</v>
      </c>
      <c r="N182" s="228">
        <v>4.21</v>
      </c>
      <c r="O182" s="228" t="s">
        <v>687</v>
      </c>
      <c r="P182" s="231" t="s">
        <v>508</v>
      </c>
      <c r="Q182" s="231" t="s">
        <v>509</v>
      </c>
      <c r="R182" s="228" t="s">
        <v>24</v>
      </c>
      <c r="S182" s="228"/>
      <c r="T182" s="232" t="s">
        <v>120</v>
      </c>
      <c r="U182" s="228" t="s">
        <v>982</v>
      </c>
      <c r="V182" s="232" t="s">
        <v>120</v>
      </c>
      <c r="W182" s="228"/>
      <c r="X182" s="232" t="s">
        <v>120</v>
      </c>
      <c r="Y182" s="228" t="s">
        <v>1073</v>
      </c>
      <c r="Z182" s="233" t="s">
        <v>120</v>
      </c>
      <c r="AA182" s="234"/>
      <c r="AB182" s="234"/>
      <c r="AC182" s="235" t="s">
        <v>123</v>
      </c>
      <c r="AD182" s="228" t="s">
        <v>1074</v>
      </c>
      <c r="AE182" s="232" t="s">
        <v>120</v>
      </c>
      <c r="AF182" s="229" t="s">
        <v>1455</v>
      </c>
      <c r="AG182" s="236"/>
      <c r="AH182" s="236"/>
      <c r="AI182" s="228" t="s">
        <v>1306</v>
      </c>
      <c r="AJ182" s="232" t="s">
        <v>120</v>
      </c>
      <c r="AK182" s="228" t="s">
        <v>123</v>
      </c>
      <c r="AL182" s="228" t="s">
        <v>935</v>
      </c>
      <c r="AM182" s="232"/>
      <c r="AN182" s="228"/>
      <c r="AO182" s="228"/>
      <c r="AP182" s="237"/>
      <c r="AQ182" s="228"/>
      <c r="AR182" s="232"/>
      <c r="AS182" s="228"/>
      <c r="AT182" s="229">
        <v>43433.679731944401</v>
      </c>
      <c r="AU182" s="229">
        <v>43451.370466088003</v>
      </c>
      <c r="AV182" s="229">
        <v>43434.722881713002</v>
      </c>
      <c r="AW182" s="229">
        <v>43433.679731944401</v>
      </c>
      <c r="AX182" s="229">
        <v>43438.644183449098</v>
      </c>
      <c r="AY182" s="229">
        <v>43433.472604976901</v>
      </c>
      <c r="AZ182" s="238">
        <v>43451.411455208297</v>
      </c>
      <c r="BA182" s="1" t="s">
        <v>7684</v>
      </c>
      <c r="BB182">
        <v>130</v>
      </c>
      <c r="BC182">
        <v>45</v>
      </c>
      <c r="BD182">
        <v>3281</v>
      </c>
      <c r="BE18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19.411455208297411</v>
      </c>
      <c r="BF182" s="240">
        <f>COUNTIFS(_05preva_view43[Site ID],_05preva_view43[[#This Row],[Site ID]],_05preva_view43[Prevalidation Status],"Under Prevalidation")</f>
        <v>0</v>
      </c>
      <c r="BG18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2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5.xlsx</v>
      </c>
      <c r="BI182" s="64" t="e">
        <f t="shared" ca="1" si="3"/>
        <v>#VALUE!</v>
      </c>
      <c r="BJ182" s="104" t="e">
        <f ca="1">LEFT(CELL("filename",A167),_05preva_view43[[#This Row],[Find Process &amp; Database]]-1)</f>
        <v>#VALUE!</v>
      </c>
      <c r="BK182" s="104" t="e">
        <f ca="1">_05preva_view43[Folder Path1]&amp;"Process &amp; Database\Documentation\Colo Applications"</f>
        <v>#VALUE!</v>
      </c>
      <c r="BL182" s="104" t="e">
        <f ca="1">_05preva_view43[Folder Path2]&amp;"\Colo App "&amp;_05preva_view43[[#This Row],[Operator]]&amp;"\"</f>
        <v>#VALUE!</v>
      </c>
      <c r="BM182" s="63" t="e">
        <f ca="1">_05preva_view43[[#This Row],[Folder Path3]]&amp;_05preva_view43[[#This Row],[File Name]]</f>
        <v>#VALUE!</v>
      </c>
      <c r="BN182" s="104"/>
      <c r="CF182" s="5"/>
      <c r="CG182" s="5"/>
      <c r="CH182" s="3"/>
      <c r="CJ182" s="5"/>
      <c r="CN182" s="3"/>
      <c r="CO182" s="3"/>
      <c r="CP182" s="5"/>
      <c r="CR182" s="3"/>
      <c r="DN182" s="5"/>
      <c r="DP182" s="3"/>
      <c r="EB182" s="7"/>
      <c r="EC182" s="7"/>
      <c r="EF182" s="4"/>
      <c r="EG182" s="4"/>
      <c r="EQ182" s="2"/>
      <c r="ER182" s="2"/>
    </row>
    <row r="183" spans="1:148">
      <c r="A183" s="227">
        <v>3449</v>
      </c>
      <c r="B183" s="228" t="s">
        <v>873</v>
      </c>
      <c r="C183" s="228" t="s">
        <v>278</v>
      </c>
      <c r="D183" s="228" t="s">
        <v>117</v>
      </c>
      <c r="E183" s="228" t="s">
        <v>874</v>
      </c>
      <c r="F183" s="228" t="s">
        <v>35</v>
      </c>
      <c r="G183" s="228" t="s">
        <v>1292</v>
      </c>
      <c r="H183" s="228" t="s">
        <v>1285</v>
      </c>
      <c r="I183" s="228" t="s">
        <v>888</v>
      </c>
      <c r="J183" s="228" t="s">
        <v>694</v>
      </c>
      <c r="K183" s="229">
        <v>43432</v>
      </c>
      <c r="L183" s="230">
        <v>2.3199999999999998</v>
      </c>
      <c r="M183" s="230">
        <v>2.9</v>
      </c>
      <c r="N183" s="228">
        <v>2.88</v>
      </c>
      <c r="O183" s="228" t="s">
        <v>687</v>
      </c>
      <c r="P183" s="231" t="s">
        <v>695</v>
      </c>
      <c r="Q183" s="231" t="s">
        <v>696</v>
      </c>
      <c r="R183" s="228" t="s">
        <v>24</v>
      </c>
      <c r="S183" s="228"/>
      <c r="T183" s="232" t="s">
        <v>120</v>
      </c>
      <c r="U183" s="228" t="s">
        <v>982</v>
      </c>
      <c r="V183" s="232" t="s">
        <v>120</v>
      </c>
      <c r="W183" s="228"/>
      <c r="X183" s="232" t="s">
        <v>120</v>
      </c>
      <c r="Y183" s="228" t="s">
        <v>1075</v>
      </c>
      <c r="Z183" s="233" t="s">
        <v>120</v>
      </c>
      <c r="AA183" s="234"/>
      <c r="AB183" s="234"/>
      <c r="AC183" s="235" t="s">
        <v>123</v>
      </c>
      <c r="AD183" s="228" t="s">
        <v>1076</v>
      </c>
      <c r="AE183" s="232" t="s">
        <v>120</v>
      </c>
      <c r="AF183" s="229"/>
      <c r="AG183" s="236"/>
      <c r="AH183" s="236"/>
      <c r="AI183" s="228" t="s">
        <v>1077</v>
      </c>
      <c r="AJ183" s="232" t="s">
        <v>120</v>
      </c>
      <c r="AK183" s="228" t="s">
        <v>123</v>
      </c>
      <c r="AL183" s="228" t="s">
        <v>935</v>
      </c>
      <c r="AM183" s="232"/>
      <c r="AN183" s="228"/>
      <c r="AO183" s="228"/>
      <c r="AP183" s="237"/>
      <c r="AQ183" s="228"/>
      <c r="AR183" s="232"/>
      <c r="AS183" s="228"/>
      <c r="AT183" s="229">
        <v>43433.679737963001</v>
      </c>
      <c r="AU183" s="229">
        <v>43433.627222916701</v>
      </c>
      <c r="AV183" s="229">
        <v>43434.445667592598</v>
      </c>
      <c r="AW183" s="229">
        <v>43433.679737963001</v>
      </c>
      <c r="AX183" s="229">
        <v>43438.644185416699</v>
      </c>
      <c r="AY183" s="229">
        <v>43433.472606481497</v>
      </c>
      <c r="AZ183" s="238">
        <v>43439.634174305596</v>
      </c>
      <c r="BA183" s="1" t="s">
        <v>7684</v>
      </c>
      <c r="BB183">
        <v>130</v>
      </c>
      <c r="BC183">
        <v>60</v>
      </c>
      <c r="BD183">
        <v>3564</v>
      </c>
      <c r="BE18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7.6341743055963889</v>
      </c>
      <c r="BF183" s="240">
        <f>COUNTIFS(_05preva_view43[Site ID],_05preva_view43[[#This Row],[Site ID]],_05preva_view43[Prevalidation Status],"Under Prevalidation")</f>
        <v>0</v>
      </c>
      <c r="BG18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3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4.xlsx</v>
      </c>
      <c r="BI183" s="64" t="e">
        <f t="shared" ca="1" si="3"/>
        <v>#VALUE!</v>
      </c>
      <c r="BJ183" s="104" t="e">
        <f ca="1">LEFT(CELL("filename",A168),_05preva_view43[[#This Row],[Find Process &amp; Database]]-1)</f>
        <v>#VALUE!</v>
      </c>
      <c r="BK183" s="104" t="e">
        <f ca="1">_05preva_view43[Folder Path1]&amp;"Process &amp; Database\Documentation\Colo Applications"</f>
        <v>#VALUE!</v>
      </c>
      <c r="BL183" s="104" t="e">
        <f ca="1">_05preva_view43[Folder Path2]&amp;"\Colo App "&amp;_05preva_view43[[#This Row],[Operator]]&amp;"\"</f>
        <v>#VALUE!</v>
      </c>
      <c r="BM183" s="63" t="e">
        <f ca="1">_05preva_view43[[#This Row],[Folder Path3]]&amp;_05preva_view43[[#This Row],[File Name]]</f>
        <v>#VALUE!</v>
      </c>
      <c r="BN183" s="104"/>
      <c r="CF183" s="5"/>
      <c r="CG183" s="5"/>
      <c r="CH183" s="3"/>
      <c r="CJ183" s="5"/>
      <c r="CN183" s="3"/>
      <c r="CO183" s="3"/>
      <c r="CP183" s="5"/>
      <c r="CR183" s="3"/>
      <c r="DN183" s="5"/>
      <c r="DP183" s="3"/>
      <c r="EB183" s="7"/>
      <c r="EC183" s="7"/>
      <c r="EF183" s="4"/>
      <c r="EG183" s="4"/>
      <c r="EQ183" s="2"/>
      <c r="ER183" s="2"/>
    </row>
    <row r="184" spans="1:148">
      <c r="A184" s="227">
        <v>3450</v>
      </c>
      <c r="B184" s="228" t="s">
        <v>806</v>
      </c>
      <c r="C184" s="228" t="s">
        <v>278</v>
      </c>
      <c r="D184" s="228" t="s">
        <v>153</v>
      </c>
      <c r="E184" s="228" t="s">
        <v>807</v>
      </c>
      <c r="F184" s="228" t="s">
        <v>35</v>
      </c>
      <c r="G184" s="228" t="s">
        <v>1292</v>
      </c>
      <c r="H184" s="228" t="s">
        <v>1285</v>
      </c>
      <c r="I184" s="228" t="s">
        <v>1068</v>
      </c>
      <c r="J184" s="228" t="s">
        <v>694</v>
      </c>
      <c r="K184" s="229">
        <v>43432</v>
      </c>
      <c r="L184" s="230">
        <v>3.28</v>
      </c>
      <c r="M184" s="230">
        <v>4.0999999999999996</v>
      </c>
      <c r="N184" s="228">
        <v>4.42</v>
      </c>
      <c r="O184" s="228" t="s">
        <v>687</v>
      </c>
      <c r="P184" s="231" t="s">
        <v>808</v>
      </c>
      <c r="Q184" s="231" t="s">
        <v>809</v>
      </c>
      <c r="R184" s="228" t="s">
        <v>24</v>
      </c>
      <c r="S184" s="228"/>
      <c r="T184" s="232" t="s">
        <v>120</v>
      </c>
      <c r="U184" s="228" t="s">
        <v>982</v>
      </c>
      <c r="V184" s="232" t="s">
        <v>120</v>
      </c>
      <c r="W184" s="228"/>
      <c r="X184" s="232" t="s">
        <v>120</v>
      </c>
      <c r="Y184" s="228" t="s">
        <v>1078</v>
      </c>
      <c r="Z184" s="233" t="s">
        <v>120</v>
      </c>
      <c r="AA184" s="234"/>
      <c r="AB184" s="234"/>
      <c r="AC184" s="235" t="s">
        <v>123</v>
      </c>
      <c r="AD184" s="228" t="s">
        <v>1079</v>
      </c>
      <c r="AE184" s="232" t="s">
        <v>120</v>
      </c>
      <c r="AF184" s="229" t="s">
        <v>1456</v>
      </c>
      <c r="AG184" s="236"/>
      <c r="AH184" s="236"/>
      <c r="AI184" s="228" t="s">
        <v>1306</v>
      </c>
      <c r="AJ184" s="232" t="s">
        <v>120</v>
      </c>
      <c r="AK184" s="228" t="s">
        <v>123</v>
      </c>
      <c r="AL184" s="228" t="s">
        <v>935</v>
      </c>
      <c r="AM184" s="232"/>
      <c r="AN184" s="228"/>
      <c r="AO184" s="228"/>
      <c r="AP184" s="237"/>
      <c r="AQ184" s="228"/>
      <c r="AR184" s="232"/>
      <c r="AS184" s="228"/>
      <c r="AT184" s="229">
        <v>43433.6797443287</v>
      </c>
      <c r="AU184" s="229">
        <v>43451.370467361099</v>
      </c>
      <c r="AV184" s="229">
        <v>43434.578054398102</v>
      </c>
      <c r="AW184" s="229">
        <v>43433.6797443287</v>
      </c>
      <c r="AX184" s="229">
        <v>43438.644186689802</v>
      </c>
      <c r="AY184" s="229">
        <v>43433.4726077546</v>
      </c>
      <c r="AZ184" s="238">
        <v>43451.411456481503</v>
      </c>
      <c r="BA184" s="1" t="s">
        <v>7684</v>
      </c>
      <c r="BB184">
        <v>160</v>
      </c>
      <c r="BC184">
        <v>56</v>
      </c>
      <c r="BD184">
        <v>3149</v>
      </c>
      <c r="BE18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19.411456481502682</v>
      </c>
      <c r="BF184" s="240">
        <f>COUNTIFS(_05preva_view43[Site ID],_05preva_view43[[#This Row],[Site ID]],_05preva_view43[Prevalidation Status],"Under Prevalidation")</f>
        <v>0</v>
      </c>
      <c r="BG18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4" s="242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4.xlsx</v>
      </c>
      <c r="BI184" s="64" t="e">
        <f t="shared" ca="1" si="3"/>
        <v>#VALUE!</v>
      </c>
      <c r="BJ184" s="104" t="e">
        <f ca="1">LEFT(CELL("filename",A169),_05preva_view43[[#This Row],[Find Process &amp; Database]]-1)</f>
        <v>#VALUE!</v>
      </c>
      <c r="BK184" s="104" t="e">
        <f ca="1">_05preva_view43[Folder Path1]&amp;"Process &amp; Database\Documentation\Colo Applications"</f>
        <v>#VALUE!</v>
      </c>
      <c r="BL184" s="104" t="e">
        <f ca="1">_05preva_view43[Folder Path2]&amp;"\Colo App "&amp;_05preva_view43[[#This Row],[Operator]]&amp;"\"</f>
        <v>#VALUE!</v>
      </c>
      <c r="BM184" s="63" t="e">
        <f ca="1">_05preva_view43[[#This Row],[Folder Path3]]&amp;_05preva_view43[[#This Row],[File Name]]</f>
        <v>#VALUE!</v>
      </c>
      <c r="BN184" s="104"/>
      <c r="CF184" s="5"/>
      <c r="CG184" s="5"/>
      <c r="CH184" s="3"/>
      <c r="CJ184" s="5"/>
      <c r="CN184" s="3"/>
      <c r="CO184" s="3"/>
      <c r="CP184" s="5"/>
      <c r="CR184" s="3"/>
      <c r="DN184" s="5"/>
      <c r="DP184" s="3"/>
      <c r="EB184" s="7"/>
      <c r="EC184" s="7"/>
      <c r="EF184" s="4"/>
      <c r="EG184" s="4"/>
      <c r="EQ184" s="2"/>
      <c r="ER184" s="2"/>
    </row>
    <row r="185" spans="1:148">
      <c r="A185" s="227">
        <v>3451</v>
      </c>
      <c r="B185" s="228" t="s">
        <v>1080</v>
      </c>
      <c r="C185" s="228" t="s">
        <v>278</v>
      </c>
      <c r="D185" s="228" t="s">
        <v>153</v>
      </c>
      <c r="E185" s="228" t="s">
        <v>1081</v>
      </c>
      <c r="F185" s="228" t="s">
        <v>35</v>
      </c>
      <c r="G185" s="228" t="s">
        <v>1292</v>
      </c>
      <c r="H185" s="228" t="s">
        <v>1285</v>
      </c>
      <c r="I185" s="228" t="s">
        <v>888</v>
      </c>
      <c r="J185" s="228" t="s">
        <v>694</v>
      </c>
      <c r="K185" s="229">
        <v>43432</v>
      </c>
      <c r="L185" s="230">
        <v>1.92</v>
      </c>
      <c r="M185" s="230">
        <v>2.4</v>
      </c>
      <c r="N185" s="228">
        <v>3.72</v>
      </c>
      <c r="O185" s="228" t="s">
        <v>687</v>
      </c>
      <c r="P185" s="231" t="s">
        <v>526</v>
      </c>
      <c r="Q185" s="231" t="s">
        <v>629</v>
      </c>
      <c r="R185" s="228" t="s">
        <v>24</v>
      </c>
      <c r="S185" s="228"/>
      <c r="T185" s="232" t="s">
        <v>120</v>
      </c>
      <c r="U185" s="228" t="s">
        <v>982</v>
      </c>
      <c r="V185" s="232" t="s">
        <v>120</v>
      </c>
      <c r="W185" s="228"/>
      <c r="X185" s="232" t="s">
        <v>120</v>
      </c>
      <c r="Y185" s="228" t="s">
        <v>1082</v>
      </c>
      <c r="Z185" s="233" t="s">
        <v>120</v>
      </c>
      <c r="AA185" s="234"/>
      <c r="AB185" s="234"/>
      <c r="AC185" s="235" t="s">
        <v>123</v>
      </c>
      <c r="AD185" s="228" t="s">
        <v>1083</v>
      </c>
      <c r="AE185" s="232" t="s">
        <v>120</v>
      </c>
      <c r="AF185" s="229" t="s">
        <v>1457</v>
      </c>
      <c r="AG185" s="236"/>
      <c r="AH185" s="236"/>
      <c r="AI185" s="228" t="s">
        <v>1072</v>
      </c>
      <c r="AJ185" s="232" t="s">
        <v>120</v>
      </c>
      <c r="AK185" s="228" t="s">
        <v>123</v>
      </c>
      <c r="AL185" s="228" t="s">
        <v>935</v>
      </c>
      <c r="AM185" s="232"/>
      <c r="AN185" s="228"/>
      <c r="AO185" s="228"/>
      <c r="AP185" s="237"/>
      <c r="AQ185" s="228"/>
      <c r="AR185" s="232"/>
      <c r="AS185" s="228"/>
      <c r="AT185" s="229">
        <v>43433.679749884301</v>
      </c>
      <c r="AU185" s="229">
        <v>43451.370468055597</v>
      </c>
      <c r="AV185" s="229">
        <v>43434.629329166703</v>
      </c>
      <c r="AW185" s="229">
        <v>43433.679749884301</v>
      </c>
      <c r="AX185" s="229">
        <v>43438.644188310202</v>
      </c>
      <c r="AY185" s="229">
        <v>43433.472608217598</v>
      </c>
      <c r="AZ185" s="238">
        <v>43451.411457754599</v>
      </c>
      <c r="BA185" s="1" t="s">
        <v>7684</v>
      </c>
      <c r="BB185">
        <v>160</v>
      </c>
      <c r="BC185">
        <v>35</v>
      </c>
      <c r="BD185">
        <v>3140</v>
      </c>
      <c r="BE18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19.411457754598814</v>
      </c>
      <c r="BF185" s="240">
        <f>COUNTIFS(_05preva_view43[Site ID],_05preva_view43[[#This Row],[Site ID]],_05preva_view43[Prevalidation Status],"Under Prevalidation")</f>
        <v>0</v>
      </c>
      <c r="BG18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5" s="242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4.xlsx</v>
      </c>
      <c r="BI185" s="64" t="e">
        <f t="shared" ca="1" si="3"/>
        <v>#VALUE!</v>
      </c>
      <c r="BJ185" s="104" t="e">
        <f ca="1">LEFT(CELL("filename",A170),_05preva_view43[[#This Row],[Find Process &amp; Database]]-1)</f>
        <v>#VALUE!</v>
      </c>
      <c r="BK185" s="104" t="e">
        <f ca="1">_05preva_view43[Folder Path1]&amp;"Process &amp; Database\Documentation\Colo Applications"</f>
        <v>#VALUE!</v>
      </c>
      <c r="BL185" s="104" t="e">
        <f ca="1">_05preva_view43[Folder Path2]&amp;"\Colo App "&amp;_05preva_view43[[#This Row],[Operator]]&amp;"\"</f>
        <v>#VALUE!</v>
      </c>
      <c r="BM185" s="63" t="e">
        <f ca="1">_05preva_view43[[#This Row],[Folder Path3]]&amp;_05preva_view43[[#This Row],[File Name]]</f>
        <v>#VALUE!</v>
      </c>
      <c r="BN185" s="104"/>
      <c r="CF185" s="5"/>
      <c r="CG185" s="5"/>
      <c r="CH185" s="3"/>
      <c r="CJ185" s="5"/>
      <c r="CN185" s="3"/>
      <c r="CO185" s="3"/>
      <c r="CP185" s="5"/>
      <c r="CR185" s="3"/>
      <c r="DN185" s="5"/>
      <c r="DP185" s="3"/>
      <c r="EB185" s="7"/>
      <c r="EC185" s="7"/>
      <c r="EF185" s="4"/>
      <c r="EG185" s="4"/>
      <c r="EQ185" s="2"/>
      <c r="ER185" s="2"/>
    </row>
    <row r="186" spans="1:148">
      <c r="A186" s="227">
        <v>3452</v>
      </c>
      <c r="B186" s="228" t="s">
        <v>1084</v>
      </c>
      <c r="C186" s="228" t="s">
        <v>278</v>
      </c>
      <c r="D186" s="228" t="s">
        <v>153</v>
      </c>
      <c r="E186" s="228" t="s">
        <v>1085</v>
      </c>
      <c r="F186" s="228" t="s">
        <v>35</v>
      </c>
      <c r="G186" s="228" t="s">
        <v>1292</v>
      </c>
      <c r="H186" s="228" t="s">
        <v>1285</v>
      </c>
      <c r="I186" s="228" t="s">
        <v>888</v>
      </c>
      <c r="J186" s="228" t="s">
        <v>686</v>
      </c>
      <c r="K186" s="229">
        <v>43432</v>
      </c>
      <c r="L186" s="230">
        <v>2.16</v>
      </c>
      <c r="M186" s="230">
        <v>2.7</v>
      </c>
      <c r="N186" s="228">
        <v>3.47</v>
      </c>
      <c r="O186" s="228" t="s">
        <v>687</v>
      </c>
      <c r="P186" s="231" t="s">
        <v>508</v>
      </c>
      <c r="Q186" s="231" t="s">
        <v>509</v>
      </c>
      <c r="R186" s="228" t="s">
        <v>24</v>
      </c>
      <c r="S186" s="228"/>
      <c r="T186" s="232" t="s">
        <v>120</v>
      </c>
      <c r="U186" s="228" t="s">
        <v>982</v>
      </c>
      <c r="V186" s="232" t="s">
        <v>120</v>
      </c>
      <c r="W186" s="228"/>
      <c r="X186" s="232" t="s">
        <v>120</v>
      </c>
      <c r="Y186" s="228" t="s">
        <v>1086</v>
      </c>
      <c r="Z186" s="233" t="s">
        <v>120</v>
      </c>
      <c r="AA186" s="234"/>
      <c r="AB186" s="234"/>
      <c r="AC186" s="235" t="s">
        <v>123</v>
      </c>
      <c r="AD186" s="228" t="s">
        <v>1087</v>
      </c>
      <c r="AE186" s="232" t="s">
        <v>120</v>
      </c>
      <c r="AF186" s="229"/>
      <c r="AG186" s="236"/>
      <c r="AH186" s="236"/>
      <c r="AI186" s="228" t="s">
        <v>1065</v>
      </c>
      <c r="AJ186" s="232" t="s">
        <v>120</v>
      </c>
      <c r="AK186" s="228" t="s">
        <v>123</v>
      </c>
      <c r="AL186" s="228" t="s">
        <v>935</v>
      </c>
      <c r="AM186" s="232"/>
      <c r="AN186" s="228"/>
      <c r="AO186" s="228"/>
      <c r="AP186" s="237"/>
      <c r="AQ186" s="228"/>
      <c r="AR186" s="232"/>
      <c r="AS186" s="228"/>
      <c r="AT186" s="229">
        <v>43433.679755555597</v>
      </c>
      <c r="AU186" s="229">
        <v>43433.627225347198</v>
      </c>
      <c r="AV186" s="229">
        <v>43434.717072337997</v>
      </c>
      <c r="AW186" s="229">
        <v>43433.679755555597</v>
      </c>
      <c r="AX186" s="229">
        <v>43438.644189583298</v>
      </c>
      <c r="AY186" s="229">
        <v>43433.4726099537</v>
      </c>
      <c r="AZ186" s="238">
        <v>43439.634178819397</v>
      </c>
      <c r="BA186" s="1" t="s">
        <v>7684</v>
      </c>
      <c r="BB186">
        <v>195</v>
      </c>
      <c r="BC186">
        <v>45</v>
      </c>
      <c r="BD186">
        <v>3526</v>
      </c>
      <c r="BE18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7.6341788193967659</v>
      </c>
      <c r="BF186" s="240">
        <f>COUNTIFS(_05preva_view43[Site ID],_05preva_view43[[#This Row],[Site ID]],_05preva_view43[Prevalidation Status],"Under Prevalidation")</f>
        <v>0</v>
      </c>
      <c r="BG18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6" s="242" t="str">
        <f>CONCATENATE(_05preva_view43[[#This Row],[Site ID]]," (",_05preva_view43[[#This Row],[tenant id]],") Application",IF(_05preva_view43[[#This Row],[Colo Rev]]&gt;0," Rev "&amp;_05preva_view43[[#This Row],[Colo Rev]],""),".xlsx")</f>
        <v>1-01-13004-006 (YGN00927) Application Rev 2.xlsx</v>
      </c>
      <c r="BI186" s="64" t="e">
        <f t="shared" ca="1" si="3"/>
        <v>#VALUE!</v>
      </c>
      <c r="BJ186" s="104" t="e">
        <f ca="1">LEFT(CELL("filename",A171),_05preva_view43[[#This Row],[Find Process &amp; Database]]-1)</f>
        <v>#VALUE!</v>
      </c>
      <c r="BK186" s="104" t="e">
        <f ca="1">_05preva_view43[Folder Path1]&amp;"Process &amp; Database\Documentation\Colo Applications"</f>
        <v>#VALUE!</v>
      </c>
      <c r="BL186" s="104" t="e">
        <f ca="1">_05preva_view43[Folder Path2]&amp;"\Colo App "&amp;_05preva_view43[[#This Row],[Operator]]&amp;"\"</f>
        <v>#VALUE!</v>
      </c>
      <c r="BM186" s="63" t="e">
        <f ca="1">_05preva_view43[[#This Row],[Folder Path3]]&amp;_05preva_view43[[#This Row],[File Name]]</f>
        <v>#VALUE!</v>
      </c>
      <c r="BN186" s="104"/>
      <c r="CF186" s="5"/>
      <c r="CG186" s="5"/>
      <c r="CH186" s="3"/>
      <c r="CJ186" s="5"/>
      <c r="CN186" s="3"/>
      <c r="CO186" s="3"/>
      <c r="CP186" s="5"/>
      <c r="CR186" s="3"/>
      <c r="DN186" s="5"/>
      <c r="DP186" s="3"/>
      <c r="EB186" s="7"/>
      <c r="EC186" s="7"/>
      <c r="EF186" s="4"/>
      <c r="EG186" s="4"/>
      <c r="EQ186" s="2"/>
      <c r="ER186" s="2"/>
    </row>
    <row r="187" spans="1:148">
      <c r="A187" s="227">
        <v>3445</v>
      </c>
      <c r="B187" s="228" t="s">
        <v>1056</v>
      </c>
      <c r="C187" s="228" t="s">
        <v>278</v>
      </c>
      <c r="D187" s="228" t="s">
        <v>127</v>
      </c>
      <c r="E187" s="228" t="s">
        <v>1057</v>
      </c>
      <c r="F187" s="228" t="s">
        <v>38</v>
      </c>
      <c r="G187" s="228" t="s">
        <v>1295</v>
      </c>
      <c r="H187" s="228" t="s">
        <v>1285</v>
      </c>
      <c r="I187" s="228" t="s">
        <v>1058</v>
      </c>
      <c r="J187" s="228" t="s">
        <v>668</v>
      </c>
      <c r="K187" s="229">
        <v>43431</v>
      </c>
      <c r="L187" s="230"/>
      <c r="M187" s="230"/>
      <c r="N187" s="228">
        <v>4.8</v>
      </c>
      <c r="O187" s="228" t="s">
        <v>687</v>
      </c>
      <c r="P187" s="231" t="s">
        <v>765</v>
      </c>
      <c r="Q187" s="231" t="s">
        <v>766</v>
      </c>
      <c r="R187" s="228" t="s">
        <v>24</v>
      </c>
      <c r="S187" s="228"/>
      <c r="T187" s="232" t="s">
        <v>615</v>
      </c>
      <c r="U187" s="228"/>
      <c r="V187" s="232" t="s">
        <v>120</v>
      </c>
      <c r="W187" s="228" t="s">
        <v>120</v>
      </c>
      <c r="X187" s="232" t="s">
        <v>120</v>
      </c>
      <c r="Y187" s="228" t="s">
        <v>1059</v>
      </c>
      <c r="Z187" s="233" t="s">
        <v>120</v>
      </c>
      <c r="AA187" s="234"/>
      <c r="AB187" s="234"/>
      <c r="AC187" s="235" t="s">
        <v>123</v>
      </c>
      <c r="AD187" s="228" t="s">
        <v>1060</v>
      </c>
      <c r="AE187" s="232" t="s">
        <v>615</v>
      </c>
      <c r="AF187" s="229"/>
      <c r="AG187" s="236"/>
      <c r="AH187" s="236"/>
      <c r="AI187" s="228"/>
      <c r="AJ187" s="232" t="s">
        <v>120</v>
      </c>
      <c r="AK187" s="228" t="s">
        <v>123</v>
      </c>
      <c r="AL187" s="228" t="s">
        <v>935</v>
      </c>
      <c r="AM187" s="232"/>
      <c r="AN187" s="228"/>
      <c r="AO187" s="228"/>
      <c r="AP187" s="237"/>
      <c r="AQ187" s="228"/>
      <c r="AR187" s="232"/>
      <c r="AS187" s="228"/>
      <c r="AT187" s="229">
        <v>43431.631301273097</v>
      </c>
      <c r="AU187" s="229"/>
      <c r="AV187" s="229">
        <v>43434.4300329861</v>
      </c>
      <c r="AW187" s="229">
        <v>43431.631301273097</v>
      </c>
      <c r="AX187" s="229"/>
      <c r="AY187" s="229">
        <v>43431.6475726852</v>
      </c>
      <c r="AZ187" s="238">
        <v>43434.4300329861</v>
      </c>
      <c r="BA187" s="1" t="s">
        <v>7684</v>
      </c>
      <c r="BB187">
        <v>130</v>
      </c>
      <c r="BC187">
        <v>60</v>
      </c>
      <c r="BD187">
        <v>3238</v>
      </c>
      <c r="BE18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3.4300329860998318</v>
      </c>
      <c r="BF187" s="240">
        <f>COUNTIFS(_05preva_view43[Site ID],_05preva_view43[[#This Row],[Site ID]],_05preva_view43[Prevalidation Status],"Under Prevalidation")</f>
        <v>0</v>
      </c>
      <c r="BG18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7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1-01-05007-011 (SG1093) Application Rev 1.xlsx</v>
      </c>
      <c r="BI187" s="64" t="e">
        <f t="shared" ca="1" si="3"/>
        <v>#VALUE!</v>
      </c>
      <c r="BJ187" s="104" t="e">
        <f ca="1">LEFT(CELL("filename",A172),_05preva_view43[[#This Row],[Find Process &amp; Database]]-1)</f>
        <v>#VALUE!</v>
      </c>
      <c r="BK187" s="104" t="e">
        <f ca="1">_05preva_view43[Folder Path1]&amp;"Process &amp; Database\Documentation\Colo Applications"</f>
        <v>#VALUE!</v>
      </c>
      <c r="BL187" s="104" t="e">
        <f ca="1">_05preva_view43[Folder Path2]&amp;"\Colo App "&amp;_05preva_view43[[#This Row],[Operator]]&amp;"\"</f>
        <v>#VALUE!</v>
      </c>
      <c r="BM187" s="63" t="e">
        <f ca="1">_05preva_view43[[#This Row],[Folder Path3]]&amp;_05preva_view43[[#This Row],[File Name]]</f>
        <v>#VALUE!</v>
      </c>
      <c r="BN187" s="104"/>
      <c r="CF187" s="5"/>
      <c r="CG187" s="5"/>
      <c r="CH187" s="3"/>
      <c r="CJ187" s="5"/>
      <c r="CN187" s="3"/>
      <c r="CO187" s="3"/>
      <c r="CP187" s="5"/>
      <c r="CR187" s="3"/>
      <c r="DN187" s="5"/>
      <c r="DP187" s="3"/>
      <c r="EB187" s="7"/>
      <c r="EC187" s="7"/>
      <c r="EF187" s="4"/>
      <c r="EG187" s="4"/>
      <c r="EQ187" s="2"/>
      <c r="ER187" s="2"/>
    </row>
    <row r="188" spans="1:148">
      <c r="A188" s="227">
        <v>3435</v>
      </c>
      <c r="B188" s="228" t="s">
        <v>1009</v>
      </c>
      <c r="C188" s="228" t="s">
        <v>278</v>
      </c>
      <c r="D188" s="228" t="s">
        <v>127</v>
      </c>
      <c r="E188" s="228" t="s">
        <v>1010</v>
      </c>
      <c r="F188" s="228" t="s">
        <v>35</v>
      </c>
      <c r="G188" s="228" t="s">
        <v>1292</v>
      </c>
      <c r="H188" s="228" t="s">
        <v>1285</v>
      </c>
      <c r="I188" s="228" t="s">
        <v>790</v>
      </c>
      <c r="J188" s="228" t="s">
        <v>668</v>
      </c>
      <c r="K188" s="229">
        <v>43430</v>
      </c>
      <c r="L188" s="230">
        <v>2.0179999999999998</v>
      </c>
      <c r="M188" s="230">
        <v>3.22</v>
      </c>
      <c r="N188" s="228">
        <v>6.0659999999999998</v>
      </c>
      <c r="O188" s="228" t="s">
        <v>687</v>
      </c>
      <c r="P188" s="231" t="s">
        <v>695</v>
      </c>
      <c r="Q188" s="231" t="s">
        <v>696</v>
      </c>
      <c r="R188" s="228" t="s">
        <v>24</v>
      </c>
      <c r="S188" s="228"/>
      <c r="T188" s="232" t="s">
        <v>120</v>
      </c>
      <c r="U188" s="228" t="s">
        <v>1011</v>
      </c>
      <c r="V188" s="232" t="s">
        <v>120</v>
      </c>
      <c r="W188" s="228"/>
      <c r="X188" s="232" t="s">
        <v>120</v>
      </c>
      <c r="Y188" s="228" t="s">
        <v>1012</v>
      </c>
      <c r="Z188" s="233" t="s">
        <v>120</v>
      </c>
      <c r="AA188" s="234"/>
      <c r="AB188" s="234"/>
      <c r="AC188" s="235" t="s">
        <v>123</v>
      </c>
      <c r="AD188" s="228" t="s">
        <v>1045</v>
      </c>
      <c r="AE188" s="232" t="s">
        <v>120</v>
      </c>
      <c r="AF188" s="229" t="s">
        <v>1458</v>
      </c>
      <c r="AG188" s="236"/>
      <c r="AH188" s="236"/>
      <c r="AI188" s="228" t="s">
        <v>1003</v>
      </c>
      <c r="AJ188" s="232" t="s">
        <v>120</v>
      </c>
      <c r="AK188" s="228" t="s">
        <v>123</v>
      </c>
      <c r="AL188" s="228" t="s">
        <v>935</v>
      </c>
      <c r="AM188" s="232"/>
      <c r="AN188" s="228"/>
      <c r="AO188" s="228"/>
      <c r="AP188" s="237"/>
      <c r="AQ188" s="228"/>
      <c r="AR188" s="232"/>
      <c r="AS188" s="228"/>
      <c r="AT188" s="229">
        <v>43430.729991550899</v>
      </c>
      <c r="AU188" s="229">
        <v>43451.370457638899</v>
      </c>
      <c r="AV188" s="229">
        <v>43433.611970601902</v>
      </c>
      <c r="AW188" s="229">
        <v>43430.729991550899</v>
      </c>
      <c r="AX188" s="229">
        <v>43430.496678472198</v>
      </c>
      <c r="AY188" s="229">
        <v>43430.8437508102</v>
      </c>
      <c r="AZ188" s="238">
        <v>43451.389660300898</v>
      </c>
      <c r="BA188" s="1" t="s">
        <v>7684</v>
      </c>
      <c r="BB188">
        <v>130</v>
      </c>
      <c r="BC188">
        <v>60</v>
      </c>
      <c r="BD188">
        <v>3346</v>
      </c>
      <c r="BE18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21.389660300897958</v>
      </c>
      <c r="BF188" s="240">
        <f>COUNTIFS(_05preva_view43[Site ID],_05preva_view43[[#This Row],[Site ID]],_05preva_view43[Prevalidation Status],"Under Prevalidation")</f>
        <v>0</v>
      </c>
      <c r="BG18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8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1-01-05011-004 (SGG00215) Application Rev 1.xlsx</v>
      </c>
      <c r="BI188" s="64" t="e">
        <f t="shared" ca="1" si="3"/>
        <v>#VALUE!</v>
      </c>
      <c r="BJ188" s="104" t="e">
        <f ca="1">LEFT(CELL("filename",A173),_05preva_view43[[#This Row],[Find Process &amp; Database]]-1)</f>
        <v>#VALUE!</v>
      </c>
      <c r="BK188" s="104" t="e">
        <f ca="1">_05preva_view43[Folder Path1]&amp;"Process &amp; Database\Documentation\Colo Applications"</f>
        <v>#VALUE!</v>
      </c>
      <c r="BL188" s="104" t="e">
        <f ca="1">_05preva_view43[Folder Path2]&amp;"\Colo App "&amp;_05preva_view43[[#This Row],[Operator]]&amp;"\"</f>
        <v>#VALUE!</v>
      </c>
      <c r="BM188" s="63" t="e">
        <f ca="1">_05preva_view43[[#This Row],[Folder Path3]]&amp;_05preva_view43[[#This Row],[File Name]]</f>
        <v>#VALUE!</v>
      </c>
      <c r="BN188" s="104"/>
      <c r="CF188" s="5"/>
      <c r="CG188" s="5"/>
      <c r="CH188" s="3"/>
      <c r="CJ188" s="5"/>
      <c r="CN188" s="3"/>
      <c r="CO188" s="3"/>
      <c r="CP188" s="5"/>
      <c r="CR188" s="3"/>
      <c r="DN188" s="5"/>
      <c r="DP188" s="3"/>
      <c r="EB188" s="7"/>
      <c r="EC188" s="7"/>
      <c r="EF188" s="4"/>
      <c r="EG188" s="4"/>
      <c r="EQ188" s="2"/>
      <c r="ER188" s="2"/>
    </row>
    <row r="189" spans="1:148">
      <c r="A189" s="227">
        <v>3436</v>
      </c>
      <c r="B189" s="228" t="s">
        <v>1013</v>
      </c>
      <c r="C189" s="228" t="s">
        <v>278</v>
      </c>
      <c r="D189" s="228" t="s">
        <v>127</v>
      </c>
      <c r="E189" s="228" t="s">
        <v>1014</v>
      </c>
      <c r="F189" s="228" t="s">
        <v>35</v>
      </c>
      <c r="G189" s="228" t="s">
        <v>1292</v>
      </c>
      <c r="H189" s="228" t="s">
        <v>1285</v>
      </c>
      <c r="I189" s="228" t="s">
        <v>1006</v>
      </c>
      <c r="J189" s="228" t="s">
        <v>727</v>
      </c>
      <c r="K189" s="229">
        <v>43430</v>
      </c>
      <c r="L189" s="230">
        <v>1.399</v>
      </c>
      <c r="M189" s="230">
        <v>2.2610000000000001</v>
      </c>
      <c r="N189" s="228">
        <v>2.87</v>
      </c>
      <c r="O189" s="228" t="s">
        <v>687</v>
      </c>
      <c r="P189" s="231" t="s">
        <v>695</v>
      </c>
      <c r="Q189" s="231" t="s">
        <v>696</v>
      </c>
      <c r="R189" s="228" t="s">
        <v>24</v>
      </c>
      <c r="S189" s="228"/>
      <c r="T189" s="232" t="s">
        <v>120</v>
      </c>
      <c r="U189" s="228" t="s">
        <v>982</v>
      </c>
      <c r="V189" s="232" t="s">
        <v>120</v>
      </c>
      <c r="W189" s="228"/>
      <c r="X189" s="232" t="s">
        <v>120</v>
      </c>
      <c r="Y189" s="228" t="s">
        <v>1015</v>
      </c>
      <c r="Z189" s="233" t="s">
        <v>120</v>
      </c>
      <c r="AA189" s="234"/>
      <c r="AB189" s="234"/>
      <c r="AC189" s="235" t="s">
        <v>123</v>
      </c>
      <c r="AD189" s="228" t="s">
        <v>1046</v>
      </c>
      <c r="AE189" s="232" t="s">
        <v>120</v>
      </c>
      <c r="AF189" s="229" t="s">
        <v>1459</v>
      </c>
      <c r="AG189" s="236"/>
      <c r="AH189" s="236"/>
      <c r="AI189" s="228" t="s">
        <v>1003</v>
      </c>
      <c r="AJ189" s="232" t="s">
        <v>120</v>
      </c>
      <c r="AK189" s="228" t="s">
        <v>123</v>
      </c>
      <c r="AL189" s="228" t="s">
        <v>935</v>
      </c>
      <c r="AM189" s="232"/>
      <c r="AN189" s="228"/>
      <c r="AO189" s="228"/>
      <c r="AP189" s="237"/>
      <c r="AQ189" s="228"/>
      <c r="AR189" s="232"/>
      <c r="AS189" s="228"/>
      <c r="AT189" s="229">
        <v>43430.729993634297</v>
      </c>
      <c r="AU189" s="229">
        <v>43451.370458449099</v>
      </c>
      <c r="AV189" s="229">
        <v>43433.416367939797</v>
      </c>
      <c r="AW189" s="229">
        <v>43430.729993634297</v>
      </c>
      <c r="AX189" s="229">
        <v>43430.4966824074</v>
      </c>
      <c r="AY189" s="229">
        <v>43430.843755671303</v>
      </c>
      <c r="AZ189" s="238">
        <v>43451.389661458299</v>
      </c>
      <c r="BA189" s="1" t="s">
        <v>7684</v>
      </c>
      <c r="BB189">
        <v>130</v>
      </c>
      <c r="BC189">
        <v>60</v>
      </c>
      <c r="BD189">
        <v>3247</v>
      </c>
      <c r="BE18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21.389661458299088</v>
      </c>
      <c r="BF189" s="240">
        <f>COUNTIFS(_05preva_view43[Site ID],_05preva_view43[[#This Row],[Site ID]],_05preva_view43[Prevalidation Status],"Under Prevalidation")</f>
        <v>0</v>
      </c>
      <c r="BG18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89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1-01-05010-004 (SGG00233) Application Rev 3.xlsx</v>
      </c>
      <c r="BI189" s="64" t="e">
        <f t="shared" ca="1" si="3"/>
        <v>#VALUE!</v>
      </c>
      <c r="BJ189" s="104" t="e">
        <f ca="1">LEFT(CELL("filename",A174),_05preva_view43[[#This Row],[Find Process &amp; Database]]-1)</f>
        <v>#VALUE!</v>
      </c>
      <c r="BK189" s="104" t="e">
        <f ca="1">_05preva_view43[Folder Path1]&amp;"Process &amp; Database\Documentation\Colo Applications"</f>
        <v>#VALUE!</v>
      </c>
      <c r="BL189" s="104" t="e">
        <f ca="1">_05preva_view43[Folder Path2]&amp;"\Colo App "&amp;_05preva_view43[[#This Row],[Operator]]&amp;"\"</f>
        <v>#VALUE!</v>
      </c>
      <c r="BM189" s="63" t="e">
        <f ca="1">_05preva_view43[[#This Row],[Folder Path3]]&amp;_05preva_view43[[#This Row],[File Name]]</f>
        <v>#VALUE!</v>
      </c>
      <c r="BN189" s="104"/>
      <c r="CF189" s="5"/>
      <c r="CG189" s="5"/>
      <c r="CH189" s="3"/>
      <c r="CJ189" s="5"/>
      <c r="CN189" s="3"/>
      <c r="CO189" s="3"/>
      <c r="CP189" s="5"/>
      <c r="CR189" s="3"/>
      <c r="DN189" s="5"/>
      <c r="DP189" s="3"/>
      <c r="EB189" s="7"/>
      <c r="EC189" s="7"/>
      <c r="EF189" s="4"/>
      <c r="EG189" s="4"/>
      <c r="EQ189" s="2"/>
      <c r="ER189" s="2"/>
    </row>
    <row r="190" spans="1:148">
      <c r="A190" s="227">
        <v>3437</v>
      </c>
      <c r="B190" s="228" t="s">
        <v>931</v>
      </c>
      <c r="C190" s="228" t="s">
        <v>278</v>
      </c>
      <c r="D190" s="228" t="s">
        <v>127</v>
      </c>
      <c r="E190" s="228" t="s">
        <v>932</v>
      </c>
      <c r="F190" s="228" t="s">
        <v>35</v>
      </c>
      <c r="G190" s="228" t="s">
        <v>1292</v>
      </c>
      <c r="H190" s="228" t="s">
        <v>1285</v>
      </c>
      <c r="I190" s="228" t="s">
        <v>790</v>
      </c>
      <c r="J190" s="228" t="s">
        <v>727</v>
      </c>
      <c r="K190" s="229">
        <v>43430</v>
      </c>
      <c r="L190" s="230">
        <v>1.9890000000000001</v>
      </c>
      <c r="M190" s="230">
        <v>3.5489999999999999</v>
      </c>
      <c r="N190" s="228">
        <v>4.54</v>
      </c>
      <c r="O190" s="228" t="s">
        <v>687</v>
      </c>
      <c r="P190" s="231" t="s">
        <v>240</v>
      </c>
      <c r="Q190" s="231" t="s">
        <v>241</v>
      </c>
      <c r="R190" s="228" t="s">
        <v>24</v>
      </c>
      <c r="S190" s="228"/>
      <c r="T190" s="232" t="s">
        <v>120</v>
      </c>
      <c r="U190" s="228" t="s">
        <v>982</v>
      </c>
      <c r="V190" s="232" t="s">
        <v>120</v>
      </c>
      <c r="W190" s="228"/>
      <c r="X190" s="232" t="s">
        <v>120</v>
      </c>
      <c r="Y190" s="228" t="s">
        <v>1016</v>
      </c>
      <c r="Z190" s="233" t="s">
        <v>120</v>
      </c>
      <c r="AA190" s="234"/>
      <c r="AB190" s="234"/>
      <c r="AC190" s="235" t="s">
        <v>123</v>
      </c>
      <c r="AD190" s="228" t="s">
        <v>1047</v>
      </c>
      <c r="AE190" s="232" t="s">
        <v>120</v>
      </c>
      <c r="AF190" s="229" t="s">
        <v>1460</v>
      </c>
      <c r="AG190" s="236"/>
      <c r="AH190" s="236"/>
      <c r="AI190" s="228" t="s">
        <v>1003</v>
      </c>
      <c r="AJ190" s="232" t="s">
        <v>120</v>
      </c>
      <c r="AK190" s="228" t="s">
        <v>123</v>
      </c>
      <c r="AL190" s="228" t="s">
        <v>935</v>
      </c>
      <c r="AM190" s="232"/>
      <c r="AN190" s="228"/>
      <c r="AO190" s="228"/>
      <c r="AP190" s="237"/>
      <c r="AQ190" s="228"/>
      <c r="AR190" s="232"/>
      <c r="AS190" s="228"/>
      <c r="AT190" s="229">
        <v>43431.352911342598</v>
      </c>
      <c r="AU190" s="229">
        <v>43451.370459027799</v>
      </c>
      <c r="AV190" s="229">
        <v>43433.416368634302</v>
      </c>
      <c r="AW190" s="229">
        <v>43431.352911342598</v>
      </c>
      <c r="AX190" s="229">
        <v>43431.683977893503</v>
      </c>
      <c r="AY190" s="229">
        <v>43430.843760995398</v>
      </c>
      <c r="AZ190" s="238">
        <v>43451.389662268499</v>
      </c>
      <c r="BA190" s="1" t="s">
        <v>7684</v>
      </c>
      <c r="BB190">
        <v>130</v>
      </c>
      <c r="BC190">
        <v>60</v>
      </c>
      <c r="BD190">
        <v>3102</v>
      </c>
      <c r="BE19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21.389662268498796</v>
      </c>
      <c r="BF190" s="240">
        <f>COUNTIFS(_05preva_view43[Site ID],_05preva_view43[[#This Row],[Site ID]],_05preva_view43[Prevalidation Status],"Under Prevalidation")</f>
        <v>0</v>
      </c>
      <c r="BG19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0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3.xlsx</v>
      </c>
      <c r="BI190" s="64" t="e">
        <f t="shared" ca="1" si="3"/>
        <v>#VALUE!</v>
      </c>
      <c r="BJ190" s="104" t="e">
        <f ca="1">LEFT(CELL("filename",A175),_05preva_view43[[#This Row],[Find Process &amp; Database]]-1)</f>
        <v>#VALUE!</v>
      </c>
      <c r="BK190" s="104" t="e">
        <f ca="1">_05preva_view43[Folder Path1]&amp;"Process &amp; Database\Documentation\Colo Applications"</f>
        <v>#VALUE!</v>
      </c>
      <c r="BL190" s="104" t="e">
        <f ca="1">_05preva_view43[Folder Path2]&amp;"\Colo App "&amp;_05preva_view43[[#This Row],[Operator]]&amp;"\"</f>
        <v>#VALUE!</v>
      </c>
      <c r="BM190" s="63" t="e">
        <f ca="1">_05preva_view43[[#This Row],[Folder Path3]]&amp;_05preva_view43[[#This Row],[File Name]]</f>
        <v>#VALUE!</v>
      </c>
      <c r="BN190" s="104"/>
      <c r="CF190" s="5"/>
      <c r="CG190" s="5"/>
      <c r="CH190" s="3"/>
      <c r="CJ190" s="5"/>
      <c r="CN190" s="3"/>
      <c r="CO190" s="3"/>
      <c r="CP190" s="5"/>
      <c r="CR190" s="3"/>
      <c r="DN190" s="5"/>
      <c r="DP190" s="3"/>
      <c r="EB190" s="7"/>
      <c r="EC190" s="7"/>
      <c r="EF190" s="4"/>
      <c r="EG190" s="4"/>
      <c r="EQ190" s="2"/>
      <c r="ER190" s="2"/>
    </row>
    <row r="191" spans="1:148">
      <c r="A191" s="227">
        <v>3439</v>
      </c>
      <c r="B191" s="228" t="s">
        <v>1017</v>
      </c>
      <c r="C191" s="228" t="s">
        <v>278</v>
      </c>
      <c r="D191" s="228" t="s">
        <v>153</v>
      </c>
      <c r="E191" s="228" t="s">
        <v>1018</v>
      </c>
      <c r="F191" s="228" t="s">
        <v>35</v>
      </c>
      <c r="G191" s="228" t="s">
        <v>1292</v>
      </c>
      <c r="H191" s="228" t="s">
        <v>1285</v>
      </c>
      <c r="I191" s="228" t="s">
        <v>798</v>
      </c>
      <c r="J191" s="228" t="s">
        <v>727</v>
      </c>
      <c r="K191" s="229">
        <v>43430</v>
      </c>
      <c r="L191" s="230">
        <v>1.68</v>
      </c>
      <c r="M191" s="230">
        <v>2.1</v>
      </c>
      <c r="N191" s="228">
        <v>4.59</v>
      </c>
      <c r="O191" s="228" t="s">
        <v>687</v>
      </c>
      <c r="P191" s="231" t="s">
        <v>993</v>
      </c>
      <c r="Q191" s="231" t="s">
        <v>994</v>
      </c>
      <c r="R191" s="228" t="s">
        <v>24</v>
      </c>
      <c r="S191" s="228"/>
      <c r="T191" s="232" t="s">
        <v>120</v>
      </c>
      <c r="U191" s="228" t="s">
        <v>982</v>
      </c>
      <c r="V191" s="232" t="s">
        <v>120</v>
      </c>
      <c r="W191" s="228"/>
      <c r="X191" s="232" t="s">
        <v>120</v>
      </c>
      <c r="Y191" s="228" t="s">
        <v>1019</v>
      </c>
      <c r="Z191" s="233" t="s">
        <v>120</v>
      </c>
      <c r="AA191" s="234"/>
      <c r="AB191" s="234"/>
      <c r="AC191" s="235" t="s">
        <v>123</v>
      </c>
      <c r="AD191" s="228" t="s">
        <v>1048</v>
      </c>
      <c r="AE191" s="232" t="s">
        <v>120</v>
      </c>
      <c r="AF191" s="229" t="s">
        <v>1460</v>
      </c>
      <c r="AG191" s="236"/>
      <c r="AH191" s="236"/>
      <c r="AI191" s="228" t="s">
        <v>1003</v>
      </c>
      <c r="AJ191" s="232" t="s">
        <v>120</v>
      </c>
      <c r="AK191" s="228" t="s">
        <v>123</v>
      </c>
      <c r="AL191" s="228" t="s">
        <v>935</v>
      </c>
      <c r="AM191" s="232"/>
      <c r="AN191" s="228"/>
      <c r="AO191" s="228"/>
      <c r="AP191" s="237"/>
      <c r="AQ191" s="228"/>
      <c r="AR191" s="232"/>
      <c r="AS191" s="228"/>
      <c r="AT191" s="229">
        <v>43431.352913310198</v>
      </c>
      <c r="AU191" s="229">
        <v>43451.370459722202</v>
      </c>
      <c r="AV191" s="229">
        <v>43433.416369791703</v>
      </c>
      <c r="AW191" s="229">
        <v>43431.352913310198</v>
      </c>
      <c r="AX191" s="229">
        <v>43431.683978472203</v>
      </c>
      <c r="AY191" s="229">
        <v>43430.843765625003</v>
      </c>
      <c r="AZ191" s="238">
        <v>43451.3896634259</v>
      </c>
      <c r="BA191" s="1" t="s">
        <v>7684</v>
      </c>
      <c r="BB191">
        <v>160</v>
      </c>
      <c r="BC191">
        <v>60</v>
      </c>
      <c r="BD191">
        <v>3341</v>
      </c>
      <c r="BE19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21.389663425899926</v>
      </c>
      <c r="BF191" s="240">
        <f>COUNTIFS(_05preva_view43[Site ID],_05preva_view43[[#This Row],[Site ID]],_05preva_view43[Prevalidation Status],"Under Prevalidation")</f>
        <v>0</v>
      </c>
      <c r="BG19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1" s="242" t="str">
        <f>CONCATENATE(_05preva_view43[[#This Row],[Site ID]]," (",_05preva_view43[[#This Row],[tenant id]],") Application",IF(_05preva_view43[[#This Row],[Colo Rev]]&gt;0," Rev "&amp;_05preva_view43[[#This Row],[Colo Rev]],""),".xlsx")</f>
        <v>1-01-11007-003 (MON00275) Application Rev 3.xlsx</v>
      </c>
      <c r="BI191" s="64" t="e">
        <f t="shared" ca="1" si="3"/>
        <v>#VALUE!</v>
      </c>
      <c r="BJ191" s="104" t="e">
        <f ca="1">LEFT(CELL("filename",A176),_05preva_view43[[#This Row],[Find Process &amp; Database]]-1)</f>
        <v>#VALUE!</v>
      </c>
      <c r="BK191" s="104" t="e">
        <f ca="1">_05preva_view43[Folder Path1]&amp;"Process &amp; Database\Documentation\Colo Applications"</f>
        <v>#VALUE!</v>
      </c>
      <c r="BL191" s="104" t="e">
        <f ca="1">_05preva_view43[Folder Path2]&amp;"\Colo App "&amp;_05preva_view43[[#This Row],[Operator]]&amp;"\"</f>
        <v>#VALUE!</v>
      </c>
      <c r="BM191" s="63" t="e">
        <f ca="1">_05preva_view43[[#This Row],[Folder Path3]]&amp;_05preva_view43[[#This Row],[File Name]]</f>
        <v>#VALUE!</v>
      </c>
      <c r="BN191" s="104"/>
      <c r="CF191" s="5"/>
      <c r="CG191" s="5"/>
      <c r="CH191" s="3"/>
      <c r="CJ191" s="5"/>
      <c r="CN191" s="3"/>
      <c r="CO191" s="3"/>
      <c r="CP191" s="5"/>
      <c r="CR191" s="3"/>
      <c r="DN191" s="5"/>
      <c r="DP191" s="3"/>
      <c r="EB191" s="7"/>
      <c r="EC191" s="7"/>
      <c r="EF191" s="4"/>
      <c r="EG191" s="4"/>
      <c r="EQ191" s="2"/>
      <c r="ER191" s="2"/>
    </row>
    <row r="192" spans="1:148">
      <c r="A192" s="227">
        <v>3440</v>
      </c>
      <c r="B192" s="228" t="s">
        <v>734</v>
      </c>
      <c r="C192" s="228" t="s">
        <v>278</v>
      </c>
      <c r="D192" s="228" t="s">
        <v>117</v>
      </c>
      <c r="E192" s="228" t="s">
        <v>735</v>
      </c>
      <c r="F192" s="228" t="s">
        <v>35</v>
      </c>
      <c r="G192" s="228" t="s">
        <v>1292</v>
      </c>
      <c r="H192" s="228" t="s">
        <v>1285</v>
      </c>
      <c r="I192" s="228" t="s">
        <v>790</v>
      </c>
      <c r="J192" s="228" t="s">
        <v>727</v>
      </c>
      <c r="K192" s="229">
        <v>43430</v>
      </c>
      <c r="L192" s="230">
        <v>3.44</v>
      </c>
      <c r="M192" s="230">
        <v>4.3</v>
      </c>
      <c r="N192" s="228">
        <v>4.55</v>
      </c>
      <c r="O192" s="228" t="s">
        <v>687</v>
      </c>
      <c r="P192" s="231" t="s">
        <v>508</v>
      </c>
      <c r="Q192" s="231" t="s">
        <v>509</v>
      </c>
      <c r="R192" s="228" t="s">
        <v>24</v>
      </c>
      <c r="S192" s="228"/>
      <c r="T192" s="232" t="s">
        <v>120</v>
      </c>
      <c r="U192" s="228" t="s">
        <v>982</v>
      </c>
      <c r="V192" s="232" t="s">
        <v>120</v>
      </c>
      <c r="W192" s="228"/>
      <c r="X192" s="232" t="s">
        <v>120</v>
      </c>
      <c r="Y192" s="228" t="s">
        <v>1020</v>
      </c>
      <c r="Z192" s="233" t="s">
        <v>120</v>
      </c>
      <c r="AA192" s="234"/>
      <c r="AB192" s="234"/>
      <c r="AC192" s="235" t="s">
        <v>123</v>
      </c>
      <c r="AD192" s="228" t="s">
        <v>1049</v>
      </c>
      <c r="AE192" s="232" t="s">
        <v>120</v>
      </c>
      <c r="AF192" s="229" t="s">
        <v>1461</v>
      </c>
      <c r="AG192" s="236"/>
      <c r="AH192" s="236"/>
      <c r="AI192" s="228" t="s">
        <v>1050</v>
      </c>
      <c r="AJ192" s="232" t="s">
        <v>120</v>
      </c>
      <c r="AK192" s="228" t="s">
        <v>123</v>
      </c>
      <c r="AL192" s="228" t="s">
        <v>935</v>
      </c>
      <c r="AM192" s="232"/>
      <c r="AN192" s="228"/>
      <c r="AO192" s="228"/>
      <c r="AP192" s="237"/>
      <c r="AQ192" s="228"/>
      <c r="AR192" s="232"/>
      <c r="AS192" s="228"/>
      <c r="AT192" s="229">
        <v>43431.390415624999</v>
      </c>
      <c r="AU192" s="229">
        <v>43451.370461226797</v>
      </c>
      <c r="AV192" s="229">
        <v>43433.611973495397</v>
      </c>
      <c r="AW192" s="229">
        <v>43431.390415624999</v>
      </c>
      <c r="AX192" s="229">
        <v>43431.683979745401</v>
      </c>
      <c r="AY192" s="229">
        <v>43430.8437694444</v>
      </c>
      <c r="AZ192" s="238">
        <v>43451.389664467599</v>
      </c>
      <c r="BA192" s="1" t="s">
        <v>7684</v>
      </c>
      <c r="BB192">
        <v>130</v>
      </c>
      <c r="BC192">
        <v>45</v>
      </c>
      <c r="BD192">
        <v>3052</v>
      </c>
      <c r="BE19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21.389664467598777</v>
      </c>
      <c r="BF192" s="240">
        <f>COUNTIFS(_05preva_view43[Site ID],_05preva_view43[[#This Row],[Site ID]],_05preva_view43[Prevalidation Status],"Under Prevalidation")</f>
        <v>0</v>
      </c>
      <c r="BG19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2" s="242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I192" s="64" t="e">
        <f t="shared" ca="1" si="3"/>
        <v>#VALUE!</v>
      </c>
      <c r="BJ192" s="104" t="e">
        <f ca="1">LEFT(CELL("filename",A177),_05preva_view43[[#This Row],[Find Process &amp; Database]]-1)</f>
        <v>#VALUE!</v>
      </c>
      <c r="BK192" s="104" t="e">
        <f ca="1">_05preva_view43[Folder Path1]&amp;"Process &amp; Database\Documentation\Colo Applications"</f>
        <v>#VALUE!</v>
      </c>
      <c r="BL192" s="104" t="e">
        <f ca="1">_05preva_view43[Folder Path2]&amp;"\Colo App "&amp;_05preva_view43[[#This Row],[Operator]]&amp;"\"</f>
        <v>#VALUE!</v>
      </c>
      <c r="BM192" s="63" t="e">
        <f ca="1">_05preva_view43[[#This Row],[Folder Path3]]&amp;_05preva_view43[[#This Row],[File Name]]</f>
        <v>#VALUE!</v>
      </c>
      <c r="BN192" s="104"/>
      <c r="CF192" s="5"/>
      <c r="CG192" s="5"/>
      <c r="CH192" s="3"/>
      <c r="CJ192" s="5"/>
      <c r="CN192" s="3"/>
      <c r="CO192" s="3"/>
      <c r="CP192" s="5"/>
      <c r="CR192" s="3"/>
      <c r="DN192" s="5"/>
      <c r="DP192" s="3"/>
      <c r="EB192" s="7"/>
      <c r="EC192" s="7"/>
      <c r="EF192" s="4"/>
      <c r="EG192" s="4"/>
      <c r="EQ192" s="2"/>
      <c r="ER192" s="2"/>
    </row>
    <row r="193" spans="1:148">
      <c r="A193" s="227">
        <v>3441</v>
      </c>
      <c r="B193" s="228" t="s">
        <v>938</v>
      </c>
      <c r="C193" s="228" t="s">
        <v>278</v>
      </c>
      <c r="D193" s="228" t="s">
        <v>127</v>
      </c>
      <c r="E193" s="228" t="s">
        <v>939</v>
      </c>
      <c r="F193" s="228" t="s">
        <v>35</v>
      </c>
      <c r="G193" s="228" t="s">
        <v>1292</v>
      </c>
      <c r="H193" s="228" t="s">
        <v>1285</v>
      </c>
      <c r="I193" s="228" t="s">
        <v>790</v>
      </c>
      <c r="J193" s="228" t="s">
        <v>686</v>
      </c>
      <c r="K193" s="229">
        <v>43430</v>
      </c>
      <c r="L193" s="230">
        <v>1.9890000000000001</v>
      </c>
      <c r="M193" s="230">
        <v>3.6110000000000002</v>
      </c>
      <c r="N193" s="228">
        <v>4.45</v>
      </c>
      <c r="O193" s="228" t="s">
        <v>687</v>
      </c>
      <c r="P193" s="231" t="s">
        <v>695</v>
      </c>
      <c r="Q193" s="231" t="s">
        <v>696</v>
      </c>
      <c r="R193" s="228" t="s">
        <v>24</v>
      </c>
      <c r="S193" s="228"/>
      <c r="T193" s="232" t="s">
        <v>615</v>
      </c>
      <c r="U193" s="228" t="s">
        <v>940</v>
      </c>
      <c r="V193" s="232" t="s">
        <v>120</v>
      </c>
      <c r="W193" s="228"/>
      <c r="X193" s="232" t="s">
        <v>120</v>
      </c>
      <c r="Y193" s="228" t="s">
        <v>1021</v>
      </c>
      <c r="Z193" s="233" t="s">
        <v>120</v>
      </c>
      <c r="AA193" s="234"/>
      <c r="AB193" s="234"/>
      <c r="AC193" s="235" t="s">
        <v>123</v>
      </c>
      <c r="AD193" s="228" t="s">
        <v>1051</v>
      </c>
      <c r="AE193" s="232" t="s">
        <v>120</v>
      </c>
      <c r="AF193" s="229" t="s">
        <v>1451</v>
      </c>
      <c r="AG193" s="236"/>
      <c r="AH193" s="236"/>
      <c r="AI193" s="228" t="s">
        <v>1304</v>
      </c>
      <c r="AJ193" s="232" t="s">
        <v>120</v>
      </c>
      <c r="AK193" s="228" t="s">
        <v>123</v>
      </c>
      <c r="AL193" s="228" t="s">
        <v>935</v>
      </c>
      <c r="AM193" s="232"/>
      <c r="AN193" s="228"/>
      <c r="AO193" s="228"/>
      <c r="AP193" s="237"/>
      <c r="AQ193" s="228"/>
      <c r="AR193" s="232"/>
      <c r="AS193" s="228"/>
      <c r="AT193" s="229">
        <v>43431.3904167824</v>
      </c>
      <c r="AU193" s="229">
        <v>43451.370462615698</v>
      </c>
      <c r="AV193" s="229">
        <v>43432.492968634302</v>
      </c>
      <c r="AW193" s="229">
        <v>43431.3904167824</v>
      </c>
      <c r="AX193" s="229"/>
      <c r="AY193" s="229">
        <v>43452.676278472201</v>
      </c>
      <c r="AZ193" s="238">
        <v>43452.704516782404</v>
      </c>
      <c r="BA193" s="1" t="s">
        <v>7684</v>
      </c>
      <c r="BB193">
        <v>130</v>
      </c>
      <c r="BC193">
        <v>60</v>
      </c>
      <c r="BD193">
        <v>3064</v>
      </c>
      <c r="BE19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22.704516782403516</v>
      </c>
      <c r="BF193" s="240">
        <f>COUNTIFS(_05preva_view43[Site ID],_05preva_view43[[#This Row],[Site ID]],_05preva_view43[Prevalidation Status],"Under Prevalidation")</f>
        <v>0</v>
      </c>
      <c r="BG19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3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2.xlsx</v>
      </c>
      <c r="BI193" s="64" t="e">
        <f t="shared" ca="1" si="3"/>
        <v>#VALUE!</v>
      </c>
      <c r="BJ193" s="104" t="e">
        <f ca="1">LEFT(CELL("filename",A178),_05preva_view43[[#This Row],[Find Process &amp; Database]]-1)</f>
        <v>#VALUE!</v>
      </c>
      <c r="BK193" s="104" t="e">
        <f ca="1">_05preva_view43[Folder Path1]&amp;"Process &amp; Database\Documentation\Colo Applications"</f>
        <v>#VALUE!</v>
      </c>
      <c r="BL193" s="104" t="e">
        <f ca="1">_05preva_view43[Folder Path2]&amp;"\Colo App "&amp;_05preva_view43[[#This Row],[Operator]]&amp;"\"</f>
        <v>#VALUE!</v>
      </c>
      <c r="BM193" s="63" t="e">
        <f ca="1">_05preva_view43[[#This Row],[Folder Path3]]&amp;_05preva_view43[[#This Row],[File Name]]</f>
        <v>#VALUE!</v>
      </c>
      <c r="BN193" s="104"/>
      <c r="CF193" s="5"/>
      <c r="CG193" s="5"/>
      <c r="CH193" s="3"/>
      <c r="CJ193" s="5"/>
      <c r="CN193" s="3"/>
      <c r="CO193" s="3"/>
      <c r="CP193" s="5"/>
      <c r="CR193" s="3"/>
      <c r="DN193" s="5"/>
      <c r="DP193" s="3"/>
      <c r="EB193" s="7"/>
      <c r="EC193" s="7"/>
      <c r="EF193" s="4"/>
      <c r="EG193" s="4"/>
      <c r="EQ193" s="2"/>
      <c r="ER193" s="2"/>
    </row>
    <row r="194" spans="1:148">
      <c r="A194" s="227">
        <v>3442</v>
      </c>
      <c r="B194" s="228" t="s">
        <v>709</v>
      </c>
      <c r="C194" s="228" t="s">
        <v>278</v>
      </c>
      <c r="D194" s="228" t="s">
        <v>153</v>
      </c>
      <c r="E194" s="228" t="s">
        <v>710</v>
      </c>
      <c r="F194" s="228" t="s">
        <v>35</v>
      </c>
      <c r="G194" s="228" t="s">
        <v>1292</v>
      </c>
      <c r="H194" s="228" t="s">
        <v>1285</v>
      </c>
      <c r="I194" s="228" t="s">
        <v>785</v>
      </c>
      <c r="J194" s="228" t="s">
        <v>1022</v>
      </c>
      <c r="K194" s="229">
        <v>43430</v>
      </c>
      <c r="L194" s="230">
        <v>2.64</v>
      </c>
      <c r="M194" s="230">
        <v>3.3</v>
      </c>
      <c r="N194" s="228">
        <v>4.4400000000000004</v>
      </c>
      <c r="O194" s="228" t="s">
        <v>687</v>
      </c>
      <c r="P194" s="231" t="s">
        <v>695</v>
      </c>
      <c r="Q194" s="231" t="s">
        <v>696</v>
      </c>
      <c r="R194" s="228" t="s">
        <v>24</v>
      </c>
      <c r="S194" s="228"/>
      <c r="T194" s="232" t="s">
        <v>120</v>
      </c>
      <c r="U194" s="228" t="s">
        <v>982</v>
      </c>
      <c r="V194" s="232" t="s">
        <v>120</v>
      </c>
      <c r="W194" s="228"/>
      <c r="X194" s="232" t="s">
        <v>120</v>
      </c>
      <c r="Y194" s="228" t="s">
        <v>1023</v>
      </c>
      <c r="Z194" s="233" t="s">
        <v>120</v>
      </c>
      <c r="AA194" s="234"/>
      <c r="AB194" s="234"/>
      <c r="AC194" s="235" t="s">
        <v>123</v>
      </c>
      <c r="AD194" s="228" t="s">
        <v>1052</v>
      </c>
      <c r="AE194" s="232" t="s">
        <v>120</v>
      </c>
      <c r="AF194" s="229" t="s">
        <v>1462</v>
      </c>
      <c r="AG194" s="236"/>
      <c r="AH194" s="236"/>
      <c r="AI194" s="228" t="s">
        <v>1305</v>
      </c>
      <c r="AJ194" s="232" t="s">
        <v>120</v>
      </c>
      <c r="AK194" s="228" t="s">
        <v>123</v>
      </c>
      <c r="AL194" s="228" t="s">
        <v>935</v>
      </c>
      <c r="AM194" s="232"/>
      <c r="AN194" s="228"/>
      <c r="AO194" s="228"/>
      <c r="AP194" s="237"/>
      <c r="AQ194" s="228"/>
      <c r="AR194" s="232"/>
      <c r="AS194" s="228"/>
      <c r="AT194" s="229">
        <v>43431.390417245399</v>
      </c>
      <c r="AU194" s="229">
        <v>43451.370463194398</v>
      </c>
      <c r="AV194" s="229">
        <v>43432.688025347197</v>
      </c>
      <c r="AW194" s="229">
        <v>43431.390417245399</v>
      </c>
      <c r="AX194" s="229">
        <v>43431.683982407398</v>
      </c>
      <c r="AY194" s="229">
        <v>43430.843780092597</v>
      </c>
      <c r="AZ194" s="238">
        <v>43451.389666319403</v>
      </c>
      <c r="BA194" s="1" t="s">
        <v>7684</v>
      </c>
      <c r="BB194">
        <v>160</v>
      </c>
      <c r="BC194">
        <v>60</v>
      </c>
      <c r="BD194">
        <v>3180</v>
      </c>
      <c r="BE19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21.38966631940275</v>
      </c>
      <c r="BF194" s="240">
        <f>COUNTIFS(_05preva_view43[Site ID],_05preva_view43[[#This Row],[Site ID]],_05preva_view43[Prevalidation Status],"Under Prevalidation")</f>
        <v>0</v>
      </c>
      <c r="BG19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4" s="242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5.xlsx</v>
      </c>
      <c r="BI194" s="64" t="e">
        <f t="shared" ca="1" si="3"/>
        <v>#VALUE!</v>
      </c>
      <c r="BJ194" s="104" t="e">
        <f ca="1">LEFT(CELL("filename",A179),_05preva_view43[[#This Row],[Find Process &amp; Database]]-1)</f>
        <v>#VALUE!</v>
      </c>
      <c r="BK194" s="104" t="e">
        <f ca="1">_05preva_view43[Folder Path1]&amp;"Process &amp; Database\Documentation\Colo Applications"</f>
        <v>#VALUE!</v>
      </c>
      <c r="BL194" s="104" t="e">
        <f ca="1">_05preva_view43[Folder Path2]&amp;"\Colo App "&amp;_05preva_view43[[#This Row],[Operator]]&amp;"\"</f>
        <v>#VALUE!</v>
      </c>
      <c r="BM194" s="63" t="e">
        <f ca="1">_05preva_view43[[#This Row],[Folder Path3]]&amp;_05preva_view43[[#This Row],[File Name]]</f>
        <v>#VALUE!</v>
      </c>
      <c r="BN194" s="104"/>
      <c r="CF194" s="5"/>
      <c r="CG194" s="5"/>
      <c r="CH194" s="3"/>
      <c r="CJ194" s="5"/>
      <c r="CN194" s="3"/>
      <c r="CO194" s="3"/>
      <c r="CP194" s="5"/>
      <c r="CR194" s="3"/>
      <c r="DN194" s="5"/>
      <c r="DP194" s="3"/>
      <c r="EB194" s="7"/>
      <c r="EC194" s="7"/>
      <c r="EF194" s="4"/>
      <c r="EG194" s="4"/>
      <c r="EQ194" s="2"/>
      <c r="ER194" s="2"/>
    </row>
    <row r="195" spans="1:148">
      <c r="A195" s="227">
        <v>3443</v>
      </c>
      <c r="B195" s="228" t="s">
        <v>1024</v>
      </c>
      <c r="C195" s="228" t="s">
        <v>116</v>
      </c>
      <c r="D195" s="228" t="s">
        <v>127</v>
      </c>
      <c r="E195" s="228" t="s">
        <v>1025</v>
      </c>
      <c r="F195" s="228" t="s">
        <v>35</v>
      </c>
      <c r="G195" s="228" t="s">
        <v>1287</v>
      </c>
      <c r="H195" s="228" t="s">
        <v>1285</v>
      </c>
      <c r="I195" s="228" t="s">
        <v>790</v>
      </c>
      <c r="J195" s="228" t="s">
        <v>686</v>
      </c>
      <c r="K195" s="229">
        <v>43430</v>
      </c>
      <c r="L195" s="230">
        <v>2.097</v>
      </c>
      <c r="M195" s="230">
        <v>3.669</v>
      </c>
      <c r="N195" s="228">
        <v>9.01</v>
      </c>
      <c r="O195" s="228" t="s">
        <v>119</v>
      </c>
      <c r="P195" s="231" t="s">
        <v>227</v>
      </c>
      <c r="Q195" s="231" t="s">
        <v>228</v>
      </c>
      <c r="R195" s="228" t="s">
        <v>24</v>
      </c>
      <c r="S195" s="228"/>
      <c r="T195" s="232" t="s">
        <v>120</v>
      </c>
      <c r="U195" s="228" t="s">
        <v>1053</v>
      </c>
      <c r="V195" s="232" t="s">
        <v>120</v>
      </c>
      <c r="W195" s="228" t="s">
        <v>120</v>
      </c>
      <c r="X195" s="232" t="s">
        <v>120</v>
      </c>
      <c r="Y195" s="228" t="s">
        <v>1026</v>
      </c>
      <c r="Z195" s="233" t="s">
        <v>120</v>
      </c>
      <c r="AA195" s="234"/>
      <c r="AB195" s="234"/>
      <c r="AC195" s="235" t="s">
        <v>123</v>
      </c>
      <c r="AD195" s="228" t="s">
        <v>1054</v>
      </c>
      <c r="AE195" s="232" t="s">
        <v>120</v>
      </c>
      <c r="AF195" s="229"/>
      <c r="AG195" s="236"/>
      <c r="AH195" s="236"/>
      <c r="AI195" s="228"/>
      <c r="AJ195" s="232" t="s">
        <v>120</v>
      </c>
      <c r="AK195" s="228" t="s">
        <v>123</v>
      </c>
      <c r="AL195" s="228" t="s">
        <v>935</v>
      </c>
      <c r="AM195" s="232"/>
      <c r="AN195" s="228"/>
      <c r="AO195" s="228"/>
      <c r="AP195" s="237"/>
      <c r="AQ195" s="228"/>
      <c r="AR195" s="232"/>
      <c r="AS195" s="228"/>
      <c r="AT195" s="229">
        <v>43431.390418171301</v>
      </c>
      <c r="AU195" s="229">
        <v>43431.743153124997</v>
      </c>
      <c r="AV195" s="229">
        <v>43433.558900347198</v>
      </c>
      <c r="AW195" s="229">
        <v>43431.631299305598</v>
      </c>
      <c r="AX195" s="229">
        <v>43431.683982986098</v>
      </c>
      <c r="AY195" s="229">
        <v>43431.647567361098</v>
      </c>
      <c r="AZ195" s="238">
        <v>43433.558900347198</v>
      </c>
      <c r="BA195" s="1" t="s">
        <v>7684</v>
      </c>
      <c r="BB195">
        <v>130</v>
      </c>
      <c r="BC195">
        <v>45</v>
      </c>
      <c r="BD195">
        <v>1493</v>
      </c>
      <c r="BE19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3.5589003471977776</v>
      </c>
      <c r="BF195" s="240">
        <f>COUNTIFS(_05preva_view43[Site ID],_05preva_view43[[#This Row],[Site ID]],_05preva_view43[Prevalidation Status],"Under Prevalidation")</f>
        <v>0</v>
      </c>
      <c r="BG19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5" s="242" t="str">
        <f>CONCATENATE(_05preva_view43[[#This Row],[Site ID]]," (",_05preva_view43[[#This Row],[tenant id]],") Application",IF(_05preva_view43[[#This Row],[Colo Rev]]&gt;0," Rev "&amp;_05preva_view43[[#This Row],[Colo Rev]],""),".xlsx")</f>
        <v>ANSG_0393 (SGG00203) Application Rev 2.xlsx</v>
      </c>
      <c r="BI195" s="64" t="e">
        <f t="shared" ca="1" si="3"/>
        <v>#VALUE!</v>
      </c>
      <c r="BJ195" s="104" t="e">
        <f ca="1">LEFT(CELL("filename",A180),_05preva_view43[[#This Row],[Find Process &amp; Database]]-1)</f>
        <v>#VALUE!</v>
      </c>
      <c r="BK195" s="104" t="e">
        <f ca="1">_05preva_view43[Folder Path1]&amp;"Process &amp; Database\Documentation\Colo Applications"</f>
        <v>#VALUE!</v>
      </c>
      <c r="BL195" s="104" t="e">
        <f ca="1">_05preva_view43[Folder Path2]&amp;"\Colo App "&amp;_05preva_view43[[#This Row],[Operator]]&amp;"\"</f>
        <v>#VALUE!</v>
      </c>
      <c r="BM195" s="63" t="e">
        <f ca="1">_05preva_view43[[#This Row],[Folder Path3]]&amp;_05preva_view43[[#This Row],[File Name]]</f>
        <v>#VALUE!</v>
      </c>
      <c r="BN195" s="104"/>
      <c r="CF195" s="5"/>
      <c r="CG195" s="5"/>
      <c r="CH195" s="3"/>
      <c r="CJ195" s="5"/>
      <c r="CN195" s="3"/>
      <c r="CO195" s="3"/>
      <c r="CP195" s="5"/>
      <c r="CR195" s="3"/>
      <c r="DN195" s="5"/>
      <c r="DP195" s="3"/>
      <c r="EB195" s="7"/>
      <c r="EC195" s="7"/>
      <c r="EF195" s="4"/>
      <c r="EG195" s="4"/>
      <c r="EQ195" s="2"/>
      <c r="ER195" s="2"/>
    </row>
    <row r="196" spans="1:148">
      <c r="A196" s="227">
        <v>3444</v>
      </c>
      <c r="B196" s="228" t="s">
        <v>1027</v>
      </c>
      <c r="C196" s="228" t="s">
        <v>116</v>
      </c>
      <c r="D196" s="228" t="s">
        <v>127</v>
      </c>
      <c r="E196" s="228" t="s">
        <v>1028</v>
      </c>
      <c r="F196" s="228" t="s">
        <v>35</v>
      </c>
      <c r="G196" s="228" t="s">
        <v>1294</v>
      </c>
      <c r="H196" s="228" t="s">
        <v>1290</v>
      </c>
      <c r="I196" s="228" t="s">
        <v>1029</v>
      </c>
      <c r="J196" s="228" t="s">
        <v>677</v>
      </c>
      <c r="K196" s="229">
        <v>43430</v>
      </c>
      <c r="L196" s="230">
        <v>0.98299999999999998</v>
      </c>
      <c r="M196" s="230">
        <v>1.6779999999999999</v>
      </c>
      <c r="N196" s="228">
        <v>3.91</v>
      </c>
      <c r="O196" s="228" t="s">
        <v>119</v>
      </c>
      <c r="P196" s="231" t="s">
        <v>240</v>
      </c>
      <c r="Q196" s="231" t="s">
        <v>241</v>
      </c>
      <c r="R196" s="228" t="s">
        <v>24</v>
      </c>
      <c r="S196" s="228"/>
      <c r="T196" s="232" t="s">
        <v>120</v>
      </c>
      <c r="U196" s="228" t="s">
        <v>1053</v>
      </c>
      <c r="V196" s="232" t="s">
        <v>120</v>
      </c>
      <c r="W196" s="228"/>
      <c r="X196" s="232" t="s">
        <v>120</v>
      </c>
      <c r="Y196" s="228" t="s">
        <v>1030</v>
      </c>
      <c r="Z196" s="233" t="s">
        <v>120</v>
      </c>
      <c r="AA196" s="234"/>
      <c r="AB196" s="234"/>
      <c r="AC196" s="235" t="s">
        <v>123</v>
      </c>
      <c r="AD196" s="228" t="s">
        <v>1055</v>
      </c>
      <c r="AE196" s="232" t="s">
        <v>120</v>
      </c>
      <c r="AF196" s="229"/>
      <c r="AG196" s="236"/>
      <c r="AH196" s="236"/>
      <c r="AI196" s="228"/>
      <c r="AJ196" s="232" t="s">
        <v>120</v>
      </c>
      <c r="AK196" s="228" t="s">
        <v>206</v>
      </c>
      <c r="AL196" s="228" t="s">
        <v>1031</v>
      </c>
      <c r="AM196" s="232"/>
      <c r="AN196" s="228"/>
      <c r="AO196" s="228"/>
      <c r="AP196" s="237"/>
      <c r="AQ196" s="228"/>
      <c r="AR196" s="232"/>
      <c r="AS196" s="228"/>
      <c r="AT196" s="229">
        <v>43431.390419097203</v>
      </c>
      <c r="AU196" s="229">
        <v>43431.743155902797</v>
      </c>
      <c r="AV196" s="229">
        <v>43433.685579282399</v>
      </c>
      <c r="AW196" s="229">
        <v>43431.390419097203</v>
      </c>
      <c r="AX196" s="229">
        <v>43431.683984259304</v>
      </c>
      <c r="AY196" s="229">
        <v>43430.830383564797</v>
      </c>
      <c r="AZ196" s="238">
        <v>43433.685579282399</v>
      </c>
      <c r="BA196" s="1" t="s">
        <v>7684</v>
      </c>
      <c r="BB196"/>
      <c r="BC196">
        <v>50</v>
      </c>
      <c r="BD196">
        <v>2467</v>
      </c>
      <c r="BE19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3.6855792823989759</v>
      </c>
      <c r="BF196" s="240">
        <f>COUNTIFS(_05preva_view43[Site ID],_05preva_view43[[#This Row],[Site ID]],_05preva_view43[Prevalidation Status],"Under Prevalidation")</f>
        <v>0</v>
      </c>
      <c r="BG19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6" s="242" t="str">
        <f>CONCATENATE(_05preva_view43[[#This Row],[Site ID]]," (",_05preva_view43[[#This Row],[tenant id]],") Application",IF(_05preva_view43[[#This Row],[Colo Rev]]&gt;0," Rev "&amp;_05preva_view43[[#This Row],[Colo Rev]],""),".xlsx")</f>
        <v>ANMD_3001 (MDY01695) Application Rev 0.xlsx</v>
      </c>
      <c r="BI196" s="64" t="e">
        <f t="shared" ca="1" si="3"/>
        <v>#VALUE!</v>
      </c>
      <c r="BJ196" s="104" t="e">
        <f ca="1">LEFT(CELL("filename",A181),_05preva_view43[[#This Row],[Find Process &amp; Database]]-1)</f>
        <v>#VALUE!</v>
      </c>
      <c r="BK196" s="104" t="e">
        <f ca="1">_05preva_view43[Folder Path1]&amp;"Process &amp; Database\Documentation\Colo Applications"</f>
        <v>#VALUE!</v>
      </c>
      <c r="BL196" s="104" t="e">
        <f ca="1">_05preva_view43[Folder Path2]&amp;"\Colo App "&amp;_05preva_view43[[#This Row],[Operator]]&amp;"\"</f>
        <v>#VALUE!</v>
      </c>
      <c r="BM196" s="63" t="e">
        <f ca="1">_05preva_view43[[#This Row],[Folder Path3]]&amp;_05preva_view43[[#This Row],[File Name]]</f>
        <v>#VALUE!</v>
      </c>
      <c r="BN196" s="104"/>
      <c r="CF196" s="5"/>
      <c r="CG196" s="5"/>
      <c r="CH196" s="3"/>
      <c r="CJ196" s="5"/>
      <c r="CN196" s="3"/>
      <c r="CO196" s="3"/>
      <c r="CP196" s="5"/>
      <c r="CR196" s="3"/>
      <c r="DN196" s="5"/>
      <c r="DP196" s="3"/>
      <c r="EB196" s="7"/>
      <c r="EC196" s="7"/>
      <c r="EF196" s="4"/>
      <c r="EG196" s="4"/>
      <c r="EQ196" s="2"/>
      <c r="ER196" s="2"/>
    </row>
    <row r="197" spans="1:148">
      <c r="A197" s="227">
        <v>3429</v>
      </c>
      <c r="B197" s="228" t="s">
        <v>979</v>
      </c>
      <c r="C197" s="228" t="s">
        <v>278</v>
      </c>
      <c r="D197" s="228" t="s">
        <v>127</v>
      </c>
      <c r="E197" s="228" t="s">
        <v>980</v>
      </c>
      <c r="F197" s="228" t="s">
        <v>35</v>
      </c>
      <c r="G197" s="228" t="s">
        <v>1292</v>
      </c>
      <c r="H197" s="228" t="s">
        <v>1285</v>
      </c>
      <c r="I197" s="228" t="s">
        <v>981</v>
      </c>
      <c r="J197" s="228" t="s">
        <v>668</v>
      </c>
      <c r="K197" s="229">
        <v>43424</v>
      </c>
      <c r="L197" s="230">
        <v>1</v>
      </c>
      <c r="M197" s="230">
        <v>1.4</v>
      </c>
      <c r="N197" s="228">
        <v>3.7429999999999999</v>
      </c>
      <c r="O197" s="228" t="s">
        <v>687</v>
      </c>
      <c r="P197" s="231" t="s">
        <v>695</v>
      </c>
      <c r="Q197" s="231" t="s">
        <v>696</v>
      </c>
      <c r="R197" s="228" t="s">
        <v>24</v>
      </c>
      <c r="S197" s="228"/>
      <c r="T197" s="232" t="s">
        <v>120</v>
      </c>
      <c r="U197" s="228" t="s">
        <v>982</v>
      </c>
      <c r="V197" s="232" t="s">
        <v>120</v>
      </c>
      <c r="W197" s="228"/>
      <c r="X197" s="232" t="s">
        <v>120</v>
      </c>
      <c r="Y197" s="228" t="s">
        <v>983</v>
      </c>
      <c r="Z197" s="233" t="s">
        <v>120</v>
      </c>
      <c r="AA197" s="234"/>
      <c r="AB197" s="234"/>
      <c r="AC197" s="235" t="s">
        <v>123</v>
      </c>
      <c r="AD197" s="228" t="s">
        <v>984</v>
      </c>
      <c r="AE197" s="232" t="s">
        <v>120</v>
      </c>
      <c r="AF197" s="229"/>
      <c r="AG197" s="236"/>
      <c r="AH197" s="236"/>
      <c r="AI197" s="228" t="s">
        <v>985</v>
      </c>
      <c r="AJ197" s="232" t="s">
        <v>120</v>
      </c>
      <c r="AK197" s="228" t="s">
        <v>123</v>
      </c>
      <c r="AL197" s="228" t="s">
        <v>935</v>
      </c>
      <c r="AM197" s="232"/>
      <c r="AN197" s="228"/>
      <c r="AO197" s="228"/>
      <c r="AP197" s="237"/>
      <c r="AQ197" s="228"/>
      <c r="AR197" s="232"/>
      <c r="AS197" s="228"/>
      <c r="AT197" s="229">
        <v>43424.694659953697</v>
      </c>
      <c r="AU197" s="229">
        <v>43424.698242824103</v>
      </c>
      <c r="AV197" s="229">
        <v>43430.680181713004</v>
      </c>
      <c r="AW197" s="229">
        <v>43424.694659953697</v>
      </c>
      <c r="AX197" s="229">
        <v>43430.4966569444</v>
      </c>
      <c r="AY197" s="229">
        <v>43430.843723842598</v>
      </c>
      <c r="AZ197" s="238">
        <v>43430.843723842598</v>
      </c>
      <c r="BA197" s="1" t="s">
        <v>7684</v>
      </c>
      <c r="BB197">
        <v>130</v>
      </c>
      <c r="BC197">
        <v>60</v>
      </c>
      <c r="BD197">
        <v>3245</v>
      </c>
      <c r="BE19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6.843723842597683</v>
      </c>
      <c r="BF197" s="240">
        <f>COUNTIFS(_05preva_view43[Site ID],_05preva_view43[[#This Row],[Site ID]],_05preva_view43[Prevalidation Status],"Under Prevalidation")</f>
        <v>0</v>
      </c>
      <c r="BG19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7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1.xlsx</v>
      </c>
      <c r="BI197" s="64" t="e">
        <f t="shared" ca="1" si="3"/>
        <v>#VALUE!</v>
      </c>
      <c r="BJ197" s="104" t="e">
        <f ca="1">LEFT(CELL("filename",A182),_05preva_view43[[#This Row],[Find Process &amp; Database]]-1)</f>
        <v>#VALUE!</v>
      </c>
      <c r="BK197" s="104" t="e">
        <f ca="1">_05preva_view43[Folder Path1]&amp;"Process &amp; Database\Documentation\Colo Applications"</f>
        <v>#VALUE!</v>
      </c>
      <c r="BL197" s="104" t="e">
        <f ca="1">_05preva_view43[Folder Path2]&amp;"\Colo App "&amp;_05preva_view43[[#This Row],[Operator]]&amp;"\"</f>
        <v>#VALUE!</v>
      </c>
      <c r="BM197" s="63" t="e">
        <f ca="1">_05preva_view43[[#This Row],[Folder Path3]]&amp;_05preva_view43[[#This Row],[File Name]]</f>
        <v>#VALUE!</v>
      </c>
      <c r="BN197" s="104"/>
      <c r="CF197" s="5"/>
      <c r="CG197" s="5"/>
      <c r="CH197" s="3"/>
      <c r="CJ197" s="5"/>
      <c r="CN197" s="3"/>
      <c r="CO197" s="3"/>
      <c r="CP197" s="5"/>
      <c r="CR197" s="3"/>
      <c r="DN197" s="5"/>
      <c r="DP197" s="3"/>
      <c r="EB197" s="7"/>
      <c r="EC197" s="7"/>
      <c r="EF197" s="4"/>
      <c r="EG197" s="4"/>
      <c r="EQ197" s="2"/>
      <c r="ER197" s="2"/>
    </row>
    <row r="198" spans="1:148">
      <c r="A198" s="227">
        <v>3430</v>
      </c>
      <c r="B198" s="228" t="s">
        <v>986</v>
      </c>
      <c r="C198" s="228" t="s">
        <v>278</v>
      </c>
      <c r="D198" s="228" t="s">
        <v>127</v>
      </c>
      <c r="E198" s="228" t="s">
        <v>987</v>
      </c>
      <c r="F198" s="228" t="s">
        <v>35</v>
      </c>
      <c r="G198" s="228" t="s">
        <v>1292</v>
      </c>
      <c r="H198" s="228" t="s">
        <v>1285</v>
      </c>
      <c r="I198" s="228" t="s">
        <v>981</v>
      </c>
      <c r="J198" s="228" t="s">
        <v>686</v>
      </c>
      <c r="K198" s="229">
        <v>43424</v>
      </c>
      <c r="L198" s="230">
        <v>1.1619999999999999</v>
      </c>
      <c r="M198" s="230">
        <v>1.68</v>
      </c>
      <c r="N198" s="228">
        <v>10.129</v>
      </c>
      <c r="O198" s="228" t="s">
        <v>687</v>
      </c>
      <c r="P198" s="231" t="s">
        <v>988</v>
      </c>
      <c r="Q198" s="231" t="s">
        <v>989</v>
      </c>
      <c r="R198" s="228" t="s">
        <v>24</v>
      </c>
      <c r="S198" s="228"/>
      <c r="T198" s="232" t="s">
        <v>120</v>
      </c>
      <c r="U198" s="228" t="s">
        <v>982</v>
      </c>
      <c r="V198" s="232" t="s">
        <v>120</v>
      </c>
      <c r="W198" s="228"/>
      <c r="X198" s="232" t="s">
        <v>120</v>
      </c>
      <c r="Y198" s="228" t="s">
        <v>990</v>
      </c>
      <c r="Z198" s="233" t="s">
        <v>120</v>
      </c>
      <c r="AA198" s="234"/>
      <c r="AB198" s="234"/>
      <c r="AC198" s="235" t="s">
        <v>123</v>
      </c>
      <c r="AD198" s="228" t="s">
        <v>1040</v>
      </c>
      <c r="AE198" s="232" t="s">
        <v>120</v>
      </c>
      <c r="AF198" s="229"/>
      <c r="AG198" s="236"/>
      <c r="AH198" s="236"/>
      <c r="AI198" s="228" t="s">
        <v>985</v>
      </c>
      <c r="AJ198" s="232" t="s">
        <v>120</v>
      </c>
      <c r="AK198" s="228" t="s">
        <v>123</v>
      </c>
      <c r="AL198" s="228" t="s">
        <v>935</v>
      </c>
      <c r="AM198" s="232"/>
      <c r="AN198" s="228"/>
      <c r="AO198" s="228"/>
      <c r="AP198" s="237"/>
      <c r="AQ198" s="228"/>
      <c r="AR198" s="232"/>
      <c r="AS198" s="228"/>
      <c r="AT198" s="229">
        <v>43424.694662268499</v>
      </c>
      <c r="AU198" s="229">
        <v>43424.698243634302</v>
      </c>
      <c r="AV198" s="229">
        <v>43431.481612962998</v>
      </c>
      <c r="AW198" s="229">
        <v>43424.694662268499</v>
      </c>
      <c r="AX198" s="229">
        <v>43430.496660185199</v>
      </c>
      <c r="AY198" s="229">
        <v>43430.843728703701</v>
      </c>
      <c r="AZ198" s="238">
        <v>43431.481612962998</v>
      </c>
      <c r="BA198" s="1" t="s">
        <v>7684</v>
      </c>
      <c r="BB198">
        <v>130</v>
      </c>
      <c r="BC198">
        <v>60</v>
      </c>
      <c r="BD198">
        <v>3249</v>
      </c>
      <c r="BE19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7.4816129629980423</v>
      </c>
      <c r="BF198" s="240">
        <f>COUNTIFS(_05preva_view43[Site ID],_05preva_view43[[#This Row],[Site ID]],_05preva_view43[Prevalidation Status],"Under Prevalidation")</f>
        <v>0</v>
      </c>
      <c r="BG19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8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2.xlsx</v>
      </c>
      <c r="BI198" s="64" t="e">
        <f t="shared" ca="1" si="3"/>
        <v>#VALUE!</v>
      </c>
      <c r="BJ198" s="104" t="e">
        <f ca="1">LEFT(CELL("filename",A183),_05preva_view43[[#This Row],[Find Process &amp; Database]]-1)</f>
        <v>#VALUE!</v>
      </c>
      <c r="BK198" s="104" t="e">
        <f ca="1">_05preva_view43[Folder Path1]&amp;"Process &amp; Database\Documentation\Colo Applications"</f>
        <v>#VALUE!</v>
      </c>
      <c r="BL198" s="104" t="e">
        <f ca="1">_05preva_view43[Folder Path2]&amp;"\Colo App "&amp;_05preva_view43[[#This Row],[Operator]]&amp;"\"</f>
        <v>#VALUE!</v>
      </c>
      <c r="BM198" s="63" t="e">
        <f ca="1">_05preva_view43[[#This Row],[Folder Path3]]&amp;_05preva_view43[[#This Row],[File Name]]</f>
        <v>#VALUE!</v>
      </c>
      <c r="BN198" s="104"/>
      <c r="CF198" s="5"/>
      <c r="CG198" s="5"/>
      <c r="CH198" s="3"/>
      <c r="CJ198" s="5"/>
      <c r="CN198" s="3"/>
      <c r="CO198" s="3"/>
      <c r="CP198" s="5"/>
      <c r="CR198" s="3"/>
      <c r="DN198" s="5"/>
      <c r="DP198" s="3"/>
      <c r="EB198" s="7"/>
      <c r="EC198" s="7"/>
      <c r="EF198" s="4"/>
      <c r="EG198" s="4"/>
      <c r="EQ198" s="2"/>
      <c r="ER198" s="2"/>
    </row>
    <row r="199" spans="1:148">
      <c r="A199" s="227">
        <v>3431</v>
      </c>
      <c r="B199" s="228" t="s">
        <v>991</v>
      </c>
      <c r="C199" s="228" t="s">
        <v>278</v>
      </c>
      <c r="D199" s="228" t="s">
        <v>127</v>
      </c>
      <c r="E199" s="228" t="s">
        <v>992</v>
      </c>
      <c r="F199" s="228" t="s">
        <v>35</v>
      </c>
      <c r="G199" s="228" t="s">
        <v>1292</v>
      </c>
      <c r="H199" s="228" t="s">
        <v>1285</v>
      </c>
      <c r="I199" s="228" t="s">
        <v>981</v>
      </c>
      <c r="J199" s="228" t="s">
        <v>686</v>
      </c>
      <c r="K199" s="229">
        <v>43424</v>
      </c>
      <c r="L199" s="230">
        <v>1</v>
      </c>
      <c r="M199" s="230">
        <v>1.4</v>
      </c>
      <c r="N199" s="228">
        <v>4.6900000000000004</v>
      </c>
      <c r="O199" s="228" t="s">
        <v>687</v>
      </c>
      <c r="P199" s="231" t="s">
        <v>993</v>
      </c>
      <c r="Q199" s="231" t="s">
        <v>994</v>
      </c>
      <c r="R199" s="228" t="s">
        <v>24</v>
      </c>
      <c r="S199" s="228"/>
      <c r="T199" s="232" t="s">
        <v>120</v>
      </c>
      <c r="U199" s="228" t="s">
        <v>995</v>
      </c>
      <c r="V199" s="232" t="s">
        <v>120</v>
      </c>
      <c r="W199" s="228"/>
      <c r="X199" s="232" t="s">
        <v>120</v>
      </c>
      <c r="Y199" s="228" t="s">
        <v>996</v>
      </c>
      <c r="Z199" s="233" t="s">
        <v>120</v>
      </c>
      <c r="AA199" s="234"/>
      <c r="AB199" s="234"/>
      <c r="AC199" s="235" t="s">
        <v>123</v>
      </c>
      <c r="AD199" s="228" t="s">
        <v>1041</v>
      </c>
      <c r="AE199" s="232" t="s">
        <v>120</v>
      </c>
      <c r="AF199" s="229"/>
      <c r="AG199" s="236"/>
      <c r="AH199" s="236"/>
      <c r="AI199" s="228" t="s">
        <v>985</v>
      </c>
      <c r="AJ199" s="232" t="s">
        <v>120</v>
      </c>
      <c r="AK199" s="228" t="s">
        <v>123</v>
      </c>
      <c r="AL199" s="228" t="s">
        <v>935</v>
      </c>
      <c r="AM199" s="232"/>
      <c r="AN199" s="228"/>
      <c r="AO199" s="228"/>
      <c r="AP199" s="237"/>
      <c r="AQ199" s="228"/>
      <c r="AR199" s="232"/>
      <c r="AS199" s="228"/>
      <c r="AT199" s="229">
        <v>43424.6946648148</v>
      </c>
      <c r="AU199" s="229">
        <v>43424.698246874999</v>
      </c>
      <c r="AV199" s="229">
        <v>43431.577387963</v>
      </c>
      <c r="AW199" s="229">
        <v>43424.6946648148</v>
      </c>
      <c r="AX199" s="229">
        <v>43430.496663425904</v>
      </c>
      <c r="AY199" s="229">
        <v>43430.843733449103</v>
      </c>
      <c r="AZ199" s="238">
        <v>43431.577387963</v>
      </c>
      <c r="BA199" s="1" t="s">
        <v>7684</v>
      </c>
      <c r="BB199">
        <v>130</v>
      </c>
      <c r="BC199">
        <v>60</v>
      </c>
      <c r="BD199">
        <v>3349</v>
      </c>
      <c r="BE19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7.5773879629996372</v>
      </c>
      <c r="BF199" s="240">
        <f>COUNTIFS(_05preva_view43[Site ID],_05preva_view43[[#This Row],[Site ID]],_05preva_view43[Prevalidation Status],"Under Prevalidation")</f>
        <v>0</v>
      </c>
      <c r="BG19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199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2.xlsx</v>
      </c>
      <c r="BI199" s="64" t="e">
        <f t="shared" ca="1" si="3"/>
        <v>#VALUE!</v>
      </c>
      <c r="BJ199" s="104" t="e">
        <f ca="1">LEFT(CELL("filename",A184),_05preva_view43[[#This Row],[Find Process &amp; Database]]-1)</f>
        <v>#VALUE!</v>
      </c>
      <c r="BK199" s="104" t="e">
        <f ca="1">_05preva_view43[Folder Path1]&amp;"Process &amp; Database\Documentation\Colo Applications"</f>
        <v>#VALUE!</v>
      </c>
      <c r="BL199" s="104" t="e">
        <f ca="1">_05preva_view43[Folder Path2]&amp;"\Colo App "&amp;_05preva_view43[[#This Row],[Operator]]&amp;"\"</f>
        <v>#VALUE!</v>
      </c>
      <c r="BM199" s="63" t="e">
        <f ca="1">_05preva_view43[[#This Row],[Folder Path3]]&amp;_05preva_view43[[#This Row],[File Name]]</f>
        <v>#VALUE!</v>
      </c>
      <c r="BN199" s="104"/>
      <c r="CF199" s="5"/>
      <c r="CG199" s="5"/>
      <c r="CH199" s="3"/>
      <c r="CJ199" s="5"/>
      <c r="CN199" s="3"/>
      <c r="CO199" s="3"/>
      <c r="CP199" s="5"/>
      <c r="CR199" s="3"/>
      <c r="DN199" s="5"/>
      <c r="DP199" s="3"/>
      <c r="EB199" s="7"/>
      <c r="EC199" s="7"/>
      <c r="EF199" s="4"/>
      <c r="EG199" s="4"/>
      <c r="EQ199" s="2"/>
      <c r="ER199" s="2"/>
    </row>
    <row r="200" spans="1:148">
      <c r="A200" s="227">
        <v>3432</v>
      </c>
      <c r="B200" s="228" t="s">
        <v>997</v>
      </c>
      <c r="C200" s="228" t="s">
        <v>278</v>
      </c>
      <c r="D200" s="228" t="s">
        <v>127</v>
      </c>
      <c r="E200" s="228" t="s">
        <v>998</v>
      </c>
      <c r="F200" s="228" t="s">
        <v>35</v>
      </c>
      <c r="G200" s="228" t="s">
        <v>1292</v>
      </c>
      <c r="H200" s="228" t="s">
        <v>1285</v>
      </c>
      <c r="I200" s="228" t="s">
        <v>981</v>
      </c>
      <c r="J200" s="228" t="s">
        <v>686</v>
      </c>
      <c r="K200" s="229">
        <v>43424</v>
      </c>
      <c r="L200" s="230">
        <v>1</v>
      </c>
      <c r="M200" s="230">
        <v>1.462</v>
      </c>
      <c r="N200" s="228">
        <v>3.72</v>
      </c>
      <c r="O200" s="228" t="s">
        <v>687</v>
      </c>
      <c r="P200" s="231" t="s">
        <v>695</v>
      </c>
      <c r="Q200" s="231" t="s">
        <v>696</v>
      </c>
      <c r="R200" s="228" t="s">
        <v>24</v>
      </c>
      <c r="S200" s="228"/>
      <c r="T200" s="232" t="s">
        <v>120</v>
      </c>
      <c r="U200" s="228" t="s">
        <v>982</v>
      </c>
      <c r="V200" s="232" t="s">
        <v>120</v>
      </c>
      <c r="W200" s="228"/>
      <c r="X200" s="232" t="s">
        <v>120</v>
      </c>
      <c r="Y200" s="228" t="s">
        <v>999</v>
      </c>
      <c r="Z200" s="233" t="s">
        <v>120</v>
      </c>
      <c r="AA200" s="234"/>
      <c r="AB200" s="234"/>
      <c r="AC200" s="235" t="s">
        <v>123</v>
      </c>
      <c r="AD200" s="228" t="s">
        <v>1042</v>
      </c>
      <c r="AE200" s="232" t="s">
        <v>120</v>
      </c>
      <c r="AF200" s="229"/>
      <c r="AG200" s="236"/>
      <c r="AH200" s="236"/>
      <c r="AI200" s="228" t="s">
        <v>985</v>
      </c>
      <c r="AJ200" s="232" t="s">
        <v>120</v>
      </c>
      <c r="AK200" s="228" t="s">
        <v>123</v>
      </c>
      <c r="AL200" s="228" t="s">
        <v>935</v>
      </c>
      <c r="AM200" s="232"/>
      <c r="AN200" s="228"/>
      <c r="AO200" s="228"/>
      <c r="AP200" s="237"/>
      <c r="AQ200" s="228"/>
      <c r="AR200" s="232"/>
      <c r="AS200" s="228"/>
      <c r="AT200" s="229">
        <v>43424.694668171302</v>
      </c>
      <c r="AU200" s="229">
        <v>43424.698250115704</v>
      </c>
      <c r="AV200" s="229">
        <v>43431.6075696759</v>
      </c>
      <c r="AW200" s="229">
        <v>43424.694668171302</v>
      </c>
      <c r="AX200" s="229">
        <v>43430.496666666702</v>
      </c>
      <c r="AY200" s="229">
        <v>43430.843737962998</v>
      </c>
      <c r="AZ200" s="238">
        <v>43431.6075696759</v>
      </c>
      <c r="BA200" s="1" t="s">
        <v>7684</v>
      </c>
      <c r="BB200">
        <v>130</v>
      </c>
      <c r="BC200">
        <v>60</v>
      </c>
      <c r="BD200">
        <v>3058</v>
      </c>
      <c r="BE20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7.6075696758998674</v>
      </c>
      <c r="BF200" s="240">
        <f>COUNTIFS(_05preva_view43[Site ID],_05preva_view43[[#This Row],[Site ID]],_05preva_view43[Prevalidation Status],"Under Prevalidation")</f>
        <v>0</v>
      </c>
      <c r="BG20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0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(SHN00080) Application Rev 2.xlsx</v>
      </c>
      <c r="BI200" s="64" t="e">
        <f t="shared" ca="1" si="3"/>
        <v>#VALUE!</v>
      </c>
      <c r="BJ200" s="104" t="e">
        <f ca="1">LEFT(CELL("filename",A185),_05preva_view43[[#This Row],[Find Process &amp; Database]]-1)</f>
        <v>#VALUE!</v>
      </c>
      <c r="BK200" s="104" t="e">
        <f ca="1">_05preva_view43[Folder Path1]&amp;"Process &amp; Database\Documentation\Colo Applications"</f>
        <v>#VALUE!</v>
      </c>
      <c r="BL200" s="104" t="e">
        <f ca="1">_05preva_view43[Folder Path2]&amp;"\Colo App "&amp;_05preva_view43[[#This Row],[Operator]]&amp;"\"</f>
        <v>#VALUE!</v>
      </c>
      <c r="BM200" s="63" t="e">
        <f ca="1">_05preva_view43[[#This Row],[Folder Path3]]&amp;_05preva_view43[[#This Row],[File Name]]</f>
        <v>#VALUE!</v>
      </c>
      <c r="BN200" s="104"/>
      <c r="CF200" s="5"/>
      <c r="CG200" s="5"/>
      <c r="CH200" s="3"/>
      <c r="CJ200" s="5"/>
      <c r="CN200" s="3"/>
      <c r="CO200" s="3"/>
      <c r="CP200" s="5"/>
      <c r="CR200" s="3"/>
      <c r="DN200" s="5"/>
      <c r="DP200" s="3"/>
      <c r="EB200" s="7"/>
      <c r="EC200" s="7"/>
      <c r="EF200" s="4"/>
      <c r="EG200" s="4"/>
      <c r="EQ200" s="2"/>
      <c r="ER200" s="2"/>
    </row>
    <row r="201" spans="1:148">
      <c r="A201" s="227">
        <v>3433</v>
      </c>
      <c r="B201" s="228" t="s">
        <v>1000</v>
      </c>
      <c r="C201" s="228" t="s">
        <v>278</v>
      </c>
      <c r="D201" s="228" t="s">
        <v>127</v>
      </c>
      <c r="E201" s="228" t="s">
        <v>1001</v>
      </c>
      <c r="F201" s="228" t="s">
        <v>35</v>
      </c>
      <c r="G201" s="228" t="s">
        <v>1292</v>
      </c>
      <c r="H201" s="228" t="s">
        <v>1285</v>
      </c>
      <c r="I201" s="228" t="s">
        <v>790</v>
      </c>
      <c r="J201" s="228" t="s">
        <v>686</v>
      </c>
      <c r="K201" s="229">
        <v>43424</v>
      </c>
      <c r="L201" s="230">
        <v>2.0590000000000002</v>
      </c>
      <c r="M201" s="230">
        <v>3.6110000000000002</v>
      </c>
      <c r="N201" s="228">
        <v>4.51</v>
      </c>
      <c r="O201" s="228" t="s">
        <v>687</v>
      </c>
      <c r="P201" s="231" t="s">
        <v>695</v>
      </c>
      <c r="Q201" s="231" t="s">
        <v>696</v>
      </c>
      <c r="R201" s="228" t="s">
        <v>24</v>
      </c>
      <c r="S201" s="228"/>
      <c r="T201" s="232" t="s">
        <v>120</v>
      </c>
      <c r="U201" s="228" t="s">
        <v>982</v>
      </c>
      <c r="V201" s="232" t="s">
        <v>120</v>
      </c>
      <c r="W201" s="228"/>
      <c r="X201" s="232" t="s">
        <v>120</v>
      </c>
      <c r="Y201" s="228" t="s">
        <v>1002</v>
      </c>
      <c r="Z201" s="233" t="s">
        <v>120</v>
      </c>
      <c r="AA201" s="234"/>
      <c r="AB201" s="234"/>
      <c r="AC201" s="235" t="s">
        <v>123</v>
      </c>
      <c r="AD201" s="228" t="s">
        <v>1043</v>
      </c>
      <c r="AE201" s="232" t="s">
        <v>120</v>
      </c>
      <c r="AF201" s="229" t="s">
        <v>1463</v>
      </c>
      <c r="AG201" s="236"/>
      <c r="AH201" s="236"/>
      <c r="AI201" s="228" t="s">
        <v>1003</v>
      </c>
      <c r="AJ201" s="232" t="s">
        <v>120</v>
      </c>
      <c r="AK201" s="228" t="s">
        <v>123</v>
      </c>
      <c r="AL201" s="228" t="s">
        <v>935</v>
      </c>
      <c r="AM201" s="232"/>
      <c r="AN201" s="228"/>
      <c r="AO201" s="228"/>
      <c r="AP201" s="237"/>
      <c r="AQ201" s="228"/>
      <c r="AR201" s="232"/>
      <c r="AS201" s="228"/>
      <c r="AT201" s="229">
        <v>43424.694670254597</v>
      </c>
      <c r="AU201" s="229">
        <v>43451.370453356503</v>
      </c>
      <c r="AV201" s="229">
        <v>43431.607571643501</v>
      </c>
      <c r="AW201" s="229">
        <v>43424.694670254597</v>
      </c>
      <c r="AX201" s="229">
        <v>43430.496670717599</v>
      </c>
      <c r="AY201" s="229">
        <v>43430.843742824101</v>
      </c>
      <c r="AZ201" s="238">
        <v>43451.389658333297</v>
      </c>
      <c r="BA201" s="1" t="s">
        <v>7684</v>
      </c>
      <c r="BB201">
        <v>130</v>
      </c>
      <c r="BC201">
        <v>60</v>
      </c>
      <c r="BD201">
        <v>3124</v>
      </c>
      <c r="BE20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27.38965833329712</v>
      </c>
      <c r="BF201" s="240">
        <f>COUNTIFS(_05preva_view43[Site ID],_05preva_view43[[#This Row],[Site ID]],_05preva_view43[Prevalidation Status],"Under Prevalidation")</f>
        <v>0</v>
      </c>
      <c r="BG20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1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(SHN00086) Application Rev 2.xlsx</v>
      </c>
      <c r="BI201" s="64" t="e">
        <f t="shared" ca="1" si="3"/>
        <v>#VALUE!</v>
      </c>
      <c r="BJ201" s="104" t="e">
        <f ca="1">LEFT(CELL("filename",A186),_05preva_view43[[#This Row],[Find Process &amp; Database]]-1)</f>
        <v>#VALUE!</v>
      </c>
      <c r="BK201" s="104" t="e">
        <f ca="1">_05preva_view43[Folder Path1]&amp;"Process &amp; Database\Documentation\Colo Applications"</f>
        <v>#VALUE!</v>
      </c>
      <c r="BL201" s="104" t="e">
        <f ca="1">_05preva_view43[Folder Path2]&amp;"\Colo App "&amp;_05preva_view43[[#This Row],[Operator]]&amp;"\"</f>
        <v>#VALUE!</v>
      </c>
      <c r="BM201" s="63" t="e">
        <f ca="1">_05preva_view43[[#This Row],[Folder Path3]]&amp;_05preva_view43[[#This Row],[File Name]]</f>
        <v>#VALUE!</v>
      </c>
      <c r="BN201" s="104"/>
      <c r="CF201" s="5"/>
      <c r="CG201" s="5"/>
      <c r="CH201" s="3"/>
      <c r="CJ201" s="5"/>
      <c r="CN201" s="3"/>
      <c r="CO201" s="3"/>
      <c r="CP201" s="5"/>
      <c r="CR201" s="3"/>
      <c r="DN201" s="5"/>
      <c r="DP201" s="3"/>
      <c r="EB201" s="7"/>
      <c r="EC201" s="7"/>
      <c r="EF201" s="4"/>
      <c r="EG201" s="4"/>
      <c r="EQ201" s="2"/>
      <c r="ER201" s="2"/>
    </row>
    <row r="202" spans="1:148">
      <c r="A202" s="227">
        <v>3434</v>
      </c>
      <c r="B202" s="228" t="s">
        <v>1004</v>
      </c>
      <c r="C202" s="228" t="s">
        <v>278</v>
      </c>
      <c r="D202" s="228" t="s">
        <v>117</v>
      </c>
      <c r="E202" s="228" t="s">
        <v>1005</v>
      </c>
      <c r="F202" s="228" t="s">
        <v>35</v>
      </c>
      <c r="G202" s="228" t="s">
        <v>1292</v>
      </c>
      <c r="H202" s="228" t="s">
        <v>1285</v>
      </c>
      <c r="I202" s="228" t="s">
        <v>1006</v>
      </c>
      <c r="J202" s="228" t="s">
        <v>686</v>
      </c>
      <c r="K202" s="229">
        <v>43424</v>
      </c>
      <c r="L202" s="230">
        <v>2.16</v>
      </c>
      <c r="M202" s="230">
        <v>2.7</v>
      </c>
      <c r="N202" s="228">
        <v>6.82</v>
      </c>
      <c r="O202" s="228" t="s">
        <v>687</v>
      </c>
      <c r="P202" s="231" t="s">
        <v>695</v>
      </c>
      <c r="Q202" s="231" t="s">
        <v>696</v>
      </c>
      <c r="R202" s="228" t="s">
        <v>24</v>
      </c>
      <c r="S202" s="228"/>
      <c r="T202" s="232" t="s">
        <v>120</v>
      </c>
      <c r="U202" s="228" t="s">
        <v>1007</v>
      </c>
      <c r="V202" s="232" t="s">
        <v>120</v>
      </c>
      <c r="W202" s="228"/>
      <c r="X202" s="232" t="s">
        <v>120</v>
      </c>
      <c r="Y202" s="228" t="s">
        <v>1008</v>
      </c>
      <c r="Z202" s="233" t="s">
        <v>120</v>
      </c>
      <c r="AA202" s="234"/>
      <c r="AB202" s="234"/>
      <c r="AC202" s="235" t="s">
        <v>123</v>
      </c>
      <c r="AD202" s="228" t="s">
        <v>1044</v>
      </c>
      <c r="AE202" s="232" t="s">
        <v>120</v>
      </c>
      <c r="AF202" s="229" t="s">
        <v>1458</v>
      </c>
      <c r="AG202" s="236"/>
      <c r="AH202" s="236"/>
      <c r="AI202" s="228" t="s">
        <v>1003</v>
      </c>
      <c r="AJ202" s="232" t="s">
        <v>120</v>
      </c>
      <c r="AK202" s="228" t="s">
        <v>206</v>
      </c>
      <c r="AL202" s="228" t="s">
        <v>935</v>
      </c>
      <c r="AM202" s="232"/>
      <c r="AN202" s="228"/>
      <c r="AO202" s="228"/>
      <c r="AP202" s="237"/>
      <c r="AQ202" s="228"/>
      <c r="AR202" s="232"/>
      <c r="AS202" s="228"/>
      <c r="AT202" s="229">
        <v>43424.694671990699</v>
      </c>
      <c r="AU202" s="229">
        <v>43451.370454976903</v>
      </c>
      <c r="AV202" s="229">
        <v>43431.6075732639</v>
      </c>
      <c r="AW202" s="229">
        <v>43424.694671990699</v>
      </c>
      <c r="AX202" s="229">
        <v>43430.496674421302</v>
      </c>
      <c r="AY202" s="229">
        <v>43430.8437478009</v>
      </c>
      <c r="AZ202" s="238">
        <v>43451.389659375003</v>
      </c>
      <c r="BA202" s="1" t="s">
        <v>7684</v>
      </c>
      <c r="BB202">
        <v>130</v>
      </c>
      <c r="BC202">
        <v>60</v>
      </c>
      <c r="BD202">
        <v>2683</v>
      </c>
      <c r="BE20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27.389659375003248</v>
      </c>
      <c r="BF202" s="240">
        <f>COUNTIFS(_05preva_view43[Site ID],_05preva_view43[[#This Row],[Site ID]],_05preva_view43[Prevalidation Status],"Under Prevalidation")</f>
        <v>0</v>
      </c>
      <c r="BG20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2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1-01-14007-002 (SHS00093) Application Rev 2.xlsx</v>
      </c>
      <c r="BI202" s="64" t="e">
        <f t="shared" ca="1" si="3"/>
        <v>#VALUE!</v>
      </c>
      <c r="BJ202" s="104" t="e">
        <f ca="1">LEFT(CELL("filename",A187),_05preva_view43[[#This Row],[Find Process &amp; Database]]-1)</f>
        <v>#VALUE!</v>
      </c>
      <c r="BK202" s="104" t="e">
        <f ca="1">_05preva_view43[Folder Path1]&amp;"Process &amp; Database\Documentation\Colo Applications"</f>
        <v>#VALUE!</v>
      </c>
      <c r="BL202" s="104" t="e">
        <f ca="1">_05preva_view43[Folder Path2]&amp;"\Colo App "&amp;_05preva_view43[[#This Row],[Operator]]&amp;"\"</f>
        <v>#VALUE!</v>
      </c>
      <c r="BM202" s="63" t="e">
        <f ca="1">_05preva_view43[[#This Row],[Folder Path3]]&amp;_05preva_view43[[#This Row],[File Name]]</f>
        <v>#VALUE!</v>
      </c>
      <c r="BN202" s="104"/>
      <c r="CF202" s="5"/>
      <c r="CG202" s="5"/>
      <c r="CH202" s="3"/>
      <c r="CJ202" s="5"/>
      <c r="CN202" s="3"/>
      <c r="CO202" s="3"/>
      <c r="CP202" s="5"/>
      <c r="CR202" s="3"/>
      <c r="DN202" s="5"/>
      <c r="DP202" s="3"/>
      <c r="EB202" s="7"/>
      <c r="EC202" s="7"/>
      <c r="EF202" s="4"/>
      <c r="EG202" s="4"/>
      <c r="EQ202" s="2"/>
      <c r="ER202" s="2"/>
    </row>
    <row r="203" spans="1:148">
      <c r="A203" s="227">
        <v>3428</v>
      </c>
      <c r="B203" s="228" t="s">
        <v>812</v>
      </c>
      <c r="C203" s="228" t="s">
        <v>116</v>
      </c>
      <c r="D203" s="228" t="s">
        <v>127</v>
      </c>
      <c r="E203" s="228" t="s">
        <v>813</v>
      </c>
      <c r="F203" s="228" t="s">
        <v>35</v>
      </c>
      <c r="G203" s="228" t="s">
        <v>1287</v>
      </c>
      <c r="H203" s="228" t="s">
        <v>1285</v>
      </c>
      <c r="I203" s="228" t="s">
        <v>790</v>
      </c>
      <c r="J203" s="228" t="s">
        <v>668</v>
      </c>
      <c r="K203" s="229">
        <v>43420</v>
      </c>
      <c r="L203" s="230">
        <v>1.66</v>
      </c>
      <c r="M203" s="230">
        <v>2.75</v>
      </c>
      <c r="N203" s="228">
        <v>3.4</v>
      </c>
      <c r="O203" s="228" t="s">
        <v>119</v>
      </c>
      <c r="P203" s="231" t="s">
        <v>292</v>
      </c>
      <c r="Q203" s="231" t="s">
        <v>234</v>
      </c>
      <c r="R203" s="228" t="s">
        <v>24</v>
      </c>
      <c r="S203" s="228"/>
      <c r="T203" s="232" t="s">
        <v>120</v>
      </c>
      <c r="U203" s="228"/>
      <c r="V203" s="232" t="s">
        <v>120</v>
      </c>
      <c r="W203" s="228"/>
      <c r="X203" s="232" t="s">
        <v>120</v>
      </c>
      <c r="Y203" s="228" t="s">
        <v>975</v>
      </c>
      <c r="Z203" s="233" t="s">
        <v>120</v>
      </c>
      <c r="AA203" s="234"/>
      <c r="AB203" s="234"/>
      <c r="AC203" s="235" t="s">
        <v>123</v>
      </c>
      <c r="AD203" s="228" t="s">
        <v>976</v>
      </c>
      <c r="AE203" s="232" t="s">
        <v>120</v>
      </c>
      <c r="AF203" s="229" t="s">
        <v>977</v>
      </c>
      <c r="AG203" s="236"/>
      <c r="AH203" s="236"/>
      <c r="AI203" s="228" t="s">
        <v>978</v>
      </c>
      <c r="AJ203" s="232" t="s">
        <v>120</v>
      </c>
      <c r="AK203" s="228" t="s">
        <v>123</v>
      </c>
      <c r="AL203" s="228" t="s">
        <v>935</v>
      </c>
      <c r="AM203" s="232"/>
      <c r="AN203" s="228"/>
      <c r="AO203" s="228"/>
      <c r="AP203" s="237"/>
      <c r="AQ203" s="228"/>
      <c r="AR203" s="232"/>
      <c r="AS203" s="228"/>
      <c r="AT203" s="229">
        <v>43423.505152777798</v>
      </c>
      <c r="AU203" s="229">
        <v>43423.728602546304</v>
      </c>
      <c r="AV203" s="229">
        <v>43430.471621875004</v>
      </c>
      <c r="AW203" s="229">
        <v>43423.505152777798</v>
      </c>
      <c r="AX203" s="229">
        <v>43424.368697222199</v>
      </c>
      <c r="AY203" s="229">
        <v>43423.766301273201</v>
      </c>
      <c r="AZ203" s="238">
        <v>43430.471621875004</v>
      </c>
      <c r="BA203" s="1" t="s">
        <v>7684</v>
      </c>
      <c r="BB203"/>
      <c r="BC203">
        <v>35</v>
      </c>
      <c r="BD203">
        <v>1597</v>
      </c>
      <c r="BE20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10.471621875003621</v>
      </c>
      <c r="BF203" s="240">
        <f>COUNTIFS(_05preva_view43[Site ID],_05preva_view43[[#This Row],[Site ID]],_05preva_view43[Prevalidation Status],"Under Prevalidation")</f>
        <v>0</v>
      </c>
      <c r="BG20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3" s="242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1.xlsx</v>
      </c>
      <c r="BI203" s="64" t="e">
        <f t="shared" ca="1" si="3"/>
        <v>#VALUE!</v>
      </c>
      <c r="BJ203" s="104" t="e">
        <f ca="1">LEFT(CELL("filename",A188),_05preva_view43[[#This Row],[Find Process &amp; Database]]-1)</f>
        <v>#VALUE!</v>
      </c>
      <c r="BK203" s="104" t="e">
        <f ca="1">_05preva_view43[Folder Path1]&amp;"Process &amp; Database\Documentation\Colo Applications"</f>
        <v>#VALUE!</v>
      </c>
      <c r="BL203" s="104" t="e">
        <f ca="1">_05preva_view43[Folder Path2]&amp;"\Colo App "&amp;_05preva_view43[[#This Row],[Operator]]&amp;"\"</f>
        <v>#VALUE!</v>
      </c>
      <c r="BM203" s="63" t="e">
        <f ca="1">_05preva_view43[[#This Row],[Folder Path3]]&amp;_05preva_view43[[#This Row],[File Name]]</f>
        <v>#VALUE!</v>
      </c>
      <c r="BN203" s="104"/>
      <c r="CF203" s="5"/>
      <c r="CG203" s="5"/>
      <c r="CH203" s="3"/>
      <c r="CJ203" s="5"/>
      <c r="CN203" s="3"/>
      <c r="CO203" s="3"/>
      <c r="CP203" s="5"/>
      <c r="CR203" s="3"/>
      <c r="DN203" s="5"/>
      <c r="DP203" s="3"/>
      <c r="EB203" s="7"/>
      <c r="EC203" s="7"/>
      <c r="EF203" s="4"/>
      <c r="EG203" s="4"/>
      <c r="EQ203" s="2"/>
      <c r="ER203" s="2"/>
    </row>
    <row r="204" spans="1:148">
      <c r="A204" s="227">
        <v>3416</v>
      </c>
      <c r="B204" s="228" t="s">
        <v>947</v>
      </c>
      <c r="C204" s="228" t="s">
        <v>116</v>
      </c>
      <c r="D204" s="228" t="s">
        <v>153</v>
      </c>
      <c r="E204" s="228" t="s">
        <v>948</v>
      </c>
      <c r="F204" s="228" t="s">
        <v>41</v>
      </c>
      <c r="G204" s="228" t="s">
        <v>1286</v>
      </c>
      <c r="H204" s="228" t="s">
        <v>1285</v>
      </c>
      <c r="I204" s="228" t="s">
        <v>949</v>
      </c>
      <c r="J204" s="228" t="s">
        <v>668</v>
      </c>
      <c r="K204" s="229">
        <v>43419</v>
      </c>
      <c r="L204" s="230"/>
      <c r="M204" s="230"/>
      <c r="N204" s="228">
        <v>3</v>
      </c>
      <c r="O204" s="228" t="s">
        <v>687</v>
      </c>
      <c r="P204" s="231" t="s">
        <v>280</v>
      </c>
      <c r="Q204" s="231" t="s">
        <v>281</v>
      </c>
      <c r="R204" s="228" t="s">
        <v>24</v>
      </c>
      <c r="S204" s="228"/>
      <c r="T204" s="232" t="s">
        <v>615</v>
      </c>
      <c r="U204" s="228"/>
      <c r="V204" s="232" t="s">
        <v>615</v>
      </c>
      <c r="W204" s="228"/>
      <c r="X204" s="232" t="s">
        <v>120</v>
      </c>
      <c r="Y204" s="228" t="s">
        <v>950</v>
      </c>
      <c r="Z204" s="233" t="s">
        <v>615</v>
      </c>
      <c r="AA204" s="234"/>
      <c r="AB204" s="234"/>
      <c r="AC204" s="235" t="s">
        <v>123</v>
      </c>
      <c r="AD204" s="228" t="s">
        <v>951</v>
      </c>
      <c r="AE204" s="232" t="s">
        <v>615</v>
      </c>
      <c r="AF204" s="229"/>
      <c r="AG204" s="236"/>
      <c r="AH204" s="236"/>
      <c r="AI204" s="228"/>
      <c r="AJ204" s="232" t="s">
        <v>615</v>
      </c>
      <c r="AK204" s="228"/>
      <c r="AL204" s="228"/>
      <c r="AM204" s="232" t="s">
        <v>615</v>
      </c>
      <c r="AN204" s="228"/>
      <c r="AO204" s="228" t="s">
        <v>615</v>
      </c>
      <c r="AP204" s="237"/>
      <c r="AQ204" s="228"/>
      <c r="AR204" s="232" t="s">
        <v>120</v>
      </c>
      <c r="AS204" s="228"/>
      <c r="AT204" s="229">
        <v>43419.7339959491</v>
      </c>
      <c r="AU204" s="229"/>
      <c r="AV204" s="229"/>
      <c r="AW204" s="229"/>
      <c r="AX204" s="229"/>
      <c r="AY204" s="229"/>
      <c r="AZ204" s="238">
        <v>43447.656926504598</v>
      </c>
      <c r="BA204" s="1" t="s">
        <v>7684</v>
      </c>
      <c r="BB204">
        <v>195</v>
      </c>
      <c r="BC204">
        <v>35</v>
      </c>
      <c r="BD204">
        <v>61</v>
      </c>
      <c r="BE20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28.656926504598232</v>
      </c>
      <c r="BF204" s="240">
        <f>COUNTIFS(_05preva_view43[Site ID],_05preva_view43[[#This Row],[Site ID]],_05preva_view43[Prevalidation Status],"Under Prevalidation")</f>
        <v>0</v>
      </c>
      <c r="BG20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4" s="242" t="str">
        <f>CONCATENATE(_05preva_view43[[#This Row],[Site ID]]," (",_05preva_view43[[#This Row],[tenant id]],") Application",IF(_05preva_view43[[#This Row],[Colo Rev]]&gt;0," Rev "&amp;_05preva_view43[[#This Row],[Colo Rev]],""),".xlsx")</f>
        <v>AYYN_0264 (YGNINSN003) Application Rev 1.xlsx</v>
      </c>
      <c r="BI204" s="64" t="e">
        <f t="shared" ca="1" si="3"/>
        <v>#VALUE!</v>
      </c>
      <c r="BJ204" s="104" t="e">
        <f ca="1">LEFT(CELL("filename",A189),_05preva_view43[[#This Row],[Find Process &amp; Database]]-1)</f>
        <v>#VALUE!</v>
      </c>
      <c r="BK204" s="104" t="e">
        <f ca="1">_05preva_view43[Folder Path1]&amp;"Process &amp; Database\Documentation\Colo Applications"</f>
        <v>#VALUE!</v>
      </c>
      <c r="BL204" s="104" t="e">
        <f ca="1">_05preva_view43[Folder Path2]&amp;"\Colo App "&amp;_05preva_view43[[#This Row],[Operator]]&amp;"\"</f>
        <v>#VALUE!</v>
      </c>
      <c r="BM204" s="63" t="e">
        <f ca="1">_05preva_view43[[#This Row],[Folder Path3]]&amp;_05preva_view43[[#This Row],[File Name]]</f>
        <v>#VALUE!</v>
      </c>
      <c r="BN204" s="104"/>
      <c r="CF204" s="5"/>
      <c r="CG204" s="5"/>
      <c r="CH204" s="3"/>
      <c r="CJ204" s="5"/>
      <c r="CN204" s="3"/>
      <c r="CO204" s="3"/>
      <c r="CP204" s="5"/>
      <c r="CR204" s="3"/>
      <c r="DN204" s="5"/>
      <c r="DP204" s="3"/>
      <c r="EB204" s="7"/>
      <c r="EC204" s="7"/>
      <c r="EF204" s="4"/>
      <c r="EG204" s="4"/>
      <c r="EQ204" s="2"/>
      <c r="ER204" s="2"/>
    </row>
    <row r="205" spans="1:148">
      <c r="A205" s="227">
        <v>3417</v>
      </c>
      <c r="B205" s="228" t="s">
        <v>952</v>
      </c>
      <c r="C205" s="228" t="s">
        <v>116</v>
      </c>
      <c r="D205" s="228" t="s">
        <v>153</v>
      </c>
      <c r="E205" s="228" t="s">
        <v>953</v>
      </c>
      <c r="F205" s="228" t="s">
        <v>41</v>
      </c>
      <c r="G205" s="228" t="s">
        <v>1286</v>
      </c>
      <c r="H205" s="228" t="s">
        <v>1285</v>
      </c>
      <c r="I205" s="228" t="s">
        <v>949</v>
      </c>
      <c r="J205" s="228" t="s">
        <v>668</v>
      </c>
      <c r="K205" s="229">
        <v>43419</v>
      </c>
      <c r="L205" s="230"/>
      <c r="M205" s="230"/>
      <c r="N205" s="228">
        <v>3.1</v>
      </c>
      <c r="O205" s="228" t="s">
        <v>687</v>
      </c>
      <c r="P205" s="231" t="s">
        <v>954</v>
      </c>
      <c r="Q205" s="231" t="s">
        <v>955</v>
      </c>
      <c r="R205" s="228" t="s">
        <v>24</v>
      </c>
      <c r="S205" s="228"/>
      <c r="T205" s="232" t="s">
        <v>615</v>
      </c>
      <c r="U205" s="228"/>
      <c r="V205" s="232" t="s">
        <v>615</v>
      </c>
      <c r="W205" s="228"/>
      <c r="X205" s="232" t="s">
        <v>120</v>
      </c>
      <c r="Y205" s="228" t="s">
        <v>956</v>
      </c>
      <c r="Z205" s="233" t="s">
        <v>615</v>
      </c>
      <c r="AA205" s="234"/>
      <c r="AB205" s="234"/>
      <c r="AC205" s="235"/>
      <c r="AD205" s="228"/>
      <c r="AE205" s="232" t="s">
        <v>615</v>
      </c>
      <c r="AF205" s="229"/>
      <c r="AG205" s="236"/>
      <c r="AH205" s="236"/>
      <c r="AI205" s="228"/>
      <c r="AJ205" s="232" t="s">
        <v>615</v>
      </c>
      <c r="AK205" s="228"/>
      <c r="AL205" s="228"/>
      <c r="AM205" s="232" t="s">
        <v>615</v>
      </c>
      <c r="AN205" s="228"/>
      <c r="AO205" s="228" t="s">
        <v>615</v>
      </c>
      <c r="AP205" s="237"/>
      <c r="AQ205" s="228"/>
      <c r="AR205" s="232" t="s">
        <v>120</v>
      </c>
      <c r="AS205" s="228"/>
      <c r="AT205" s="229">
        <v>43419.733996643503</v>
      </c>
      <c r="AU205" s="229"/>
      <c r="AV205" s="229"/>
      <c r="AW205" s="229"/>
      <c r="AX205" s="229"/>
      <c r="AY205" s="229"/>
      <c r="AZ205" s="238">
        <v>43447.656927777804</v>
      </c>
      <c r="BA205" s="1" t="s">
        <v>7691</v>
      </c>
      <c r="BB205"/>
      <c r="BC205">
        <v>6</v>
      </c>
      <c r="BD205">
        <v>72</v>
      </c>
      <c r="BE20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28.656927777803503</v>
      </c>
      <c r="BF205" s="240">
        <f>COUNTIFS(_05preva_view43[Site ID],_05preva_view43[[#This Row],[Site ID]],_05preva_view43[Prevalidation Status],"Under Prevalidation")</f>
        <v>0</v>
      </c>
      <c r="BG20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5" s="242" t="str">
        <f>CONCATENATE(_05preva_view43[[#This Row],[Site ID]]," (",_05preva_view43[[#This Row],[tenant id]],") Application",IF(_05preva_view43[[#This Row],[Colo Rev]]&gt;0," Rev "&amp;_05preva_view43[[#This Row],[Colo Rev]],""),".xlsx")</f>
        <v>AYYN_0334 (YGNMYGE005) Application Rev 1.xlsx</v>
      </c>
      <c r="BI205" s="64" t="e">
        <f t="shared" ca="1" si="3"/>
        <v>#VALUE!</v>
      </c>
      <c r="BJ205" s="104" t="e">
        <f ca="1">LEFT(CELL("filename",A190),_05preva_view43[[#This Row],[Find Process &amp; Database]]-1)</f>
        <v>#VALUE!</v>
      </c>
      <c r="BK205" s="104" t="e">
        <f ca="1">_05preva_view43[Folder Path1]&amp;"Process &amp; Database\Documentation\Colo Applications"</f>
        <v>#VALUE!</v>
      </c>
      <c r="BL205" s="104" t="e">
        <f ca="1">_05preva_view43[Folder Path2]&amp;"\Colo App "&amp;_05preva_view43[[#This Row],[Operator]]&amp;"\"</f>
        <v>#VALUE!</v>
      </c>
      <c r="BM205" s="63" t="e">
        <f ca="1">_05preva_view43[[#This Row],[Folder Path3]]&amp;_05preva_view43[[#This Row],[File Name]]</f>
        <v>#VALUE!</v>
      </c>
      <c r="BN205" s="104"/>
      <c r="CF205" s="5"/>
      <c r="CG205" s="5"/>
      <c r="CH205" s="3"/>
      <c r="CJ205" s="5"/>
      <c r="CN205" s="3"/>
      <c r="CO205" s="3"/>
      <c r="CP205" s="5"/>
      <c r="CR205" s="3"/>
      <c r="DN205" s="5"/>
      <c r="DP205" s="3"/>
      <c r="EB205" s="7"/>
      <c r="EC205" s="7"/>
      <c r="EF205" s="4"/>
      <c r="EG205" s="4"/>
      <c r="EQ205" s="2"/>
      <c r="ER205" s="2"/>
    </row>
    <row r="206" spans="1:148">
      <c r="A206" s="227">
        <v>3418</v>
      </c>
      <c r="B206" s="228" t="s">
        <v>957</v>
      </c>
      <c r="C206" s="228" t="s">
        <v>116</v>
      </c>
      <c r="D206" s="228" t="s">
        <v>153</v>
      </c>
      <c r="E206" s="228" t="s">
        <v>958</v>
      </c>
      <c r="F206" s="228" t="s">
        <v>41</v>
      </c>
      <c r="G206" s="228" t="s">
        <v>1286</v>
      </c>
      <c r="H206" s="228" t="s">
        <v>1285</v>
      </c>
      <c r="I206" s="228" t="s">
        <v>949</v>
      </c>
      <c r="J206" s="228" t="s">
        <v>668</v>
      </c>
      <c r="K206" s="229">
        <v>43419</v>
      </c>
      <c r="L206" s="230"/>
      <c r="M206" s="230"/>
      <c r="N206" s="228">
        <v>2.97</v>
      </c>
      <c r="O206" s="228" t="s">
        <v>687</v>
      </c>
      <c r="P206" s="231" t="s">
        <v>652</v>
      </c>
      <c r="Q206" s="231" t="s">
        <v>228</v>
      </c>
      <c r="R206" s="228" t="s">
        <v>24</v>
      </c>
      <c r="S206" s="228"/>
      <c r="T206" s="232" t="s">
        <v>615</v>
      </c>
      <c r="U206" s="228"/>
      <c r="V206" s="232" t="s">
        <v>615</v>
      </c>
      <c r="W206" s="228"/>
      <c r="X206" s="232" t="s">
        <v>120</v>
      </c>
      <c r="Y206" s="228" t="s">
        <v>959</v>
      </c>
      <c r="Z206" s="233" t="s">
        <v>120</v>
      </c>
      <c r="AA206" s="234"/>
      <c r="AB206" s="234"/>
      <c r="AC206" s="235" t="s">
        <v>206</v>
      </c>
      <c r="AD206" s="228" t="s">
        <v>1039</v>
      </c>
      <c r="AE206" s="232" t="s">
        <v>615</v>
      </c>
      <c r="AF206" s="229"/>
      <c r="AG206" s="236"/>
      <c r="AH206" s="236"/>
      <c r="AI206" s="228"/>
      <c r="AJ206" s="232" t="s">
        <v>615</v>
      </c>
      <c r="AK206" s="228"/>
      <c r="AL206" s="228"/>
      <c r="AM206" s="232" t="s">
        <v>615</v>
      </c>
      <c r="AN206" s="228"/>
      <c r="AO206" s="228" t="s">
        <v>615</v>
      </c>
      <c r="AP206" s="237"/>
      <c r="AQ206" s="228"/>
      <c r="AR206" s="232" t="s">
        <v>120</v>
      </c>
      <c r="AS206" s="228"/>
      <c r="AT206" s="229">
        <v>43419.733997222203</v>
      </c>
      <c r="AU206" s="229"/>
      <c r="AV206" s="229">
        <v>43441.7283320602</v>
      </c>
      <c r="AW206" s="229"/>
      <c r="AX206" s="229"/>
      <c r="AY206" s="229"/>
      <c r="AZ206" s="238">
        <v>43447.656928935197</v>
      </c>
      <c r="BA206" s="1" t="s">
        <v>7684</v>
      </c>
      <c r="BB206">
        <v>160</v>
      </c>
      <c r="BC206">
        <v>35</v>
      </c>
      <c r="BD206">
        <v>1884</v>
      </c>
      <c r="BE20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28.656928935197357</v>
      </c>
      <c r="BF206" s="240">
        <f>COUNTIFS(_05preva_view43[Site ID],_05preva_view43[[#This Row],[Site ID]],_05preva_view43[Prevalidation Status],"Under Prevalidation")</f>
        <v>0</v>
      </c>
      <c r="BG20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6" s="242" t="str">
        <f>CONCATENATE(_05preva_view43[[#This Row],[Site ID]]," (",_05preva_view43[[#This Row],[tenant id]],") Application",IF(_05preva_view43[[#This Row],[Colo Rev]]&gt;0," Rev "&amp;_05preva_view43[[#This Row],[Colo Rev]],""),".xlsx")</f>
        <v>AYYN_0579 (YGNSPTR024) Application Rev 1.xlsx</v>
      </c>
      <c r="BI206" s="64" t="e">
        <f t="shared" ca="1" si="3"/>
        <v>#VALUE!</v>
      </c>
      <c r="BJ206" s="104" t="e">
        <f ca="1">LEFT(CELL("filename",A191),_05preva_view43[[#This Row],[Find Process &amp; Database]]-1)</f>
        <v>#VALUE!</v>
      </c>
      <c r="BK206" s="104" t="e">
        <f ca="1">_05preva_view43[Folder Path1]&amp;"Process &amp; Database\Documentation\Colo Applications"</f>
        <v>#VALUE!</v>
      </c>
      <c r="BL206" s="104" t="e">
        <f ca="1">_05preva_view43[Folder Path2]&amp;"\Colo App "&amp;_05preva_view43[[#This Row],[Operator]]&amp;"\"</f>
        <v>#VALUE!</v>
      </c>
      <c r="BM206" s="63" t="e">
        <f ca="1">_05preva_view43[[#This Row],[Folder Path3]]&amp;_05preva_view43[[#This Row],[File Name]]</f>
        <v>#VALUE!</v>
      </c>
      <c r="BN206" s="104"/>
      <c r="CF206" s="5"/>
      <c r="CG206" s="5"/>
      <c r="CH206" s="3"/>
      <c r="CJ206" s="5"/>
      <c r="CN206" s="3"/>
      <c r="CO206" s="3"/>
      <c r="CP206" s="5"/>
      <c r="CR206" s="3"/>
      <c r="DN206" s="5"/>
      <c r="DP206" s="3"/>
      <c r="EB206" s="7"/>
      <c r="EC206" s="7"/>
      <c r="EF206" s="4"/>
      <c r="EG206" s="4"/>
      <c r="EQ206" s="2"/>
      <c r="ER206" s="2"/>
    </row>
    <row r="207" spans="1:148">
      <c r="A207" s="227">
        <v>3419</v>
      </c>
      <c r="B207" s="228" t="s">
        <v>960</v>
      </c>
      <c r="C207" s="228" t="s">
        <v>116</v>
      </c>
      <c r="D207" s="228" t="s">
        <v>153</v>
      </c>
      <c r="E207" s="228" t="s">
        <v>961</v>
      </c>
      <c r="F207" s="228" t="s">
        <v>41</v>
      </c>
      <c r="G207" s="228" t="s">
        <v>1286</v>
      </c>
      <c r="H207" s="228" t="s">
        <v>1285</v>
      </c>
      <c r="I207" s="228" t="s">
        <v>949</v>
      </c>
      <c r="J207" s="228" t="s">
        <v>668</v>
      </c>
      <c r="K207" s="229">
        <v>43419</v>
      </c>
      <c r="L207" s="230"/>
      <c r="M207" s="230"/>
      <c r="N207" s="228">
        <v>3</v>
      </c>
      <c r="O207" s="228" t="s">
        <v>687</v>
      </c>
      <c r="P207" s="231"/>
      <c r="Q207" s="231" t="s">
        <v>962</v>
      </c>
      <c r="R207" s="228" t="s">
        <v>24</v>
      </c>
      <c r="S207" s="228"/>
      <c r="T207" s="232" t="s">
        <v>615</v>
      </c>
      <c r="U207" s="228"/>
      <c r="V207" s="232" t="s">
        <v>615</v>
      </c>
      <c r="W207" s="228"/>
      <c r="X207" s="232" t="s">
        <v>120</v>
      </c>
      <c r="Y207" s="228" t="s">
        <v>963</v>
      </c>
      <c r="Z207" s="233" t="s">
        <v>615</v>
      </c>
      <c r="AA207" s="234"/>
      <c r="AB207" s="234"/>
      <c r="AC207" s="235"/>
      <c r="AD207" s="228"/>
      <c r="AE207" s="232" t="s">
        <v>615</v>
      </c>
      <c r="AF207" s="229"/>
      <c r="AG207" s="236"/>
      <c r="AH207" s="236"/>
      <c r="AI207" s="228"/>
      <c r="AJ207" s="232" t="s">
        <v>615</v>
      </c>
      <c r="AK207" s="228"/>
      <c r="AL207" s="228"/>
      <c r="AM207" s="232" t="s">
        <v>615</v>
      </c>
      <c r="AN207" s="228"/>
      <c r="AO207" s="228" t="s">
        <v>615</v>
      </c>
      <c r="AP207" s="237"/>
      <c r="AQ207" s="228"/>
      <c r="AR207" s="232" t="s">
        <v>120</v>
      </c>
      <c r="AS207" s="228"/>
      <c r="AT207" s="229">
        <v>43419.733998032403</v>
      </c>
      <c r="AU207" s="229"/>
      <c r="AV207" s="229"/>
      <c r="AW207" s="229"/>
      <c r="AX207" s="229"/>
      <c r="AY207" s="229"/>
      <c r="AZ207" s="238">
        <v>43447.656929861099</v>
      </c>
      <c r="BA207" s="1" t="s">
        <v>7691</v>
      </c>
      <c r="BB207"/>
      <c r="BC207">
        <v>6</v>
      </c>
      <c r="BD207">
        <v>1412</v>
      </c>
      <c r="BE20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28.656929861099343</v>
      </c>
      <c r="BF207" s="240">
        <f>COUNTIFS(_05preva_view43[Site ID],_05preva_view43[[#This Row],[Site ID]],_05preva_view43[Prevalidation Status],"Under Prevalidation")</f>
        <v>0</v>
      </c>
      <c r="BG20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7" s="242" t="str">
        <f>CONCATENATE(_05preva_view43[[#This Row],[Site ID]]," (",_05preva_view43[[#This Row],[tenant id]],") Application",IF(_05preva_view43[[#This Row],[Colo Rev]]&gt;0," Rev "&amp;_05preva_view43[[#This Row],[Colo Rev]],""),".xlsx")</f>
        <v>AYYN_0553 (YGNTKTA010) Application Rev 1.xlsx</v>
      </c>
      <c r="BI207" s="64" t="e">
        <f t="shared" ca="1" si="3"/>
        <v>#VALUE!</v>
      </c>
      <c r="BJ207" s="104" t="e">
        <f ca="1">LEFT(CELL("filename",A192),_05preva_view43[[#This Row],[Find Process &amp; Database]]-1)</f>
        <v>#VALUE!</v>
      </c>
      <c r="BK207" s="104" t="e">
        <f ca="1">_05preva_view43[Folder Path1]&amp;"Process &amp; Database\Documentation\Colo Applications"</f>
        <v>#VALUE!</v>
      </c>
      <c r="BL207" s="104" t="e">
        <f ca="1">_05preva_view43[Folder Path2]&amp;"\Colo App "&amp;_05preva_view43[[#This Row],[Operator]]&amp;"\"</f>
        <v>#VALUE!</v>
      </c>
      <c r="BM207" s="63" t="e">
        <f ca="1">_05preva_view43[[#This Row],[Folder Path3]]&amp;_05preva_view43[[#This Row],[File Name]]</f>
        <v>#VALUE!</v>
      </c>
      <c r="BN207" s="104"/>
      <c r="CF207" s="5"/>
      <c r="CG207" s="5"/>
      <c r="CH207" s="3"/>
      <c r="CJ207" s="5"/>
      <c r="CN207" s="3"/>
      <c r="CO207" s="3"/>
      <c r="CP207" s="5"/>
      <c r="CR207" s="3"/>
      <c r="DN207" s="5"/>
      <c r="DP207" s="3"/>
      <c r="EB207" s="7"/>
      <c r="EC207" s="7"/>
      <c r="EF207" s="4"/>
      <c r="EG207" s="4"/>
      <c r="EQ207" s="2"/>
      <c r="ER207" s="2"/>
    </row>
    <row r="208" spans="1:148">
      <c r="A208" s="227">
        <v>3422</v>
      </c>
      <c r="B208" s="228" t="s">
        <v>340</v>
      </c>
      <c r="C208" s="228" t="s">
        <v>116</v>
      </c>
      <c r="D208" s="228" t="s">
        <v>153</v>
      </c>
      <c r="E208" s="228" t="s">
        <v>341</v>
      </c>
      <c r="F208" s="228" t="s">
        <v>40</v>
      </c>
      <c r="G208" s="228" t="s">
        <v>118</v>
      </c>
      <c r="H208" s="228"/>
      <c r="I208" s="228" t="s">
        <v>880</v>
      </c>
      <c r="J208" s="228" t="s">
        <v>668</v>
      </c>
      <c r="K208" s="229">
        <v>43419</v>
      </c>
      <c r="L208" s="230">
        <v>3</v>
      </c>
      <c r="M208" s="230">
        <v>3.6</v>
      </c>
      <c r="N208" s="228">
        <v>4.5</v>
      </c>
      <c r="O208" s="228" t="s">
        <v>119</v>
      </c>
      <c r="P208" s="231" t="s">
        <v>234</v>
      </c>
      <c r="Q208" s="231" t="s">
        <v>220</v>
      </c>
      <c r="R208" s="228" t="s">
        <v>24</v>
      </c>
      <c r="S208" s="228"/>
      <c r="T208" s="232" t="s">
        <v>120</v>
      </c>
      <c r="U208" s="228" t="s">
        <v>7651</v>
      </c>
      <c r="V208" s="232" t="s">
        <v>120</v>
      </c>
      <c r="W208" s="228"/>
      <c r="X208" s="232" t="s">
        <v>615</v>
      </c>
      <c r="Y208" s="228" t="s">
        <v>7652</v>
      </c>
      <c r="Z208" s="233" t="s">
        <v>615</v>
      </c>
      <c r="AA208" s="234"/>
      <c r="AB208" s="234"/>
      <c r="AC208" s="235"/>
      <c r="AD208" s="228"/>
      <c r="AE208" s="232" t="s">
        <v>120</v>
      </c>
      <c r="AF208" s="229" t="s">
        <v>639</v>
      </c>
      <c r="AG208" s="236"/>
      <c r="AH208" s="236"/>
      <c r="AI208" s="228" t="s">
        <v>7653</v>
      </c>
      <c r="AJ208" s="232" t="s">
        <v>120</v>
      </c>
      <c r="AK208" s="228" t="s">
        <v>123</v>
      </c>
      <c r="AL208" s="228" t="s">
        <v>965</v>
      </c>
      <c r="AM208" s="232"/>
      <c r="AN208" s="228"/>
      <c r="AO208" s="228"/>
      <c r="AP208" s="237"/>
      <c r="AQ208" s="228"/>
      <c r="AR208" s="232"/>
      <c r="AS208" s="228"/>
      <c r="AT208" s="229"/>
      <c r="AU208" s="229">
        <v>43420.401277314799</v>
      </c>
      <c r="AV208" s="229"/>
      <c r="AW208" s="229">
        <v>43419.734000231503</v>
      </c>
      <c r="AX208" s="229">
        <v>43424.368692592601</v>
      </c>
      <c r="AY208" s="229">
        <v>43419.6578226852</v>
      </c>
      <c r="AZ208" s="238">
        <v>43494.385660185202</v>
      </c>
      <c r="BA208" s="1" t="s">
        <v>7684</v>
      </c>
      <c r="BB208">
        <v>195</v>
      </c>
      <c r="BC208">
        <v>35</v>
      </c>
      <c r="BD208">
        <v>18</v>
      </c>
      <c r="BE20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75.385660185202141</v>
      </c>
      <c r="BF208" s="240">
        <f>COUNTIFS(_05preva_view43[Site ID],_05preva_view43[[#This Row],[Site ID]],_05preva_view43[Prevalidation Status],"Under Prevalidation")</f>
        <v>0</v>
      </c>
      <c r="BG20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8" s="242" t="str">
        <f>CONCATENATE(_05preva_view43[[#This Row],[Site ID]]," (",_05preva_view43[[#This Row],[tenant id]],") Application",IF(_05preva_view43[[#This Row],[Colo Rev]]&gt;0," Rev "&amp;_05preva_view43[[#This Row],[Colo Rev]],""),".xlsx")</f>
        <v>AYYN_0534 (YAW7825) Application Rev 1.xlsx</v>
      </c>
      <c r="BI208" s="64" t="e">
        <f t="shared" ref="BI208:BI271" ca="1" si="4">FIND("Process &amp; Database\",CELL("filename",$A$1))</f>
        <v>#VALUE!</v>
      </c>
      <c r="BJ208" s="104" t="e">
        <f ca="1">LEFT(CELL("filename",A193),_05preva_view43[[#This Row],[Find Process &amp; Database]]-1)</f>
        <v>#VALUE!</v>
      </c>
      <c r="BK208" s="104" t="e">
        <f ca="1">_05preva_view43[Folder Path1]&amp;"Process &amp; Database\Documentation\Colo Applications"</f>
        <v>#VALUE!</v>
      </c>
      <c r="BL208" s="104" t="e">
        <f ca="1">_05preva_view43[Folder Path2]&amp;"\Colo App "&amp;_05preva_view43[[#This Row],[Operator]]&amp;"\"</f>
        <v>#VALUE!</v>
      </c>
      <c r="BM208" s="63" t="e">
        <f ca="1">_05preva_view43[[#This Row],[Folder Path3]]&amp;_05preva_view43[[#This Row],[File Name]]</f>
        <v>#VALUE!</v>
      </c>
      <c r="BN208" s="104"/>
      <c r="CF208" s="5"/>
      <c r="CG208" s="5"/>
      <c r="CH208" s="3"/>
      <c r="CJ208" s="5"/>
      <c r="CN208" s="3"/>
      <c r="CO208" s="3"/>
      <c r="CP208" s="5"/>
      <c r="CR208" s="3"/>
      <c r="DN208" s="5"/>
      <c r="DP208" s="3"/>
      <c r="EB208" s="7"/>
      <c r="EC208" s="7"/>
      <c r="EF208" s="4"/>
      <c r="EG208" s="4"/>
      <c r="EQ208" s="2"/>
      <c r="ER208" s="2"/>
    </row>
    <row r="209" spans="1:148">
      <c r="A209" s="227">
        <v>3424</v>
      </c>
      <c r="B209" s="228" t="s">
        <v>332</v>
      </c>
      <c r="C209" s="228" t="s">
        <v>116</v>
      </c>
      <c r="D209" s="228" t="s">
        <v>153</v>
      </c>
      <c r="E209" s="228" t="s">
        <v>333</v>
      </c>
      <c r="F209" s="228" t="s">
        <v>40</v>
      </c>
      <c r="G209" s="228" t="s">
        <v>118</v>
      </c>
      <c r="H209" s="228"/>
      <c r="I209" s="228" t="s">
        <v>880</v>
      </c>
      <c r="J209" s="228" t="s">
        <v>668</v>
      </c>
      <c r="K209" s="229">
        <v>43419</v>
      </c>
      <c r="L209" s="230">
        <v>3</v>
      </c>
      <c r="M209" s="230">
        <v>3.6</v>
      </c>
      <c r="N209" s="228">
        <v>4.5</v>
      </c>
      <c r="O209" s="228" t="s">
        <v>119</v>
      </c>
      <c r="P209" s="231" t="s">
        <v>966</v>
      </c>
      <c r="Q209" s="231" t="s">
        <v>612</v>
      </c>
      <c r="R209" s="228" t="s">
        <v>24</v>
      </c>
      <c r="S209" s="228"/>
      <c r="T209" s="232" t="s">
        <v>120</v>
      </c>
      <c r="U209" s="228" t="s">
        <v>967</v>
      </c>
      <c r="V209" s="232" t="s">
        <v>120</v>
      </c>
      <c r="W209" s="228"/>
      <c r="X209" s="232" t="s">
        <v>120</v>
      </c>
      <c r="Y209" s="228" t="s">
        <v>968</v>
      </c>
      <c r="Z209" s="233" t="s">
        <v>120</v>
      </c>
      <c r="AA209" s="234"/>
      <c r="AB209" s="234"/>
      <c r="AC209" s="235" t="s">
        <v>123</v>
      </c>
      <c r="AD209" s="228" t="s">
        <v>1283</v>
      </c>
      <c r="AE209" s="232" t="s">
        <v>120</v>
      </c>
      <c r="AF209" s="229" t="s">
        <v>639</v>
      </c>
      <c r="AG209" s="236"/>
      <c r="AH209" s="236"/>
      <c r="AI209" s="228" t="s">
        <v>969</v>
      </c>
      <c r="AJ209" s="232" t="s">
        <v>120</v>
      </c>
      <c r="AK209" s="228" t="s">
        <v>123</v>
      </c>
      <c r="AL209" s="228" t="s">
        <v>965</v>
      </c>
      <c r="AM209" s="232"/>
      <c r="AN209" s="228"/>
      <c r="AO209" s="228"/>
      <c r="AP209" s="237"/>
      <c r="AQ209" s="228"/>
      <c r="AR209" s="232"/>
      <c r="AS209" s="228"/>
      <c r="AT209" s="229">
        <v>43420.419846643497</v>
      </c>
      <c r="AU209" s="229">
        <v>43420.401281712999</v>
      </c>
      <c r="AV209" s="229">
        <v>43447.556885532402</v>
      </c>
      <c r="AW209" s="229">
        <v>43419.734002199097</v>
      </c>
      <c r="AX209" s="229">
        <v>43424.368693518503</v>
      </c>
      <c r="AY209" s="229">
        <v>43419.657826620401</v>
      </c>
      <c r="AZ209" s="238">
        <v>43447.556885532402</v>
      </c>
      <c r="BA209" s="1" t="s">
        <v>7694</v>
      </c>
      <c r="BB209"/>
      <c r="BC209">
        <v>12</v>
      </c>
      <c r="BD209">
        <v>1720</v>
      </c>
      <c r="BE20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28.556885532401793</v>
      </c>
      <c r="BF209" s="240">
        <f>COUNTIFS(_05preva_view43[Site ID],_05preva_view43[[#This Row],[Site ID]],_05preva_view43[Prevalidation Status],"Under Prevalidation")</f>
        <v>0</v>
      </c>
      <c r="BG20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09" s="242" t="str">
        <f>CONCATENATE(_05preva_view43[[#This Row],[Site ID]]," (",_05preva_view43[[#This Row],[tenant id]],") Application",IF(_05preva_view43[[#This Row],[Colo Rev]]&gt;0," Rev "&amp;_05preva_view43[[#This Row],[Colo Rev]],""),".xlsx")</f>
        <v>AYYN_0306 (YAW7763) Application Rev 1.xlsx</v>
      </c>
      <c r="BI209" s="64" t="e">
        <f t="shared" ca="1" si="4"/>
        <v>#VALUE!</v>
      </c>
      <c r="BJ209" s="104" t="e">
        <f ca="1">LEFT(CELL("filename",A194),_05preva_view43[[#This Row],[Find Process &amp; Database]]-1)</f>
        <v>#VALUE!</v>
      </c>
      <c r="BK209" s="104" t="e">
        <f ca="1">_05preva_view43[Folder Path1]&amp;"Process &amp; Database\Documentation\Colo Applications"</f>
        <v>#VALUE!</v>
      </c>
      <c r="BL209" s="104" t="e">
        <f ca="1">_05preva_view43[Folder Path2]&amp;"\Colo App "&amp;_05preva_view43[[#This Row],[Operator]]&amp;"\"</f>
        <v>#VALUE!</v>
      </c>
      <c r="BM209" s="63" t="e">
        <f ca="1">_05preva_view43[[#This Row],[Folder Path3]]&amp;_05preva_view43[[#This Row],[File Name]]</f>
        <v>#VALUE!</v>
      </c>
      <c r="BN209" s="104"/>
      <c r="CF209" s="5"/>
      <c r="CG209" s="5"/>
      <c r="CH209" s="3"/>
      <c r="CJ209" s="5"/>
      <c r="CN209" s="3"/>
      <c r="CO209" s="3"/>
      <c r="CP209" s="5"/>
      <c r="CR209" s="3"/>
      <c r="DN209" s="5"/>
      <c r="DP209" s="3"/>
      <c r="EB209" s="7"/>
      <c r="EC209" s="7"/>
      <c r="EF209" s="4"/>
      <c r="EG209" s="4"/>
      <c r="EQ209" s="2"/>
      <c r="ER209" s="2"/>
    </row>
    <row r="210" spans="1:148">
      <c r="A210" s="227">
        <v>3426</v>
      </c>
      <c r="B210" s="228" t="s">
        <v>783</v>
      </c>
      <c r="C210" s="228" t="s">
        <v>278</v>
      </c>
      <c r="D210" s="228" t="s">
        <v>127</v>
      </c>
      <c r="E210" s="228" t="s">
        <v>784</v>
      </c>
      <c r="F210" s="228" t="s">
        <v>35</v>
      </c>
      <c r="G210" s="228" t="s">
        <v>1292</v>
      </c>
      <c r="H210" s="228" t="s">
        <v>1285</v>
      </c>
      <c r="I210" s="228" t="s">
        <v>785</v>
      </c>
      <c r="J210" s="228" t="s">
        <v>727</v>
      </c>
      <c r="K210" s="229">
        <v>43419</v>
      </c>
      <c r="L210" s="230">
        <v>2.1259999999999999</v>
      </c>
      <c r="M210" s="230">
        <v>4.0149999999999997</v>
      </c>
      <c r="N210" s="228">
        <v>3.3250000000000002</v>
      </c>
      <c r="O210" s="228" t="s">
        <v>687</v>
      </c>
      <c r="P210" s="231" t="s">
        <v>508</v>
      </c>
      <c r="Q210" s="231" t="s">
        <v>509</v>
      </c>
      <c r="R210" s="228" t="s">
        <v>24</v>
      </c>
      <c r="S210" s="228"/>
      <c r="T210" s="232" t="s">
        <v>120</v>
      </c>
      <c r="U210" s="228"/>
      <c r="V210" s="232" t="s">
        <v>615</v>
      </c>
      <c r="W210" s="228"/>
      <c r="X210" s="232" t="s">
        <v>120</v>
      </c>
      <c r="Y210" s="228" t="s">
        <v>971</v>
      </c>
      <c r="Z210" s="233" t="s">
        <v>120</v>
      </c>
      <c r="AA210" s="234"/>
      <c r="AB210" s="234"/>
      <c r="AC210" s="235" t="s">
        <v>123</v>
      </c>
      <c r="AD210" s="228" t="s">
        <v>972</v>
      </c>
      <c r="AE210" s="232" t="s">
        <v>120</v>
      </c>
      <c r="AF210" s="229" t="s">
        <v>1464</v>
      </c>
      <c r="AG210" s="236"/>
      <c r="AH210" s="236">
        <v>2.2999999999999998</v>
      </c>
      <c r="AI210" s="228" t="s">
        <v>1003</v>
      </c>
      <c r="AJ210" s="232" t="s">
        <v>120</v>
      </c>
      <c r="AK210" s="228" t="s">
        <v>123</v>
      </c>
      <c r="AL210" s="228" t="s">
        <v>935</v>
      </c>
      <c r="AM210" s="232"/>
      <c r="AN210" s="228"/>
      <c r="AO210" s="228"/>
      <c r="AP210" s="237"/>
      <c r="AQ210" s="228"/>
      <c r="AR210" s="232"/>
      <c r="AS210" s="228"/>
      <c r="AT210" s="229">
        <v>43420.419850462997</v>
      </c>
      <c r="AU210" s="229">
        <v>43451.370452661999</v>
      </c>
      <c r="AV210" s="229">
        <v>43423.465950347199</v>
      </c>
      <c r="AW210" s="229">
        <v>43420.419850462997</v>
      </c>
      <c r="AX210" s="229">
        <v>43424.368695601901</v>
      </c>
      <c r="AY210" s="229"/>
      <c r="AZ210" s="238">
        <v>43451.3896572917</v>
      </c>
      <c r="BA210" s="1" t="s">
        <v>7684</v>
      </c>
      <c r="BB210">
        <v>130</v>
      </c>
      <c r="BC210">
        <v>45</v>
      </c>
      <c r="BD210">
        <v>3030</v>
      </c>
      <c r="BE21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32.389657291700132</v>
      </c>
      <c r="BF210" s="240">
        <f>COUNTIFS(_05preva_view43[Site ID],_05preva_view43[[#This Row],[Site ID]],_05preva_view43[Prevalidation Status],"Under Prevalidation")</f>
        <v>0</v>
      </c>
      <c r="BG21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0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3.xlsx</v>
      </c>
      <c r="BI210" s="64" t="e">
        <f t="shared" ca="1" si="4"/>
        <v>#VALUE!</v>
      </c>
      <c r="BJ210" s="104" t="e">
        <f ca="1">LEFT(CELL("filename",A195),_05preva_view43[[#This Row],[Find Process &amp; Database]]-1)</f>
        <v>#VALUE!</v>
      </c>
      <c r="BK210" s="104" t="e">
        <f ca="1">_05preva_view43[Folder Path1]&amp;"Process &amp; Database\Documentation\Colo Applications"</f>
        <v>#VALUE!</v>
      </c>
      <c r="BL210" s="104" t="e">
        <f ca="1">_05preva_view43[Folder Path2]&amp;"\Colo App "&amp;_05preva_view43[[#This Row],[Operator]]&amp;"\"</f>
        <v>#VALUE!</v>
      </c>
      <c r="BM210" s="63" t="e">
        <f ca="1">_05preva_view43[[#This Row],[Folder Path3]]&amp;_05preva_view43[[#This Row],[File Name]]</f>
        <v>#VALUE!</v>
      </c>
      <c r="BN210" s="104"/>
      <c r="CF210" s="5"/>
      <c r="CG210" s="5"/>
      <c r="CH210" s="3"/>
      <c r="CJ210" s="5"/>
      <c r="CN210" s="3"/>
      <c r="CO210" s="3"/>
      <c r="CP210" s="5"/>
      <c r="CR210" s="3"/>
      <c r="DN210" s="5"/>
      <c r="DP210" s="3"/>
      <c r="EB210" s="7"/>
      <c r="EC210" s="7"/>
      <c r="EF210" s="4"/>
      <c r="EG210" s="4"/>
      <c r="EQ210" s="2"/>
      <c r="ER210" s="2"/>
    </row>
    <row r="211" spans="1:148">
      <c r="A211" s="227">
        <v>3427</v>
      </c>
      <c r="B211" s="228" t="s">
        <v>926</v>
      </c>
      <c r="C211" s="228" t="s">
        <v>278</v>
      </c>
      <c r="D211" s="228" t="s">
        <v>127</v>
      </c>
      <c r="E211" s="228" t="s">
        <v>927</v>
      </c>
      <c r="F211" s="228" t="s">
        <v>35</v>
      </c>
      <c r="G211" s="228" t="s">
        <v>1292</v>
      </c>
      <c r="H211" s="228" t="s">
        <v>1285</v>
      </c>
      <c r="I211" s="228" t="s">
        <v>790</v>
      </c>
      <c r="J211" s="228" t="s">
        <v>727</v>
      </c>
      <c r="K211" s="229">
        <v>43419</v>
      </c>
      <c r="L211" s="230">
        <v>1.9890000000000001</v>
      </c>
      <c r="M211" s="230">
        <v>3.6110000000000002</v>
      </c>
      <c r="N211" s="228">
        <v>4.37</v>
      </c>
      <c r="O211" s="228" t="s">
        <v>687</v>
      </c>
      <c r="P211" s="231" t="s">
        <v>508</v>
      </c>
      <c r="Q211" s="231" t="s">
        <v>509</v>
      </c>
      <c r="R211" s="228" t="s">
        <v>24</v>
      </c>
      <c r="S211" s="228"/>
      <c r="T211" s="232" t="s">
        <v>120</v>
      </c>
      <c r="U211" s="228"/>
      <c r="V211" s="232" t="s">
        <v>615</v>
      </c>
      <c r="W211" s="228"/>
      <c r="X211" s="232" t="s">
        <v>120</v>
      </c>
      <c r="Y211" s="228" t="s">
        <v>973</v>
      </c>
      <c r="Z211" s="233" t="s">
        <v>120</v>
      </c>
      <c r="AA211" s="234"/>
      <c r="AB211" s="234"/>
      <c r="AC211" s="235" t="s">
        <v>123</v>
      </c>
      <c r="AD211" s="228" t="s">
        <v>974</v>
      </c>
      <c r="AE211" s="232" t="s">
        <v>120</v>
      </c>
      <c r="AF211" s="229" t="s">
        <v>904</v>
      </c>
      <c r="AG211" s="236"/>
      <c r="AH211" s="236">
        <v>1.5</v>
      </c>
      <c r="AI211" s="228" t="s">
        <v>905</v>
      </c>
      <c r="AJ211" s="232" t="s">
        <v>120</v>
      </c>
      <c r="AK211" s="228" t="s">
        <v>123</v>
      </c>
      <c r="AL211" s="228" t="s">
        <v>935</v>
      </c>
      <c r="AM211" s="232"/>
      <c r="AN211" s="228"/>
      <c r="AO211" s="228"/>
      <c r="AP211" s="237"/>
      <c r="AQ211" s="228"/>
      <c r="AR211" s="232"/>
      <c r="AS211" s="228"/>
      <c r="AT211" s="229">
        <v>43420.419852314801</v>
      </c>
      <c r="AU211" s="229">
        <v>43420.5554857639</v>
      </c>
      <c r="AV211" s="229">
        <v>43423.465951620397</v>
      </c>
      <c r="AW211" s="229">
        <v>43420.419852314801</v>
      </c>
      <c r="AX211" s="229">
        <v>43424.368696411999</v>
      </c>
      <c r="AY211" s="229"/>
      <c r="AZ211" s="238">
        <v>43424.368696411999</v>
      </c>
      <c r="BA211" s="1" t="s">
        <v>7684</v>
      </c>
      <c r="BB211">
        <v>130</v>
      </c>
      <c r="BC211">
        <v>45</v>
      </c>
      <c r="BD211">
        <v>3131</v>
      </c>
      <c r="BE21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5.3686964119988261</v>
      </c>
      <c r="BF211" s="240">
        <f>COUNTIFS(_05preva_view43[Site ID],_05preva_view43[[#This Row],[Site ID]],_05preva_view43[Prevalidation Status],"Under Prevalidation")</f>
        <v>0</v>
      </c>
      <c r="BG21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1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3.xlsx</v>
      </c>
      <c r="BI211" s="64" t="e">
        <f t="shared" ca="1" si="4"/>
        <v>#VALUE!</v>
      </c>
      <c r="BJ211" s="104" t="e">
        <f ca="1">LEFT(CELL("filename",A196),_05preva_view43[[#This Row],[Find Process &amp; Database]]-1)</f>
        <v>#VALUE!</v>
      </c>
      <c r="BK211" s="104" t="e">
        <f ca="1">_05preva_view43[Folder Path1]&amp;"Process &amp; Database\Documentation\Colo Applications"</f>
        <v>#VALUE!</v>
      </c>
      <c r="BL211" s="104" t="e">
        <f ca="1">_05preva_view43[Folder Path2]&amp;"\Colo App "&amp;_05preva_view43[[#This Row],[Operator]]&amp;"\"</f>
        <v>#VALUE!</v>
      </c>
      <c r="BM211" s="63" t="e">
        <f ca="1">_05preva_view43[[#This Row],[Folder Path3]]&amp;_05preva_view43[[#This Row],[File Name]]</f>
        <v>#VALUE!</v>
      </c>
      <c r="BN211" s="104"/>
      <c r="CF211" s="5"/>
      <c r="CG211" s="5"/>
      <c r="CH211" s="3"/>
      <c r="CJ211" s="5"/>
      <c r="CN211" s="3"/>
      <c r="CO211" s="3"/>
      <c r="CP211" s="5"/>
      <c r="CR211" s="3"/>
      <c r="DN211" s="5"/>
      <c r="DP211" s="3"/>
      <c r="EB211" s="7"/>
      <c r="EC211" s="7"/>
      <c r="EF211" s="4"/>
      <c r="EG211" s="4"/>
      <c r="EQ211" s="2"/>
      <c r="ER211" s="2"/>
    </row>
    <row r="212" spans="1:148">
      <c r="A212" s="227">
        <v>3415</v>
      </c>
      <c r="B212" s="228" t="s">
        <v>176</v>
      </c>
      <c r="C212" s="228" t="s">
        <v>116</v>
      </c>
      <c r="D212" s="228" t="s">
        <v>153</v>
      </c>
      <c r="E212" s="228" t="s">
        <v>943</v>
      </c>
      <c r="F212" s="228" t="s">
        <v>41</v>
      </c>
      <c r="G212" s="228" t="s">
        <v>1286</v>
      </c>
      <c r="H212" s="228" t="s">
        <v>1285</v>
      </c>
      <c r="I212" s="228" t="s">
        <v>944</v>
      </c>
      <c r="J212" s="228" t="s">
        <v>668</v>
      </c>
      <c r="K212" s="229">
        <v>43418</v>
      </c>
      <c r="L212" s="230"/>
      <c r="M212" s="230"/>
      <c r="N212" s="228">
        <v>6</v>
      </c>
      <c r="O212" s="228" t="s">
        <v>119</v>
      </c>
      <c r="P212" s="231" t="s">
        <v>221</v>
      </c>
      <c r="Q212" s="231" t="s">
        <v>228</v>
      </c>
      <c r="R212" s="228" t="s">
        <v>24</v>
      </c>
      <c r="S212" s="228"/>
      <c r="T212" s="232" t="s">
        <v>615</v>
      </c>
      <c r="U212" s="228"/>
      <c r="V212" s="232" t="s">
        <v>615</v>
      </c>
      <c r="W212" s="228"/>
      <c r="X212" s="232" t="s">
        <v>120</v>
      </c>
      <c r="Y212" s="228" t="s">
        <v>945</v>
      </c>
      <c r="Z212" s="233" t="s">
        <v>120</v>
      </c>
      <c r="AA212" s="234"/>
      <c r="AB212" s="234"/>
      <c r="AC212" s="235" t="s">
        <v>123</v>
      </c>
      <c r="AD212" s="228" t="s">
        <v>946</v>
      </c>
      <c r="AE212" s="232" t="s">
        <v>615</v>
      </c>
      <c r="AF212" s="229"/>
      <c r="AG212" s="236"/>
      <c r="AH212" s="236"/>
      <c r="AI212" s="228"/>
      <c r="AJ212" s="232" t="s">
        <v>615</v>
      </c>
      <c r="AK212" s="228"/>
      <c r="AL212" s="228"/>
      <c r="AM212" s="232" t="s">
        <v>615</v>
      </c>
      <c r="AN212" s="228"/>
      <c r="AO212" s="228" t="s">
        <v>615</v>
      </c>
      <c r="AP212" s="237"/>
      <c r="AQ212" s="228"/>
      <c r="AR212" s="232"/>
      <c r="AS212" s="228"/>
      <c r="AT212" s="229">
        <v>43419.733995254603</v>
      </c>
      <c r="AU212" s="229"/>
      <c r="AV212" s="229">
        <v>43427.716642592597</v>
      </c>
      <c r="AW212" s="229"/>
      <c r="AX212" s="229"/>
      <c r="AY212" s="229"/>
      <c r="AZ212" s="238">
        <v>43427.716642592597</v>
      </c>
      <c r="BA212" s="1" t="s">
        <v>7684</v>
      </c>
      <c r="BB212"/>
      <c r="BC212">
        <v>35</v>
      </c>
      <c r="BD212">
        <v>1737</v>
      </c>
      <c r="BE21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9.7166425925970543</v>
      </c>
      <c r="BF212" s="240">
        <f>COUNTIFS(_05preva_view43[Site ID],_05preva_view43[[#This Row],[Site ID]],_05preva_view43[Prevalidation Status],"Under Prevalidation")</f>
        <v>0</v>
      </c>
      <c r="BG21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2" s="242" t="str">
        <f>CONCATENATE(_05preva_view43[[#This Row],[Site ID]]," (",_05preva_view43[[#This Row],[tenant id]],") Application",IF(_05preva_view43[[#This Row],[Colo Rev]]&gt;0," Rev "&amp;_05preva_view43[[#This Row],[Colo Rev]],""),".xlsx")</f>
        <v>AYYN_0583 (YGNSPTR021) Application Rev 1.xlsx</v>
      </c>
      <c r="BI212" s="64" t="e">
        <f t="shared" ca="1" si="4"/>
        <v>#VALUE!</v>
      </c>
      <c r="BJ212" s="104" t="e">
        <f ca="1">LEFT(CELL("filename",A197),_05preva_view43[[#This Row],[Find Process &amp; Database]]-1)</f>
        <v>#VALUE!</v>
      </c>
      <c r="BK212" s="104" t="e">
        <f ca="1">_05preva_view43[Folder Path1]&amp;"Process &amp; Database\Documentation\Colo Applications"</f>
        <v>#VALUE!</v>
      </c>
      <c r="BL212" s="104" t="e">
        <f ca="1">_05preva_view43[Folder Path2]&amp;"\Colo App "&amp;_05preva_view43[[#This Row],[Operator]]&amp;"\"</f>
        <v>#VALUE!</v>
      </c>
      <c r="BM212" s="63" t="e">
        <f ca="1">_05preva_view43[[#This Row],[Folder Path3]]&amp;_05preva_view43[[#This Row],[File Name]]</f>
        <v>#VALUE!</v>
      </c>
      <c r="BN212" s="104"/>
      <c r="CF212" s="5"/>
      <c r="CG212" s="5"/>
      <c r="CH212" s="3"/>
      <c r="CJ212" s="5"/>
      <c r="CN212" s="3"/>
      <c r="CO212" s="3"/>
      <c r="CP212" s="5"/>
      <c r="CR212" s="3"/>
      <c r="DN212" s="5"/>
      <c r="DP212" s="3"/>
      <c r="EB212" s="7"/>
      <c r="EC212" s="7"/>
      <c r="EF212" s="4"/>
      <c r="EG212" s="4"/>
      <c r="EQ212" s="2"/>
      <c r="ER212" s="2"/>
    </row>
    <row r="213" spans="1:148">
      <c r="A213" s="227">
        <v>3413</v>
      </c>
      <c r="B213" s="228" t="s">
        <v>931</v>
      </c>
      <c r="C213" s="228" t="s">
        <v>278</v>
      </c>
      <c r="D213" s="228" t="s">
        <v>127</v>
      </c>
      <c r="E213" s="228" t="s">
        <v>932</v>
      </c>
      <c r="F213" s="228" t="s">
        <v>35</v>
      </c>
      <c r="G213" s="228" t="s">
        <v>1292</v>
      </c>
      <c r="H213" s="228" t="s">
        <v>1285</v>
      </c>
      <c r="I213" s="228" t="s">
        <v>933</v>
      </c>
      <c r="J213" s="228" t="s">
        <v>686</v>
      </c>
      <c r="K213" s="229">
        <v>43417</v>
      </c>
      <c r="L213" s="230"/>
      <c r="M213" s="230"/>
      <c r="N213" s="228">
        <v>3.07</v>
      </c>
      <c r="O213" s="228" t="s">
        <v>687</v>
      </c>
      <c r="P213" s="231" t="s">
        <v>240</v>
      </c>
      <c r="Q213" s="231" t="s">
        <v>241</v>
      </c>
      <c r="R213" s="228" t="s">
        <v>24</v>
      </c>
      <c r="S213" s="228"/>
      <c r="T213" s="232" t="s">
        <v>615</v>
      </c>
      <c r="U213" s="228"/>
      <c r="V213" s="232" t="s">
        <v>615</v>
      </c>
      <c r="W213" s="228"/>
      <c r="X213" s="232" t="s">
        <v>120</v>
      </c>
      <c r="Y213" s="228" t="s">
        <v>934</v>
      </c>
      <c r="Z213" s="233" t="s">
        <v>615</v>
      </c>
      <c r="AA213" s="234"/>
      <c r="AB213" s="234"/>
      <c r="AC213" s="235"/>
      <c r="AD213" s="228"/>
      <c r="AE213" s="232" t="s">
        <v>125</v>
      </c>
      <c r="AF213" s="229" t="s">
        <v>936</v>
      </c>
      <c r="AG213" s="236"/>
      <c r="AH213" s="236">
        <v>1.6</v>
      </c>
      <c r="AI213" s="228" t="s">
        <v>937</v>
      </c>
      <c r="AJ213" s="232" t="s">
        <v>120</v>
      </c>
      <c r="AK213" s="228" t="s">
        <v>123</v>
      </c>
      <c r="AL213" s="228" t="s">
        <v>935</v>
      </c>
      <c r="AM213" s="232"/>
      <c r="AN213" s="228"/>
      <c r="AO213" s="228"/>
      <c r="AP213" s="237"/>
      <c r="AQ213" s="228"/>
      <c r="AR213" s="232"/>
      <c r="AS213" s="228"/>
      <c r="AT213" s="229">
        <v>43418.370526620398</v>
      </c>
      <c r="AU213" s="229"/>
      <c r="AV213" s="229"/>
      <c r="AW213" s="229">
        <v>43418.370526620398</v>
      </c>
      <c r="AX213" s="229"/>
      <c r="AY213" s="229"/>
      <c r="AZ213" s="238">
        <v>43418.370526620398</v>
      </c>
      <c r="BA213" s="1" t="s">
        <v>7684</v>
      </c>
      <c r="BB213">
        <v>130</v>
      </c>
      <c r="BC213">
        <v>60</v>
      </c>
      <c r="BD213">
        <v>3102</v>
      </c>
      <c r="BE21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1.3705266203978681</v>
      </c>
      <c r="BF213" s="240">
        <f>COUNTIFS(_05preva_view43[Site ID],_05preva_view43[[#This Row],[Site ID]],_05preva_view43[Prevalidation Status],"Under Prevalidation")</f>
        <v>0</v>
      </c>
      <c r="BG21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3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2.xlsx</v>
      </c>
      <c r="BI213" s="64" t="e">
        <f t="shared" ca="1" si="4"/>
        <v>#VALUE!</v>
      </c>
      <c r="BJ213" s="104" t="e">
        <f ca="1">LEFT(CELL("filename",A198),_05preva_view43[[#This Row],[Find Process &amp; Database]]-1)</f>
        <v>#VALUE!</v>
      </c>
      <c r="BK213" s="104" t="e">
        <f ca="1">_05preva_view43[Folder Path1]&amp;"Process &amp; Database\Documentation\Colo Applications"</f>
        <v>#VALUE!</v>
      </c>
      <c r="BL213" s="104" t="e">
        <f ca="1">_05preva_view43[Folder Path2]&amp;"\Colo App "&amp;_05preva_view43[[#This Row],[Operator]]&amp;"\"</f>
        <v>#VALUE!</v>
      </c>
      <c r="BM213" s="63" t="e">
        <f ca="1">_05preva_view43[[#This Row],[Folder Path3]]&amp;_05preva_view43[[#This Row],[File Name]]</f>
        <v>#VALUE!</v>
      </c>
      <c r="BN213" s="104"/>
      <c r="CF213" s="5"/>
      <c r="CG213" s="5"/>
      <c r="CH213" s="3"/>
      <c r="CJ213" s="5"/>
      <c r="CN213" s="3"/>
      <c r="CO213" s="3"/>
      <c r="CP213" s="5"/>
      <c r="CR213" s="3"/>
      <c r="DN213" s="5"/>
      <c r="DP213" s="3"/>
      <c r="EB213" s="7"/>
      <c r="EC213" s="7"/>
      <c r="EF213" s="4"/>
      <c r="EG213" s="4"/>
      <c r="EQ213" s="2"/>
      <c r="ER213" s="2"/>
    </row>
    <row r="214" spans="1:148">
      <c r="A214" s="227">
        <v>3414</v>
      </c>
      <c r="B214" s="228" t="s">
        <v>938</v>
      </c>
      <c r="C214" s="228" t="s">
        <v>278</v>
      </c>
      <c r="D214" s="228" t="s">
        <v>127</v>
      </c>
      <c r="E214" s="228" t="s">
        <v>939</v>
      </c>
      <c r="F214" s="228" t="s">
        <v>35</v>
      </c>
      <c r="G214" s="228" t="s">
        <v>1292</v>
      </c>
      <c r="H214" s="228" t="s">
        <v>1285</v>
      </c>
      <c r="I214" s="228" t="s">
        <v>933</v>
      </c>
      <c r="J214" s="228" t="s">
        <v>668</v>
      </c>
      <c r="K214" s="229">
        <v>43417</v>
      </c>
      <c r="L214" s="230"/>
      <c r="M214" s="230"/>
      <c r="N214" s="228">
        <v>2.82</v>
      </c>
      <c r="O214" s="228" t="s">
        <v>687</v>
      </c>
      <c r="P214" s="231" t="s">
        <v>695</v>
      </c>
      <c r="Q214" s="231" t="s">
        <v>696</v>
      </c>
      <c r="R214" s="228" t="s">
        <v>24</v>
      </c>
      <c r="S214" s="228"/>
      <c r="T214" s="232" t="s">
        <v>615</v>
      </c>
      <c r="U214" s="228" t="s">
        <v>940</v>
      </c>
      <c r="V214" s="232" t="s">
        <v>120</v>
      </c>
      <c r="W214" s="228"/>
      <c r="X214" s="232" t="s">
        <v>120</v>
      </c>
      <c r="Y214" s="228" t="s">
        <v>941</v>
      </c>
      <c r="Z214" s="233" t="s">
        <v>120</v>
      </c>
      <c r="AA214" s="234"/>
      <c r="AB214" s="234"/>
      <c r="AC214" s="235" t="s">
        <v>123</v>
      </c>
      <c r="AD214" s="228" t="s">
        <v>942</v>
      </c>
      <c r="AE214" s="232" t="s">
        <v>120</v>
      </c>
      <c r="AF214" s="229" t="s">
        <v>904</v>
      </c>
      <c r="AG214" s="236"/>
      <c r="AH214" s="236">
        <v>1.6</v>
      </c>
      <c r="AI214" s="228" t="s">
        <v>905</v>
      </c>
      <c r="AJ214" s="232" t="s">
        <v>120</v>
      </c>
      <c r="AK214" s="228" t="s">
        <v>123</v>
      </c>
      <c r="AL214" s="228" t="s">
        <v>935</v>
      </c>
      <c r="AM214" s="232"/>
      <c r="AN214" s="228"/>
      <c r="AO214" s="228"/>
      <c r="AP214" s="237"/>
      <c r="AQ214" s="228"/>
      <c r="AR214" s="232"/>
      <c r="AS214" s="228"/>
      <c r="AT214" s="229">
        <v>43418.370527893501</v>
      </c>
      <c r="AU214" s="229">
        <v>43419.752471064799</v>
      </c>
      <c r="AV214" s="229">
        <v>43419.439039814803</v>
      </c>
      <c r="AW214" s="229">
        <v>43418.370527893501</v>
      </c>
      <c r="AX214" s="229"/>
      <c r="AY214" s="229">
        <v>43452.724153819399</v>
      </c>
      <c r="AZ214" s="238">
        <v>43452.704516088001</v>
      </c>
      <c r="BA214" s="1" t="s">
        <v>7684</v>
      </c>
      <c r="BB214">
        <v>130</v>
      </c>
      <c r="BC214">
        <v>60</v>
      </c>
      <c r="BD214">
        <v>3064</v>
      </c>
      <c r="BE214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35.704516088000673</v>
      </c>
      <c r="BF214" s="240">
        <f>COUNTIFS(_05preva_view43[Site ID],_05preva_view43[[#This Row],[Site ID]],_05preva_view43[Prevalidation Status],"Under Prevalidation")</f>
        <v>0</v>
      </c>
      <c r="BG21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4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1.xlsx</v>
      </c>
      <c r="BI214" s="64" t="e">
        <f t="shared" ca="1" si="4"/>
        <v>#VALUE!</v>
      </c>
      <c r="BJ214" s="104" t="e">
        <f ca="1">LEFT(CELL("filename",A199),_05preva_view43[[#This Row],[Find Process &amp; Database]]-1)</f>
        <v>#VALUE!</v>
      </c>
      <c r="BK214" s="104" t="e">
        <f ca="1">_05preva_view43[Folder Path1]&amp;"Process &amp; Database\Documentation\Colo Applications"</f>
        <v>#VALUE!</v>
      </c>
      <c r="BL214" s="104" t="e">
        <f ca="1">_05preva_view43[Folder Path2]&amp;"\Colo App "&amp;_05preva_view43[[#This Row],[Operator]]&amp;"\"</f>
        <v>#VALUE!</v>
      </c>
      <c r="BM214" s="63" t="e">
        <f ca="1">_05preva_view43[[#This Row],[Folder Path3]]&amp;_05preva_view43[[#This Row],[File Name]]</f>
        <v>#VALUE!</v>
      </c>
      <c r="BN214" s="104"/>
      <c r="CF214" s="5"/>
      <c r="CG214" s="5"/>
      <c r="CH214" s="3"/>
      <c r="CJ214" s="5"/>
      <c r="CN214" s="3"/>
      <c r="CO214" s="3"/>
      <c r="CP214" s="5"/>
      <c r="CR214" s="3"/>
      <c r="DN214" s="5"/>
      <c r="DP214" s="3"/>
      <c r="EB214" s="7"/>
      <c r="EC214" s="7"/>
      <c r="EF214" s="4"/>
      <c r="EG214" s="4"/>
      <c r="EQ214" s="2"/>
      <c r="ER214" s="2"/>
    </row>
    <row r="215" spans="1:148">
      <c r="A215" s="227">
        <v>3411</v>
      </c>
      <c r="B215" s="228" t="s">
        <v>721</v>
      </c>
      <c r="C215" s="228" t="s">
        <v>278</v>
      </c>
      <c r="D215" s="228" t="s">
        <v>127</v>
      </c>
      <c r="E215" s="228" t="s">
        <v>722</v>
      </c>
      <c r="F215" s="228" t="s">
        <v>35</v>
      </c>
      <c r="G215" s="228" t="s">
        <v>1292</v>
      </c>
      <c r="H215" s="228" t="s">
        <v>1285</v>
      </c>
      <c r="I215" s="228" t="s">
        <v>923</v>
      </c>
      <c r="J215" s="228" t="s">
        <v>727</v>
      </c>
      <c r="K215" s="229">
        <v>43412</v>
      </c>
      <c r="L215" s="230"/>
      <c r="M215" s="230">
        <v>2.2999999999999998</v>
      </c>
      <c r="N215" s="228">
        <v>3.113</v>
      </c>
      <c r="O215" s="228" t="s">
        <v>687</v>
      </c>
      <c r="P215" s="231" t="s">
        <v>279</v>
      </c>
      <c r="Q215" s="231" t="s">
        <v>526</v>
      </c>
      <c r="R215" s="228" t="s">
        <v>24</v>
      </c>
      <c r="S215" s="228"/>
      <c r="T215" s="232" t="s">
        <v>615</v>
      </c>
      <c r="U215" s="228"/>
      <c r="V215" s="232" t="s">
        <v>615</v>
      </c>
      <c r="W215" s="228"/>
      <c r="X215" s="232" t="s">
        <v>120</v>
      </c>
      <c r="Y215" s="228" t="s">
        <v>924</v>
      </c>
      <c r="Z215" s="233" t="s">
        <v>120</v>
      </c>
      <c r="AA215" s="234"/>
      <c r="AB215" s="234"/>
      <c r="AC215" s="235" t="s">
        <v>123</v>
      </c>
      <c r="AD215" s="228" t="s">
        <v>925</v>
      </c>
      <c r="AE215" s="232" t="s">
        <v>615</v>
      </c>
      <c r="AF215" s="229"/>
      <c r="AG215" s="236"/>
      <c r="AH215" s="236"/>
      <c r="AI215" s="228"/>
      <c r="AJ215" s="232"/>
      <c r="AK215" s="228"/>
      <c r="AL215" s="228"/>
      <c r="AM215" s="232"/>
      <c r="AN215" s="228"/>
      <c r="AO215" s="228"/>
      <c r="AP215" s="237"/>
      <c r="AQ215" s="228"/>
      <c r="AR215" s="232"/>
      <c r="AS215" s="228"/>
      <c r="AT215" s="229"/>
      <c r="AU215" s="229"/>
      <c r="AV215" s="229"/>
      <c r="AW215" s="229"/>
      <c r="AX215" s="229"/>
      <c r="AY215" s="229"/>
      <c r="AZ215" s="238">
        <v>43412</v>
      </c>
      <c r="BA215" s="1" t="s">
        <v>7684</v>
      </c>
      <c r="BB215">
        <v>130</v>
      </c>
      <c r="BC215">
        <v>28</v>
      </c>
      <c r="BD215">
        <v>3029</v>
      </c>
      <c r="BE21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15" s="240">
        <f>COUNTIFS(_05preva_view43[Site ID],_05preva_view43[[#This Row],[Site ID]],_05preva_view43[Prevalidation Status],"Under Prevalidation")</f>
        <v>0</v>
      </c>
      <c r="BG21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5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3.xlsx</v>
      </c>
      <c r="BI215" s="64" t="e">
        <f t="shared" ca="1" si="4"/>
        <v>#VALUE!</v>
      </c>
      <c r="BJ215" s="104" t="e">
        <f ca="1">LEFT(CELL("filename",A200),_05preva_view43[[#This Row],[Find Process &amp; Database]]-1)</f>
        <v>#VALUE!</v>
      </c>
      <c r="BK215" s="104" t="e">
        <f ca="1">_05preva_view43[Folder Path1]&amp;"Process &amp; Database\Documentation\Colo Applications"</f>
        <v>#VALUE!</v>
      </c>
      <c r="BL215" s="104" t="e">
        <f ca="1">_05preva_view43[Folder Path2]&amp;"\Colo App "&amp;_05preva_view43[[#This Row],[Operator]]&amp;"\"</f>
        <v>#VALUE!</v>
      </c>
      <c r="BM215" s="63" t="e">
        <f ca="1">_05preva_view43[[#This Row],[Folder Path3]]&amp;_05preva_view43[[#This Row],[File Name]]</f>
        <v>#VALUE!</v>
      </c>
      <c r="BN215" s="104"/>
      <c r="CF215" s="5"/>
      <c r="CG215" s="5"/>
      <c r="CH215" s="3"/>
      <c r="CJ215" s="5"/>
      <c r="CN215" s="3"/>
      <c r="CO215" s="3"/>
      <c r="CP215" s="5"/>
      <c r="CR215" s="3"/>
      <c r="DN215" s="5"/>
      <c r="DP215" s="3"/>
      <c r="EB215" s="7"/>
      <c r="EC215" s="7"/>
      <c r="EF215" s="4"/>
      <c r="EG215" s="4"/>
      <c r="EQ215" s="2"/>
      <c r="ER215" s="2"/>
    </row>
    <row r="216" spans="1:148">
      <c r="A216" s="227">
        <v>3412</v>
      </c>
      <c r="B216" s="228" t="s">
        <v>926</v>
      </c>
      <c r="C216" s="228" t="s">
        <v>278</v>
      </c>
      <c r="D216" s="228" t="s">
        <v>127</v>
      </c>
      <c r="E216" s="228" t="s">
        <v>927</v>
      </c>
      <c r="F216" s="228" t="s">
        <v>35</v>
      </c>
      <c r="G216" s="228" t="s">
        <v>1292</v>
      </c>
      <c r="H216" s="228" t="s">
        <v>1285</v>
      </c>
      <c r="I216" s="228" t="s">
        <v>928</v>
      </c>
      <c r="J216" s="228" t="s">
        <v>686</v>
      </c>
      <c r="K216" s="229">
        <v>43412</v>
      </c>
      <c r="L216" s="230"/>
      <c r="M216" s="230">
        <v>1.462</v>
      </c>
      <c r="N216" s="228">
        <v>2.714</v>
      </c>
      <c r="O216" s="228" t="s">
        <v>687</v>
      </c>
      <c r="P216" s="231" t="s">
        <v>508</v>
      </c>
      <c r="Q216" s="231" t="s">
        <v>509</v>
      </c>
      <c r="R216" s="228" t="s">
        <v>24</v>
      </c>
      <c r="S216" s="228"/>
      <c r="T216" s="232" t="s">
        <v>615</v>
      </c>
      <c r="U216" s="228"/>
      <c r="V216" s="232" t="s">
        <v>615</v>
      </c>
      <c r="W216" s="228"/>
      <c r="X216" s="232" t="s">
        <v>120</v>
      </c>
      <c r="Y216" s="228" t="s">
        <v>929</v>
      </c>
      <c r="Z216" s="233" t="s">
        <v>120</v>
      </c>
      <c r="AA216" s="234"/>
      <c r="AB216" s="234"/>
      <c r="AC216" s="235" t="s">
        <v>123</v>
      </c>
      <c r="AD216" s="228" t="s">
        <v>930</v>
      </c>
      <c r="AE216" s="232" t="s">
        <v>615</v>
      </c>
      <c r="AF216" s="229"/>
      <c r="AG216" s="236"/>
      <c r="AH216" s="236"/>
      <c r="AI216" s="228"/>
      <c r="AJ216" s="232"/>
      <c r="AK216" s="228"/>
      <c r="AL216" s="228"/>
      <c r="AM216" s="232"/>
      <c r="AN216" s="228"/>
      <c r="AO216" s="228"/>
      <c r="AP216" s="237"/>
      <c r="AQ216" s="228"/>
      <c r="AR216" s="232"/>
      <c r="AS216" s="228"/>
      <c r="AT216" s="229"/>
      <c r="AU216" s="229"/>
      <c r="AV216" s="229"/>
      <c r="AW216" s="229"/>
      <c r="AX216" s="229"/>
      <c r="AY216" s="229"/>
      <c r="AZ216" s="238">
        <v>43412</v>
      </c>
      <c r="BA216" s="1" t="s">
        <v>7684</v>
      </c>
      <c r="BB216">
        <v>130</v>
      </c>
      <c r="BC216">
        <v>45</v>
      </c>
      <c r="BD216">
        <v>3131</v>
      </c>
      <c r="BE21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16" s="240">
        <f>COUNTIFS(_05preva_view43[Site ID],_05preva_view43[[#This Row],[Site ID]],_05preva_view43[Prevalidation Status],"Under Prevalidation")</f>
        <v>0</v>
      </c>
      <c r="BG21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6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2.xlsx</v>
      </c>
      <c r="BI216" s="64" t="e">
        <f t="shared" ca="1" si="4"/>
        <v>#VALUE!</v>
      </c>
      <c r="BJ216" s="104" t="e">
        <f ca="1">LEFT(CELL("filename",A201),_05preva_view43[[#This Row],[Find Process &amp; Database]]-1)</f>
        <v>#VALUE!</v>
      </c>
      <c r="BK216" s="104" t="e">
        <f ca="1">_05preva_view43[Folder Path1]&amp;"Process &amp; Database\Documentation\Colo Applications"</f>
        <v>#VALUE!</v>
      </c>
      <c r="BL216" s="104" t="e">
        <f ca="1">_05preva_view43[Folder Path2]&amp;"\Colo App "&amp;_05preva_view43[[#This Row],[Operator]]&amp;"\"</f>
        <v>#VALUE!</v>
      </c>
      <c r="BM216" s="63" t="e">
        <f ca="1">_05preva_view43[[#This Row],[Folder Path3]]&amp;_05preva_view43[[#This Row],[File Name]]</f>
        <v>#VALUE!</v>
      </c>
      <c r="BN216" s="104"/>
      <c r="CF216" s="5"/>
      <c r="CG216" s="5"/>
      <c r="CH216" s="3"/>
      <c r="CJ216" s="5"/>
      <c r="CN216" s="3"/>
      <c r="CO216" s="3"/>
      <c r="CP216" s="5"/>
      <c r="CR216" s="3"/>
      <c r="DN216" s="5"/>
      <c r="DP216" s="3"/>
      <c r="EB216" s="7"/>
      <c r="EC216" s="7"/>
      <c r="EF216" s="4"/>
      <c r="EG216" s="4"/>
      <c r="EQ216" s="2"/>
      <c r="ER216" s="2"/>
    </row>
    <row r="217" spans="1:148">
      <c r="A217" s="227">
        <v>3405</v>
      </c>
      <c r="B217" s="228" t="s">
        <v>910</v>
      </c>
      <c r="C217" s="228" t="s">
        <v>278</v>
      </c>
      <c r="D217" s="228" t="s">
        <v>117</v>
      </c>
      <c r="E217" s="228" t="s">
        <v>911</v>
      </c>
      <c r="F217" s="228" t="s">
        <v>35</v>
      </c>
      <c r="G217" s="228" t="s">
        <v>1292</v>
      </c>
      <c r="H217" s="228" t="s">
        <v>1285</v>
      </c>
      <c r="I217" s="228" t="s">
        <v>798</v>
      </c>
      <c r="J217" s="228" t="s">
        <v>686</v>
      </c>
      <c r="K217" s="229">
        <v>43411</v>
      </c>
      <c r="L217" s="230"/>
      <c r="M217" s="230">
        <v>2.456</v>
      </c>
      <c r="N217" s="228">
        <v>6.2130000000000001</v>
      </c>
      <c r="O217" s="228" t="s">
        <v>687</v>
      </c>
      <c r="P217" s="231" t="s">
        <v>765</v>
      </c>
      <c r="Q217" s="231" t="s">
        <v>766</v>
      </c>
      <c r="R217" s="228" t="s">
        <v>24</v>
      </c>
      <c r="S217" s="228"/>
      <c r="T217" s="232" t="s">
        <v>615</v>
      </c>
      <c r="U217" s="228"/>
      <c r="V217" s="232" t="s">
        <v>615</v>
      </c>
      <c r="W217" s="228"/>
      <c r="X217" s="232" t="s">
        <v>120</v>
      </c>
      <c r="Y217" s="228" t="s">
        <v>912</v>
      </c>
      <c r="Z217" s="233" t="s">
        <v>120</v>
      </c>
      <c r="AA217" s="234"/>
      <c r="AB217" s="234"/>
      <c r="AC217" s="235" t="s">
        <v>123</v>
      </c>
      <c r="AD217" s="228" t="s">
        <v>913</v>
      </c>
      <c r="AE217" s="232" t="s">
        <v>615</v>
      </c>
      <c r="AF217" s="229"/>
      <c r="AG217" s="236"/>
      <c r="AH217" s="236"/>
      <c r="AI217" s="228"/>
      <c r="AJ217" s="232"/>
      <c r="AK217" s="228"/>
      <c r="AL217" s="228"/>
      <c r="AM217" s="232"/>
      <c r="AN217" s="228"/>
      <c r="AO217" s="228"/>
      <c r="AP217" s="237"/>
      <c r="AQ217" s="228"/>
      <c r="AR217" s="232"/>
      <c r="AS217" s="228"/>
      <c r="AT217" s="229"/>
      <c r="AU217" s="229"/>
      <c r="AV217" s="229"/>
      <c r="AW217" s="229"/>
      <c r="AX217" s="229"/>
      <c r="AY217" s="229"/>
      <c r="AZ217" s="238">
        <v>43411</v>
      </c>
      <c r="BA217" s="1" t="s">
        <v>7684</v>
      </c>
      <c r="BB217">
        <v>130</v>
      </c>
      <c r="BC217">
        <v>60</v>
      </c>
      <c r="BD217">
        <v>3392</v>
      </c>
      <c r="BE21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17" s="240">
        <f>COUNTIFS(_05preva_view43[Site ID],_05preva_view43[[#This Row],[Site ID]],_05preva_view43[Prevalidation Status],"Under Prevalidation")</f>
        <v>0</v>
      </c>
      <c r="BG21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7" s="242" t="str">
        <f>CONCATENATE(_05preva_view43[[#This Row],[Site ID]]," (",_05preva_view43[[#This Row],[tenant id]],") Application",IF(_05preva_view43[[#This Row],[Colo Rev]]&gt;0," Rev "&amp;_05preva_view43[[#This Row],[Colo Rev]],""),".xlsx")</f>
        <v>1-01-04004-007 (CHN00118) Application Rev 2.xlsx</v>
      </c>
      <c r="BI217" s="64" t="e">
        <f t="shared" ca="1" si="4"/>
        <v>#VALUE!</v>
      </c>
      <c r="BJ217" s="104" t="e">
        <f ca="1">LEFT(CELL("filename",A202),_05preva_view43[[#This Row],[Find Process &amp; Database]]-1)</f>
        <v>#VALUE!</v>
      </c>
      <c r="BK217" s="104" t="e">
        <f ca="1">_05preva_view43[Folder Path1]&amp;"Process &amp; Database\Documentation\Colo Applications"</f>
        <v>#VALUE!</v>
      </c>
      <c r="BL217" s="104" t="e">
        <f ca="1">_05preva_view43[Folder Path2]&amp;"\Colo App "&amp;_05preva_view43[[#This Row],[Operator]]&amp;"\"</f>
        <v>#VALUE!</v>
      </c>
      <c r="BM217" s="63" t="e">
        <f ca="1">_05preva_view43[[#This Row],[Folder Path3]]&amp;_05preva_view43[[#This Row],[File Name]]</f>
        <v>#VALUE!</v>
      </c>
      <c r="BN217" s="104"/>
      <c r="CF217" s="5"/>
      <c r="CG217" s="5"/>
      <c r="CH217" s="3"/>
      <c r="CJ217" s="5"/>
      <c r="CN217" s="3"/>
      <c r="CO217" s="3"/>
      <c r="CP217" s="5"/>
      <c r="CR217" s="3"/>
      <c r="DN217" s="5"/>
      <c r="DP217" s="3"/>
      <c r="EB217" s="7"/>
      <c r="EC217" s="7"/>
      <c r="EF217" s="4"/>
      <c r="EG217" s="4"/>
      <c r="EQ217" s="2"/>
      <c r="ER217" s="2"/>
    </row>
    <row r="218" spans="1:148">
      <c r="A218" s="227">
        <v>3406</v>
      </c>
      <c r="B218" s="228" t="s">
        <v>914</v>
      </c>
      <c r="C218" s="228" t="s">
        <v>278</v>
      </c>
      <c r="D218" s="228" t="s">
        <v>127</v>
      </c>
      <c r="E218" s="228" t="s">
        <v>915</v>
      </c>
      <c r="F218" s="228" t="s">
        <v>35</v>
      </c>
      <c r="G218" s="228" t="s">
        <v>1292</v>
      </c>
      <c r="H218" s="228" t="s">
        <v>1285</v>
      </c>
      <c r="I218" s="228" t="s">
        <v>790</v>
      </c>
      <c r="J218" s="228" t="s">
        <v>727</v>
      </c>
      <c r="K218" s="229">
        <v>43411</v>
      </c>
      <c r="L218" s="230"/>
      <c r="M218" s="230">
        <v>3.6110000000000002</v>
      </c>
      <c r="N218" s="228">
        <v>7.94</v>
      </c>
      <c r="O218" s="228" t="s">
        <v>687</v>
      </c>
      <c r="P218" s="231" t="s">
        <v>695</v>
      </c>
      <c r="Q218" s="231" t="s">
        <v>696</v>
      </c>
      <c r="R218" s="228" t="s">
        <v>24</v>
      </c>
      <c r="S218" s="228"/>
      <c r="T218" s="232" t="s">
        <v>615</v>
      </c>
      <c r="U218" s="228"/>
      <c r="V218" s="232" t="s">
        <v>615</v>
      </c>
      <c r="W218" s="228"/>
      <c r="X218" s="232" t="s">
        <v>120</v>
      </c>
      <c r="Y218" s="228" t="s">
        <v>916</v>
      </c>
      <c r="Z218" s="233" t="s">
        <v>120</v>
      </c>
      <c r="AA218" s="234"/>
      <c r="AB218" s="234"/>
      <c r="AC218" s="235" t="s">
        <v>123</v>
      </c>
      <c r="AD218" s="228" t="s">
        <v>917</v>
      </c>
      <c r="AE218" s="232" t="s">
        <v>615</v>
      </c>
      <c r="AF218" s="229"/>
      <c r="AG218" s="236"/>
      <c r="AH218" s="236"/>
      <c r="AI218" s="228"/>
      <c r="AJ218" s="232"/>
      <c r="AK218" s="228"/>
      <c r="AL218" s="228"/>
      <c r="AM218" s="232"/>
      <c r="AN218" s="228"/>
      <c r="AO218" s="228"/>
      <c r="AP218" s="237"/>
      <c r="AQ218" s="228"/>
      <c r="AR218" s="232"/>
      <c r="AS218" s="228"/>
      <c r="AT218" s="229"/>
      <c r="AU218" s="229"/>
      <c r="AV218" s="229"/>
      <c r="AW218" s="229"/>
      <c r="AX218" s="229"/>
      <c r="AY218" s="229"/>
      <c r="AZ218" s="238">
        <v>43411</v>
      </c>
      <c r="BA218" s="1" t="s">
        <v>7684</v>
      </c>
      <c r="BB218">
        <v>130</v>
      </c>
      <c r="BC218">
        <v>60</v>
      </c>
      <c r="BD218">
        <v>3243</v>
      </c>
      <c r="BE21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18" s="240">
        <f>COUNTIFS(_05preva_view43[Site ID],_05preva_view43[[#This Row],[Site ID]],_05preva_view43[Prevalidation Status],"Under Prevalidation")</f>
        <v>0</v>
      </c>
      <c r="BG21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8" s="242" t="str">
        <f>CONCATENATE(_05preva_view43[[#This Row],[Site ID]]," (",_05preva_view43[[#This Row],[tenant id]],") Application",IF(_05preva_view43[[#This Row],[Colo Rev]]&gt;0," Rev "&amp;_05preva_view43[[#This Row],[Colo Rev]],""),".xlsx")</f>
        <v>1-01-05005-006 (SGG00246) Application Rev 3.xlsx</v>
      </c>
      <c r="BI218" s="64" t="e">
        <f t="shared" ca="1" si="4"/>
        <v>#VALUE!</v>
      </c>
      <c r="BJ218" s="104" t="e">
        <f ca="1">LEFT(CELL("filename",A203),_05preva_view43[[#This Row],[Find Process &amp; Database]]-1)</f>
        <v>#VALUE!</v>
      </c>
      <c r="BK218" s="104" t="e">
        <f ca="1">_05preva_view43[Folder Path1]&amp;"Process &amp; Database\Documentation\Colo Applications"</f>
        <v>#VALUE!</v>
      </c>
      <c r="BL218" s="104" t="e">
        <f ca="1">_05preva_view43[Folder Path2]&amp;"\Colo App "&amp;_05preva_view43[[#This Row],[Operator]]&amp;"\"</f>
        <v>#VALUE!</v>
      </c>
      <c r="BM218" s="63" t="e">
        <f ca="1">_05preva_view43[[#This Row],[Folder Path3]]&amp;_05preva_view43[[#This Row],[File Name]]</f>
        <v>#VALUE!</v>
      </c>
      <c r="BN218" s="104"/>
      <c r="CF218" s="5"/>
      <c r="CG218" s="5"/>
      <c r="CH218" s="3"/>
      <c r="CJ218" s="5"/>
      <c r="CN218" s="3"/>
      <c r="CO218" s="3"/>
      <c r="CP218" s="5"/>
      <c r="CR218" s="3"/>
      <c r="DN218" s="5"/>
      <c r="DP218" s="3"/>
      <c r="EB218" s="7"/>
      <c r="EC218" s="7"/>
      <c r="EF218" s="4"/>
      <c r="EG218" s="4"/>
      <c r="EQ218" s="2"/>
      <c r="ER218" s="2"/>
    </row>
    <row r="219" spans="1:148">
      <c r="A219" s="227">
        <v>3407</v>
      </c>
      <c r="B219" s="228" t="s">
        <v>918</v>
      </c>
      <c r="C219" s="228" t="s">
        <v>278</v>
      </c>
      <c r="D219" s="228" t="s">
        <v>117</v>
      </c>
      <c r="E219" s="228" t="s">
        <v>919</v>
      </c>
      <c r="F219" s="228" t="s">
        <v>35</v>
      </c>
      <c r="G219" s="228" t="s">
        <v>1292</v>
      </c>
      <c r="H219" s="228" t="s">
        <v>1285</v>
      </c>
      <c r="I219" s="228" t="s">
        <v>920</v>
      </c>
      <c r="J219" s="228" t="s">
        <v>727</v>
      </c>
      <c r="K219" s="229">
        <v>43411</v>
      </c>
      <c r="L219" s="230"/>
      <c r="M219" s="230">
        <v>2.1</v>
      </c>
      <c r="N219" s="228">
        <v>2.91</v>
      </c>
      <c r="O219" s="228" t="s">
        <v>687</v>
      </c>
      <c r="P219" s="231" t="s">
        <v>695</v>
      </c>
      <c r="Q219" s="231" t="s">
        <v>696</v>
      </c>
      <c r="R219" s="228" t="s">
        <v>24</v>
      </c>
      <c r="S219" s="228"/>
      <c r="T219" s="232" t="s">
        <v>615</v>
      </c>
      <c r="U219" s="228"/>
      <c r="V219" s="232" t="s">
        <v>615</v>
      </c>
      <c r="W219" s="228"/>
      <c r="X219" s="232" t="s">
        <v>120</v>
      </c>
      <c r="Y219" s="228" t="s">
        <v>921</v>
      </c>
      <c r="Z219" s="233" t="s">
        <v>120</v>
      </c>
      <c r="AA219" s="234"/>
      <c r="AB219" s="234"/>
      <c r="AC219" s="235" t="s">
        <v>123</v>
      </c>
      <c r="AD219" s="228" t="s">
        <v>922</v>
      </c>
      <c r="AE219" s="232" t="s">
        <v>615</v>
      </c>
      <c r="AF219" s="229"/>
      <c r="AG219" s="236"/>
      <c r="AH219" s="236"/>
      <c r="AI219" s="228"/>
      <c r="AJ219" s="232"/>
      <c r="AK219" s="228"/>
      <c r="AL219" s="228"/>
      <c r="AM219" s="232"/>
      <c r="AN219" s="228"/>
      <c r="AO219" s="228"/>
      <c r="AP219" s="237"/>
      <c r="AQ219" s="228"/>
      <c r="AR219" s="232"/>
      <c r="AS219" s="228"/>
      <c r="AT219" s="229"/>
      <c r="AU219" s="229"/>
      <c r="AV219" s="229"/>
      <c r="AW219" s="229"/>
      <c r="AX219" s="229"/>
      <c r="AY219" s="229"/>
      <c r="AZ219" s="238">
        <v>43411</v>
      </c>
      <c r="BA219" s="1" t="s">
        <v>7684</v>
      </c>
      <c r="BB219">
        <v>130</v>
      </c>
      <c r="BC219">
        <v>70</v>
      </c>
      <c r="BD219">
        <v>3602</v>
      </c>
      <c r="BE21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19" s="240">
        <f>COUNTIFS(_05preva_view43[Site ID],_05preva_view43[[#This Row],[Site ID]],_05preva_view43[Prevalidation Status],"Under Prevalidation")</f>
        <v>0</v>
      </c>
      <c r="BG21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19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3.xlsx</v>
      </c>
      <c r="BI219" s="64" t="e">
        <f t="shared" ca="1" si="4"/>
        <v>#VALUE!</v>
      </c>
      <c r="BJ219" s="104" t="e">
        <f ca="1">LEFT(CELL("filename",A204),_05preva_view43[[#This Row],[Find Process &amp; Database]]-1)</f>
        <v>#VALUE!</v>
      </c>
      <c r="BK219" s="104" t="e">
        <f ca="1">_05preva_view43[Folder Path1]&amp;"Process &amp; Database\Documentation\Colo Applications"</f>
        <v>#VALUE!</v>
      </c>
      <c r="BL219" s="104" t="e">
        <f ca="1">_05preva_view43[Folder Path2]&amp;"\Colo App "&amp;_05preva_view43[[#This Row],[Operator]]&amp;"\"</f>
        <v>#VALUE!</v>
      </c>
      <c r="BM219" s="63" t="e">
        <f ca="1">_05preva_view43[[#This Row],[Folder Path3]]&amp;_05preva_view43[[#This Row],[File Name]]</f>
        <v>#VALUE!</v>
      </c>
      <c r="BN219" s="104"/>
      <c r="CF219" s="5"/>
      <c r="CG219" s="5"/>
      <c r="CH219" s="3"/>
      <c r="CJ219" s="5"/>
      <c r="CN219" s="3"/>
      <c r="CO219" s="3"/>
      <c r="CP219" s="5"/>
      <c r="CR219" s="3"/>
      <c r="DN219" s="5"/>
      <c r="DP219" s="3"/>
      <c r="EB219" s="7"/>
      <c r="EC219" s="7"/>
      <c r="EF219" s="4"/>
      <c r="EG219" s="4"/>
      <c r="EQ219" s="2"/>
      <c r="ER219" s="2"/>
    </row>
    <row r="220" spans="1:148">
      <c r="A220" s="227">
        <v>3394</v>
      </c>
      <c r="B220" s="228" t="s">
        <v>878</v>
      </c>
      <c r="C220" s="228" t="s">
        <v>278</v>
      </c>
      <c r="D220" s="228" t="s">
        <v>117</v>
      </c>
      <c r="E220" s="228" t="s">
        <v>879</v>
      </c>
      <c r="F220" s="228" t="s">
        <v>35</v>
      </c>
      <c r="G220" s="228" t="s">
        <v>1293</v>
      </c>
      <c r="H220" s="228" t="s">
        <v>1290</v>
      </c>
      <c r="I220" s="228" t="s">
        <v>881</v>
      </c>
      <c r="J220" s="228" t="s">
        <v>677</v>
      </c>
      <c r="K220" s="229">
        <v>43409</v>
      </c>
      <c r="L220" s="230"/>
      <c r="M220" s="230">
        <v>0.879</v>
      </c>
      <c r="N220" s="228">
        <v>3.99</v>
      </c>
      <c r="O220" s="228" t="s">
        <v>687</v>
      </c>
      <c r="P220" s="231" t="s">
        <v>765</v>
      </c>
      <c r="Q220" s="231" t="s">
        <v>766</v>
      </c>
      <c r="R220" s="228" t="s">
        <v>24</v>
      </c>
      <c r="S220" s="228"/>
      <c r="T220" s="232" t="s">
        <v>615</v>
      </c>
      <c r="U220" s="228"/>
      <c r="V220" s="232" t="s">
        <v>615</v>
      </c>
      <c r="W220" s="228"/>
      <c r="X220" s="232" t="s">
        <v>120</v>
      </c>
      <c r="Y220" s="228" t="s">
        <v>882</v>
      </c>
      <c r="Z220" s="233" t="s">
        <v>120</v>
      </c>
      <c r="AA220" s="234"/>
      <c r="AB220" s="234"/>
      <c r="AC220" s="235" t="s">
        <v>123</v>
      </c>
      <c r="AD220" s="228" t="s">
        <v>883</v>
      </c>
      <c r="AE220" s="232" t="s">
        <v>615</v>
      </c>
      <c r="AF220" s="229"/>
      <c r="AG220" s="236"/>
      <c r="AH220" s="236"/>
      <c r="AI220" s="228"/>
      <c r="AJ220" s="232"/>
      <c r="AK220" s="228"/>
      <c r="AL220" s="228"/>
      <c r="AM220" s="232"/>
      <c r="AN220" s="228"/>
      <c r="AO220" s="228" t="s">
        <v>120</v>
      </c>
      <c r="AP220" s="237"/>
      <c r="AQ220" s="228"/>
      <c r="AR220" s="232"/>
      <c r="AS220" s="228"/>
      <c r="AT220" s="229"/>
      <c r="AU220" s="229"/>
      <c r="AV220" s="229"/>
      <c r="AW220" s="229"/>
      <c r="AX220" s="229"/>
      <c r="AY220" s="229"/>
      <c r="AZ220" s="238">
        <v>43409</v>
      </c>
      <c r="BA220" s="1" t="s">
        <v>7684</v>
      </c>
      <c r="BB220">
        <v>130</v>
      </c>
      <c r="BC220">
        <v>60</v>
      </c>
      <c r="BD220">
        <v>3394</v>
      </c>
      <c r="BE22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20" s="240">
        <f>COUNTIFS(_05preva_view43[Site ID],_05preva_view43[[#This Row],[Site ID]],_05preva_view43[Prevalidation Status],"Under Prevalidation")</f>
        <v>0</v>
      </c>
      <c r="BG22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0" s="242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0.xlsx</v>
      </c>
      <c r="BI220" s="64" t="e">
        <f t="shared" ca="1" si="4"/>
        <v>#VALUE!</v>
      </c>
      <c r="BJ220" s="104" t="e">
        <f ca="1">LEFT(CELL("filename",A205),_05preva_view43[[#This Row],[Find Process &amp; Database]]-1)</f>
        <v>#VALUE!</v>
      </c>
      <c r="BK220" s="104" t="e">
        <f ca="1">_05preva_view43[Folder Path1]&amp;"Process &amp; Database\Documentation\Colo Applications"</f>
        <v>#VALUE!</v>
      </c>
      <c r="BL220" s="104" t="e">
        <f ca="1">_05preva_view43[Folder Path2]&amp;"\Colo App "&amp;_05preva_view43[[#This Row],[Operator]]&amp;"\"</f>
        <v>#VALUE!</v>
      </c>
      <c r="BM220" s="63" t="e">
        <f ca="1">_05preva_view43[[#This Row],[Folder Path3]]&amp;_05preva_view43[[#This Row],[File Name]]</f>
        <v>#VALUE!</v>
      </c>
      <c r="BN220" s="104"/>
      <c r="CF220" s="5"/>
      <c r="CG220" s="5"/>
      <c r="CH220" s="3"/>
      <c r="CJ220" s="5"/>
      <c r="CN220" s="3"/>
      <c r="CO220" s="3"/>
      <c r="CP220" s="5"/>
      <c r="CR220" s="3"/>
      <c r="DN220" s="5"/>
      <c r="DP220" s="3"/>
      <c r="EB220" s="7"/>
      <c r="EC220" s="7"/>
      <c r="EF220" s="4"/>
      <c r="EG220" s="4"/>
      <c r="EQ220" s="2"/>
      <c r="ER220" s="2"/>
    </row>
    <row r="221" spans="1:148">
      <c r="A221" s="227">
        <v>3395</v>
      </c>
      <c r="B221" s="228" t="s">
        <v>773</v>
      </c>
      <c r="C221" s="228" t="s">
        <v>278</v>
      </c>
      <c r="D221" s="228" t="s">
        <v>153</v>
      </c>
      <c r="E221" s="228" t="s">
        <v>774</v>
      </c>
      <c r="F221" s="228" t="s">
        <v>35</v>
      </c>
      <c r="G221" s="228" t="s">
        <v>1292</v>
      </c>
      <c r="H221" s="228" t="s">
        <v>1285</v>
      </c>
      <c r="I221" s="228" t="s">
        <v>875</v>
      </c>
      <c r="J221" s="228" t="s">
        <v>727</v>
      </c>
      <c r="K221" s="229">
        <v>43409</v>
      </c>
      <c r="L221" s="230"/>
      <c r="M221" s="230">
        <v>2.1</v>
      </c>
      <c r="N221" s="228">
        <v>3.2469999999999999</v>
      </c>
      <c r="O221" s="228" t="s">
        <v>687</v>
      </c>
      <c r="P221" s="231" t="s">
        <v>765</v>
      </c>
      <c r="Q221" s="231" t="s">
        <v>766</v>
      </c>
      <c r="R221" s="228" t="s">
        <v>24</v>
      </c>
      <c r="S221" s="228"/>
      <c r="T221" s="232" t="s">
        <v>615</v>
      </c>
      <c r="U221" s="228"/>
      <c r="V221" s="232" t="s">
        <v>615</v>
      </c>
      <c r="W221" s="228"/>
      <c r="X221" s="232" t="s">
        <v>120</v>
      </c>
      <c r="Y221" s="228" t="s">
        <v>884</v>
      </c>
      <c r="Z221" s="233" t="s">
        <v>120</v>
      </c>
      <c r="AA221" s="234"/>
      <c r="AB221" s="234"/>
      <c r="AC221" s="235" t="s">
        <v>123</v>
      </c>
      <c r="AD221" s="228" t="s">
        <v>885</v>
      </c>
      <c r="AE221" s="232"/>
      <c r="AF221" s="229"/>
      <c r="AG221" s="236"/>
      <c r="AH221" s="236"/>
      <c r="AI221" s="228"/>
      <c r="AJ221" s="232"/>
      <c r="AK221" s="228"/>
      <c r="AL221" s="228"/>
      <c r="AM221" s="232"/>
      <c r="AN221" s="228"/>
      <c r="AO221" s="228"/>
      <c r="AP221" s="237"/>
      <c r="AQ221" s="228"/>
      <c r="AR221" s="232"/>
      <c r="AS221" s="228"/>
      <c r="AT221" s="229"/>
      <c r="AU221" s="229"/>
      <c r="AV221" s="229"/>
      <c r="AW221" s="229"/>
      <c r="AX221" s="229"/>
      <c r="AY221" s="229"/>
      <c r="AZ221" s="238">
        <v>43409</v>
      </c>
      <c r="BA221" s="1" t="s">
        <v>7684</v>
      </c>
      <c r="BB221">
        <v>195</v>
      </c>
      <c r="BC221">
        <v>60</v>
      </c>
      <c r="BD221">
        <v>2724</v>
      </c>
      <c r="BE22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21" s="240">
        <f>COUNTIFS(_05preva_view43[Site ID],_05preva_view43[[#This Row],[Site ID]],_05preva_view43[Prevalidation Status],"Under Prevalidation")</f>
        <v>0</v>
      </c>
      <c r="BG22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1" s="242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3.xlsx</v>
      </c>
      <c r="BI221" s="64" t="e">
        <f t="shared" ca="1" si="4"/>
        <v>#VALUE!</v>
      </c>
      <c r="BJ221" s="104" t="e">
        <f ca="1">LEFT(CELL("filename",A206),_05preva_view43[[#This Row],[Find Process &amp; Database]]-1)</f>
        <v>#VALUE!</v>
      </c>
      <c r="BK221" s="104" t="e">
        <f ca="1">_05preva_view43[Folder Path1]&amp;"Process &amp; Database\Documentation\Colo Applications"</f>
        <v>#VALUE!</v>
      </c>
      <c r="BL221" s="104" t="e">
        <f ca="1">_05preva_view43[Folder Path2]&amp;"\Colo App "&amp;_05preva_view43[[#This Row],[Operator]]&amp;"\"</f>
        <v>#VALUE!</v>
      </c>
      <c r="BM221" s="63" t="e">
        <f ca="1">_05preva_view43[[#This Row],[Folder Path3]]&amp;_05preva_view43[[#This Row],[File Name]]</f>
        <v>#VALUE!</v>
      </c>
      <c r="BN221" s="104"/>
      <c r="CF221" s="5"/>
      <c r="CG221" s="5"/>
      <c r="CH221" s="3"/>
      <c r="CJ221" s="5"/>
      <c r="CN221" s="3"/>
      <c r="CO221" s="3"/>
      <c r="CP221" s="5"/>
      <c r="CR221" s="3"/>
      <c r="DN221" s="5"/>
      <c r="DP221" s="3"/>
      <c r="EB221" s="7"/>
      <c r="EC221" s="7"/>
      <c r="EF221" s="4"/>
      <c r="EG221" s="4"/>
      <c r="EQ221" s="2"/>
      <c r="ER221" s="2"/>
    </row>
    <row r="222" spans="1:148">
      <c r="A222" s="227">
        <v>3396</v>
      </c>
      <c r="B222" s="228" t="s">
        <v>683</v>
      </c>
      <c r="C222" s="228" t="s">
        <v>278</v>
      </c>
      <c r="D222" s="228" t="s">
        <v>127</v>
      </c>
      <c r="E222" s="228" t="s">
        <v>684</v>
      </c>
      <c r="F222" s="228" t="s">
        <v>35</v>
      </c>
      <c r="G222" s="228" t="s">
        <v>1292</v>
      </c>
      <c r="H222" s="228" t="s">
        <v>1285</v>
      </c>
      <c r="I222" s="228" t="s">
        <v>790</v>
      </c>
      <c r="J222" s="228" t="s">
        <v>727</v>
      </c>
      <c r="K222" s="229">
        <v>43409</v>
      </c>
      <c r="L222" s="230"/>
      <c r="M222" s="230">
        <v>5.1470000000000002</v>
      </c>
      <c r="N222" s="228">
        <v>4.3600000000000003</v>
      </c>
      <c r="O222" s="228" t="s">
        <v>687</v>
      </c>
      <c r="P222" s="231" t="s">
        <v>597</v>
      </c>
      <c r="Q222" s="231" t="s">
        <v>688</v>
      </c>
      <c r="R222" s="228" t="s">
        <v>24</v>
      </c>
      <c r="S222" s="228"/>
      <c r="T222" s="232" t="s">
        <v>615</v>
      </c>
      <c r="U222" s="228"/>
      <c r="V222" s="232" t="s">
        <v>615</v>
      </c>
      <c r="W222" s="228"/>
      <c r="X222" s="232" t="s">
        <v>120</v>
      </c>
      <c r="Y222" s="228" t="s">
        <v>886</v>
      </c>
      <c r="Z222" s="233" t="s">
        <v>120</v>
      </c>
      <c r="AA222" s="234"/>
      <c r="AB222" s="234"/>
      <c r="AC222" s="235" t="s">
        <v>123</v>
      </c>
      <c r="AD222" s="228" t="s">
        <v>887</v>
      </c>
      <c r="AE222" s="232"/>
      <c r="AF222" s="229"/>
      <c r="AG222" s="236"/>
      <c r="AH222" s="236"/>
      <c r="AI222" s="228"/>
      <c r="AJ222" s="232"/>
      <c r="AK222" s="228"/>
      <c r="AL222" s="228"/>
      <c r="AM222" s="232"/>
      <c r="AN222" s="228"/>
      <c r="AO222" s="228"/>
      <c r="AP222" s="237"/>
      <c r="AQ222" s="228"/>
      <c r="AR222" s="232"/>
      <c r="AS222" s="228"/>
      <c r="AT222" s="229"/>
      <c r="AU222" s="229"/>
      <c r="AV222" s="229"/>
      <c r="AW222" s="229"/>
      <c r="AX222" s="229"/>
      <c r="AY222" s="229"/>
      <c r="AZ222" s="238">
        <v>43409</v>
      </c>
      <c r="BA222" s="1" t="s">
        <v>7684</v>
      </c>
      <c r="BB222">
        <v>130</v>
      </c>
      <c r="BC222">
        <v>56</v>
      </c>
      <c r="BD222">
        <v>3025</v>
      </c>
      <c r="BE22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22" s="240">
        <f>COUNTIFS(_05preva_view43[Site ID],_05preva_view43[[#This Row],[Site ID]],_05preva_view43[Prevalidation Status],"Under Prevalidation")</f>
        <v>0</v>
      </c>
      <c r="BG22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2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3.xlsx</v>
      </c>
      <c r="BI222" s="64" t="e">
        <f t="shared" ca="1" si="4"/>
        <v>#VALUE!</v>
      </c>
      <c r="BJ222" s="104" t="e">
        <f ca="1">LEFT(CELL("filename",A207),_05preva_view43[[#This Row],[Find Process &amp; Database]]-1)</f>
        <v>#VALUE!</v>
      </c>
      <c r="BK222" s="104" t="e">
        <f ca="1">_05preva_view43[Folder Path1]&amp;"Process &amp; Database\Documentation\Colo Applications"</f>
        <v>#VALUE!</v>
      </c>
      <c r="BL222" s="104" t="e">
        <f ca="1">_05preva_view43[Folder Path2]&amp;"\Colo App "&amp;_05preva_view43[[#This Row],[Operator]]&amp;"\"</f>
        <v>#VALUE!</v>
      </c>
      <c r="BM222" s="63" t="e">
        <f ca="1">_05preva_view43[[#This Row],[Folder Path3]]&amp;_05preva_view43[[#This Row],[File Name]]</f>
        <v>#VALUE!</v>
      </c>
      <c r="BN222" s="104"/>
      <c r="CF222" s="5"/>
      <c r="CG222" s="5"/>
      <c r="CH222" s="3"/>
      <c r="CJ222" s="5"/>
      <c r="CN222" s="3"/>
      <c r="CO222" s="3"/>
      <c r="CP222" s="5"/>
      <c r="CR222" s="3"/>
      <c r="DN222" s="5"/>
      <c r="DP222" s="3"/>
      <c r="EB222" s="7"/>
      <c r="EC222" s="7"/>
      <c r="EF222" s="4"/>
      <c r="EG222" s="4"/>
      <c r="EQ222" s="2"/>
      <c r="ER222" s="2"/>
    </row>
    <row r="223" spans="1:148">
      <c r="A223" s="227">
        <v>3397</v>
      </c>
      <c r="B223" s="228" t="s">
        <v>734</v>
      </c>
      <c r="C223" s="228" t="s">
        <v>278</v>
      </c>
      <c r="D223" s="228" t="s">
        <v>117</v>
      </c>
      <c r="E223" s="228" t="s">
        <v>735</v>
      </c>
      <c r="F223" s="228" t="s">
        <v>35</v>
      </c>
      <c r="G223" s="228" t="s">
        <v>1292</v>
      </c>
      <c r="H223" s="228" t="s">
        <v>1285</v>
      </c>
      <c r="I223" s="228" t="s">
        <v>888</v>
      </c>
      <c r="J223" s="228" t="s">
        <v>727</v>
      </c>
      <c r="K223" s="229">
        <v>43409</v>
      </c>
      <c r="L223" s="230"/>
      <c r="M223" s="230">
        <v>2.7</v>
      </c>
      <c r="N223" s="228">
        <v>3.5920000000000001</v>
      </c>
      <c r="O223" s="228" t="s">
        <v>687</v>
      </c>
      <c r="P223" s="231" t="s">
        <v>508</v>
      </c>
      <c r="Q223" s="231" t="s">
        <v>509</v>
      </c>
      <c r="R223" s="228" t="s">
        <v>24</v>
      </c>
      <c r="S223" s="228"/>
      <c r="T223" s="232" t="s">
        <v>615</v>
      </c>
      <c r="U223" s="228"/>
      <c r="V223" s="232" t="s">
        <v>615</v>
      </c>
      <c r="W223" s="228"/>
      <c r="X223" s="232" t="s">
        <v>120</v>
      </c>
      <c r="Y223" s="228" t="s">
        <v>889</v>
      </c>
      <c r="Z223" s="233" t="s">
        <v>120</v>
      </c>
      <c r="AA223" s="234"/>
      <c r="AB223" s="234"/>
      <c r="AC223" s="235" t="s">
        <v>123</v>
      </c>
      <c r="AD223" s="228" t="s">
        <v>890</v>
      </c>
      <c r="AE223" s="232" t="s">
        <v>615</v>
      </c>
      <c r="AF223" s="229"/>
      <c r="AG223" s="236"/>
      <c r="AH223" s="236"/>
      <c r="AI223" s="228"/>
      <c r="AJ223" s="232"/>
      <c r="AK223" s="228"/>
      <c r="AL223" s="228"/>
      <c r="AM223" s="232"/>
      <c r="AN223" s="228"/>
      <c r="AO223" s="228"/>
      <c r="AP223" s="237"/>
      <c r="AQ223" s="228"/>
      <c r="AR223" s="232"/>
      <c r="AS223" s="228"/>
      <c r="AT223" s="229"/>
      <c r="AU223" s="229"/>
      <c r="AV223" s="229"/>
      <c r="AW223" s="229"/>
      <c r="AX223" s="229"/>
      <c r="AY223" s="229"/>
      <c r="AZ223" s="238">
        <v>43409</v>
      </c>
      <c r="BA223" s="1" t="s">
        <v>7684</v>
      </c>
      <c r="BB223">
        <v>130</v>
      </c>
      <c r="BC223">
        <v>45</v>
      </c>
      <c r="BD223">
        <v>3052</v>
      </c>
      <c r="BE22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23" s="240">
        <f>COUNTIFS(_05preva_view43[Site ID],_05preva_view43[[#This Row],[Site ID]],_05preva_view43[Prevalidation Status],"Under Prevalidation")</f>
        <v>0</v>
      </c>
      <c r="BG22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3" s="242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I223" s="64" t="e">
        <f t="shared" ca="1" si="4"/>
        <v>#VALUE!</v>
      </c>
      <c r="BJ223" s="104" t="e">
        <f ca="1">LEFT(CELL("filename",A208),_05preva_view43[[#This Row],[Find Process &amp; Database]]-1)</f>
        <v>#VALUE!</v>
      </c>
      <c r="BK223" s="104" t="e">
        <f ca="1">_05preva_view43[Folder Path1]&amp;"Process &amp; Database\Documentation\Colo Applications"</f>
        <v>#VALUE!</v>
      </c>
      <c r="BL223" s="104" t="e">
        <f ca="1">_05preva_view43[Folder Path2]&amp;"\Colo App "&amp;_05preva_view43[[#This Row],[Operator]]&amp;"\"</f>
        <v>#VALUE!</v>
      </c>
      <c r="BM223" s="63" t="e">
        <f ca="1">_05preva_view43[[#This Row],[Folder Path3]]&amp;_05preva_view43[[#This Row],[File Name]]</f>
        <v>#VALUE!</v>
      </c>
      <c r="BN223" s="104"/>
      <c r="CF223" s="5"/>
      <c r="CG223" s="5"/>
      <c r="CH223" s="3"/>
      <c r="CJ223" s="5"/>
      <c r="CN223" s="3"/>
      <c r="CO223" s="3"/>
      <c r="CP223" s="5"/>
      <c r="CR223" s="3"/>
      <c r="DN223" s="5"/>
      <c r="DP223" s="3"/>
      <c r="EB223" s="7"/>
      <c r="EC223" s="7"/>
      <c r="EF223" s="4"/>
      <c r="EG223" s="4"/>
      <c r="EQ223" s="2"/>
      <c r="ER223" s="2"/>
    </row>
    <row r="224" spans="1:148">
      <c r="A224" s="227">
        <v>3398</v>
      </c>
      <c r="B224" s="228" t="s">
        <v>891</v>
      </c>
      <c r="C224" s="228" t="s">
        <v>278</v>
      </c>
      <c r="D224" s="228" t="s">
        <v>127</v>
      </c>
      <c r="E224" s="228" t="s">
        <v>892</v>
      </c>
      <c r="F224" s="228" t="s">
        <v>35</v>
      </c>
      <c r="G224" s="228" t="s">
        <v>1292</v>
      </c>
      <c r="H224" s="228" t="s">
        <v>1285</v>
      </c>
      <c r="I224" s="228" t="s">
        <v>790</v>
      </c>
      <c r="J224" s="228" t="s">
        <v>686</v>
      </c>
      <c r="K224" s="229">
        <v>43409</v>
      </c>
      <c r="L224" s="230"/>
      <c r="M224" s="230">
        <v>3.5489999999999999</v>
      </c>
      <c r="N224" s="228">
        <v>7.0659999999999998</v>
      </c>
      <c r="O224" s="228" t="s">
        <v>687</v>
      </c>
      <c r="P224" s="231" t="s">
        <v>695</v>
      </c>
      <c r="Q224" s="231" t="s">
        <v>696</v>
      </c>
      <c r="R224" s="228" t="s">
        <v>24</v>
      </c>
      <c r="S224" s="228"/>
      <c r="T224" s="232" t="s">
        <v>615</v>
      </c>
      <c r="U224" s="228"/>
      <c r="V224" s="232" t="s">
        <v>615</v>
      </c>
      <c r="W224" s="228"/>
      <c r="X224" s="232" t="s">
        <v>120</v>
      </c>
      <c r="Y224" s="228" t="s">
        <v>893</v>
      </c>
      <c r="Z224" s="233" t="s">
        <v>120</v>
      </c>
      <c r="AA224" s="234"/>
      <c r="AB224" s="234"/>
      <c r="AC224" s="235" t="s">
        <v>123</v>
      </c>
      <c r="AD224" s="228" t="s">
        <v>894</v>
      </c>
      <c r="AE224" s="232" t="s">
        <v>615</v>
      </c>
      <c r="AF224" s="229"/>
      <c r="AG224" s="236"/>
      <c r="AH224" s="236"/>
      <c r="AI224" s="228"/>
      <c r="AJ224" s="232"/>
      <c r="AK224" s="228"/>
      <c r="AL224" s="228"/>
      <c r="AM224" s="232"/>
      <c r="AN224" s="228"/>
      <c r="AO224" s="228"/>
      <c r="AP224" s="237"/>
      <c r="AQ224" s="228"/>
      <c r="AR224" s="232"/>
      <c r="AS224" s="228"/>
      <c r="AT224" s="229"/>
      <c r="AU224" s="229"/>
      <c r="AV224" s="229"/>
      <c r="AW224" s="229"/>
      <c r="AX224" s="229"/>
      <c r="AY224" s="229"/>
      <c r="AZ224" s="238">
        <v>43409</v>
      </c>
      <c r="BA224" s="1" t="s">
        <v>7684</v>
      </c>
      <c r="BB224">
        <v>130</v>
      </c>
      <c r="BC224">
        <v>60</v>
      </c>
      <c r="BD224">
        <v>3256</v>
      </c>
      <c r="BE22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24" s="240">
        <f>COUNTIFS(_05preva_view43[Site ID],_05preva_view43[[#This Row],[Site ID]],_05preva_view43[Prevalidation Status],"Under Prevalidation")</f>
        <v>0</v>
      </c>
      <c r="BG22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4" s="242" t="str">
        <f>CONCATENATE(_05preva_view43[[#This Row],[Site ID]]," (",_05preva_view43[[#This Row],[tenant id]],") Application",IF(_05preva_view43[[#This Row],[Colo Rev]]&gt;0," Rev "&amp;_05preva_view43[[#This Row],[Colo Rev]],""),".xlsx")</f>
        <v>1-01-10015-003 (MDY00347) Application Rev 2.xlsx</v>
      </c>
      <c r="BI224" s="64" t="e">
        <f t="shared" ca="1" si="4"/>
        <v>#VALUE!</v>
      </c>
      <c r="BJ224" s="104" t="e">
        <f ca="1">LEFT(CELL("filename",A209),_05preva_view43[[#This Row],[Find Process &amp; Database]]-1)</f>
        <v>#VALUE!</v>
      </c>
      <c r="BK224" s="104" t="e">
        <f ca="1">_05preva_view43[Folder Path1]&amp;"Process &amp; Database\Documentation\Colo Applications"</f>
        <v>#VALUE!</v>
      </c>
      <c r="BL224" s="104" t="e">
        <f ca="1">_05preva_view43[Folder Path2]&amp;"\Colo App "&amp;_05preva_view43[[#This Row],[Operator]]&amp;"\"</f>
        <v>#VALUE!</v>
      </c>
      <c r="BM224" s="63" t="e">
        <f ca="1">_05preva_view43[[#This Row],[Folder Path3]]&amp;_05preva_view43[[#This Row],[File Name]]</f>
        <v>#VALUE!</v>
      </c>
      <c r="BN224" s="104"/>
      <c r="CF224" s="5"/>
      <c r="CG224" s="5"/>
      <c r="CH224" s="3"/>
      <c r="CJ224" s="5"/>
      <c r="CN224" s="3"/>
      <c r="CO224" s="3"/>
      <c r="CP224" s="5"/>
      <c r="CR224" s="3"/>
      <c r="DN224" s="5"/>
      <c r="DP224" s="3"/>
      <c r="EB224" s="7"/>
      <c r="EC224" s="7"/>
      <c r="EF224" s="4"/>
      <c r="EG224" s="4"/>
      <c r="EQ224" s="2"/>
      <c r="ER224" s="2"/>
    </row>
    <row r="225" spans="1:148">
      <c r="A225" s="227">
        <v>3399</v>
      </c>
      <c r="B225" s="228" t="s">
        <v>895</v>
      </c>
      <c r="C225" s="228" t="s">
        <v>278</v>
      </c>
      <c r="D225" s="228" t="s">
        <v>127</v>
      </c>
      <c r="E225" s="228" t="s">
        <v>896</v>
      </c>
      <c r="F225" s="228" t="s">
        <v>35</v>
      </c>
      <c r="G225" s="228" t="s">
        <v>1292</v>
      </c>
      <c r="H225" s="228" t="s">
        <v>1285</v>
      </c>
      <c r="I225" s="228" t="s">
        <v>790</v>
      </c>
      <c r="J225" s="228" t="s">
        <v>668</v>
      </c>
      <c r="K225" s="229">
        <v>43409</v>
      </c>
      <c r="L225" s="230"/>
      <c r="M225" s="230">
        <v>3.649</v>
      </c>
      <c r="N225" s="228">
        <v>7</v>
      </c>
      <c r="O225" s="228" t="s">
        <v>687</v>
      </c>
      <c r="P225" s="231" t="s">
        <v>695</v>
      </c>
      <c r="Q225" s="231" t="s">
        <v>696</v>
      </c>
      <c r="R225" s="228" t="s">
        <v>24</v>
      </c>
      <c r="S225" s="228"/>
      <c r="T225" s="232" t="s">
        <v>615</v>
      </c>
      <c r="U225" s="228"/>
      <c r="V225" s="232" t="s">
        <v>615</v>
      </c>
      <c r="W225" s="228"/>
      <c r="X225" s="232" t="s">
        <v>120</v>
      </c>
      <c r="Y225" s="228" t="s">
        <v>897</v>
      </c>
      <c r="Z225" s="233" t="s">
        <v>120</v>
      </c>
      <c r="AA225" s="234"/>
      <c r="AB225" s="234"/>
      <c r="AC225" s="235" t="s">
        <v>123</v>
      </c>
      <c r="AD225" s="228" t="s">
        <v>898</v>
      </c>
      <c r="AE225" s="232" t="s">
        <v>615</v>
      </c>
      <c r="AF225" s="229"/>
      <c r="AG225" s="236"/>
      <c r="AH225" s="236"/>
      <c r="AI225" s="228"/>
      <c r="AJ225" s="232"/>
      <c r="AK225" s="228"/>
      <c r="AL225" s="228"/>
      <c r="AM225" s="232"/>
      <c r="AN225" s="228"/>
      <c r="AO225" s="228"/>
      <c r="AP225" s="237"/>
      <c r="AQ225" s="228"/>
      <c r="AR225" s="232"/>
      <c r="AS225" s="228"/>
      <c r="AT225" s="229"/>
      <c r="AU225" s="229"/>
      <c r="AV225" s="229"/>
      <c r="AW225" s="229"/>
      <c r="AX225" s="229"/>
      <c r="AY225" s="229"/>
      <c r="AZ225" s="238">
        <v>43409</v>
      </c>
      <c r="BA225" s="1" t="s">
        <v>7684</v>
      </c>
      <c r="BB225">
        <v>130</v>
      </c>
      <c r="BC225">
        <v>60</v>
      </c>
      <c r="BD225">
        <v>3027</v>
      </c>
      <c r="BE22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25" s="240">
        <f>COUNTIFS(_05preva_view43[Site ID],_05preva_view43[[#This Row],[Site ID]],_05preva_view43[Prevalidation Status],"Under Prevalidation")</f>
        <v>0</v>
      </c>
      <c r="BG22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5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1-01-05027-006 (SGG00225) Application Rev 1.xlsx</v>
      </c>
      <c r="BI225" s="64" t="e">
        <f t="shared" ca="1" si="4"/>
        <v>#VALUE!</v>
      </c>
      <c r="BJ225" s="104" t="e">
        <f ca="1">LEFT(CELL("filename",A210),_05preva_view43[[#This Row],[Find Process &amp; Database]]-1)</f>
        <v>#VALUE!</v>
      </c>
      <c r="BK225" s="104" t="e">
        <f ca="1">_05preva_view43[Folder Path1]&amp;"Process &amp; Database\Documentation\Colo Applications"</f>
        <v>#VALUE!</v>
      </c>
      <c r="BL225" s="104" t="e">
        <f ca="1">_05preva_view43[Folder Path2]&amp;"\Colo App "&amp;_05preva_view43[[#This Row],[Operator]]&amp;"\"</f>
        <v>#VALUE!</v>
      </c>
      <c r="BM225" s="63" t="e">
        <f ca="1">_05preva_view43[[#This Row],[Folder Path3]]&amp;_05preva_view43[[#This Row],[File Name]]</f>
        <v>#VALUE!</v>
      </c>
      <c r="BN225" s="104"/>
      <c r="CF225" s="5"/>
      <c r="CG225" s="5"/>
      <c r="CH225" s="3"/>
      <c r="CJ225" s="5"/>
      <c r="CN225" s="3"/>
      <c r="CO225" s="3"/>
      <c r="CP225" s="5"/>
      <c r="CR225" s="3"/>
      <c r="DN225" s="5"/>
      <c r="DP225" s="3"/>
      <c r="EB225" s="7"/>
      <c r="EC225" s="7"/>
      <c r="EF225" s="4"/>
      <c r="EG225" s="4"/>
      <c r="EQ225" s="2"/>
      <c r="ER225" s="2"/>
    </row>
    <row r="226" spans="1:148">
      <c r="A226" s="227">
        <v>3400</v>
      </c>
      <c r="B226" s="228" t="s">
        <v>855</v>
      </c>
      <c r="C226" s="228" t="s">
        <v>278</v>
      </c>
      <c r="D226" s="228" t="s">
        <v>127</v>
      </c>
      <c r="E226" s="228" t="s">
        <v>856</v>
      </c>
      <c r="F226" s="228" t="s">
        <v>35</v>
      </c>
      <c r="G226" s="228" t="s">
        <v>1292</v>
      </c>
      <c r="H226" s="228" t="s">
        <v>1285</v>
      </c>
      <c r="I226" s="228" t="s">
        <v>790</v>
      </c>
      <c r="J226" s="228" t="s">
        <v>727</v>
      </c>
      <c r="K226" s="229">
        <v>43409</v>
      </c>
      <c r="L226" s="230"/>
      <c r="M226" s="230">
        <v>3.6110000000000002</v>
      </c>
      <c r="N226" s="228">
        <v>5.5419999999999998</v>
      </c>
      <c r="O226" s="228" t="s">
        <v>687</v>
      </c>
      <c r="P226" s="231" t="s">
        <v>858</v>
      </c>
      <c r="Q226" s="231" t="s">
        <v>859</v>
      </c>
      <c r="R226" s="228" t="s">
        <v>24</v>
      </c>
      <c r="S226" s="228"/>
      <c r="T226" s="232" t="s">
        <v>615</v>
      </c>
      <c r="U226" s="228"/>
      <c r="V226" s="232" t="s">
        <v>615</v>
      </c>
      <c r="W226" s="228"/>
      <c r="X226" s="232" t="s">
        <v>120</v>
      </c>
      <c r="Y226" s="228" t="s">
        <v>899</v>
      </c>
      <c r="Z226" s="233" t="s">
        <v>120</v>
      </c>
      <c r="AA226" s="234"/>
      <c r="AB226" s="234"/>
      <c r="AC226" s="235" t="s">
        <v>123</v>
      </c>
      <c r="AD226" s="228" t="s">
        <v>900</v>
      </c>
      <c r="AE226" s="232"/>
      <c r="AF226" s="229"/>
      <c r="AG226" s="236"/>
      <c r="AH226" s="236"/>
      <c r="AI226" s="228"/>
      <c r="AJ226" s="232"/>
      <c r="AK226" s="228"/>
      <c r="AL226" s="228"/>
      <c r="AM226" s="232"/>
      <c r="AN226" s="228"/>
      <c r="AO226" s="228"/>
      <c r="AP226" s="237"/>
      <c r="AQ226" s="228"/>
      <c r="AR226" s="232"/>
      <c r="AS226" s="228"/>
      <c r="AT226" s="229"/>
      <c r="AU226" s="229"/>
      <c r="AV226" s="229"/>
      <c r="AW226" s="229"/>
      <c r="AX226" s="229"/>
      <c r="AY226" s="229"/>
      <c r="AZ226" s="238">
        <v>43409</v>
      </c>
      <c r="BA226" s="1" t="s">
        <v>7684</v>
      </c>
      <c r="BB226">
        <v>130</v>
      </c>
      <c r="BC226">
        <v>60</v>
      </c>
      <c r="BD226">
        <v>3221</v>
      </c>
      <c r="BE22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26" s="240">
        <f>COUNTIFS(_05preva_view43[Site ID],_05preva_view43[[#This Row],[Site ID]],_05preva_view43[Prevalidation Status],"Under Prevalidation")</f>
        <v>0</v>
      </c>
      <c r="BG22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6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3.xlsx</v>
      </c>
      <c r="BI226" s="64" t="e">
        <f t="shared" ca="1" si="4"/>
        <v>#VALUE!</v>
      </c>
      <c r="BJ226" s="104" t="e">
        <f ca="1">LEFT(CELL("filename",A211),_05preva_view43[[#This Row],[Find Process &amp; Database]]-1)</f>
        <v>#VALUE!</v>
      </c>
      <c r="BK226" s="104" t="e">
        <f ca="1">_05preva_view43[Folder Path1]&amp;"Process &amp; Database\Documentation\Colo Applications"</f>
        <v>#VALUE!</v>
      </c>
      <c r="BL226" s="104" t="e">
        <f ca="1">_05preva_view43[Folder Path2]&amp;"\Colo App "&amp;_05preva_view43[[#This Row],[Operator]]&amp;"\"</f>
        <v>#VALUE!</v>
      </c>
      <c r="BM226" s="63" t="e">
        <f ca="1">_05preva_view43[[#This Row],[Folder Path3]]&amp;_05preva_view43[[#This Row],[File Name]]</f>
        <v>#VALUE!</v>
      </c>
      <c r="BN226" s="104"/>
      <c r="CF226" s="5"/>
      <c r="CG226" s="5"/>
      <c r="CH226" s="3"/>
      <c r="CJ226" s="5"/>
      <c r="CN226" s="3"/>
      <c r="CO226" s="3"/>
      <c r="CP226" s="5"/>
      <c r="CR226" s="3"/>
      <c r="DN226" s="5"/>
      <c r="DP226" s="3"/>
      <c r="EB226" s="7"/>
      <c r="EC226" s="7"/>
      <c r="EF226" s="4"/>
      <c r="EG226" s="4"/>
      <c r="EQ226" s="2"/>
      <c r="ER226" s="2"/>
    </row>
    <row r="227" spans="1:148">
      <c r="A227" s="227">
        <v>3401</v>
      </c>
      <c r="B227" s="228" t="s">
        <v>901</v>
      </c>
      <c r="C227" s="228" t="s">
        <v>278</v>
      </c>
      <c r="D227" s="228" t="s">
        <v>127</v>
      </c>
      <c r="E227" s="228" t="s">
        <v>902</v>
      </c>
      <c r="F227" s="228" t="s">
        <v>35</v>
      </c>
      <c r="G227" s="228" t="s">
        <v>1292</v>
      </c>
      <c r="H227" s="228" t="s">
        <v>1285</v>
      </c>
      <c r="I227" s="228" t="s">
        <v>790</v>
      </c>
      <c r="J227" s="228" t="s">
        <v>668</v>
      </c>
      <c r="K227" s="229">
        <v>43409</v>
      </c>
      <c r="L227" s="230"/>
      <c r="M227" s="230">
        <v>3.5489999999999999</v>
      </c>
      <c r="N227" s="228">
        <v>7.5</v>
      </c>
      <c r="O227" s="228" t="s">
        <v>687</v>
      </c>
      <c r="P227" s="231" t="s">
        <v>695</v>
      </c>
      <c r="Q227" s="231" t="s">
        <v>696</v>
      </c>
      <c r="R227" s="228" t="s">
        <v>24</v>
      </c>
      <c r="S227" s="228"/>
      <c r="T227" s="232" t="s">
        <v>615</v>
      </c>
      <c r="U227" s="228"/>
      <c r="V227" s="232" t="s">
        <v>615</v>
      </c>
      <c r="W227" s="228"/>
      <c r="X227" s="232" t="s">
        <v>120</v>
      </c>
      <c r="Y227" s="228" t="s">
        <v>903</v>
      </c>
      <c r="Z227" s="233" t="s">
        <v>120</v>
      </c>
      <c r="AA227" s="234"/>
      <c r="AB227" s="234"/>
      <c r="AC227" s="235" t="s">
        <v>123</v>
      </c>
      <c r="AD227" s="228" t="s">
        <v>1038</v>
      </c>
      <c r="AE227" s="232" t="s">
        <v>120</v>
      </c>
      <c r="AF227" s="229" t="s">
        <v>904</v>
      </c>
      <c r="AG227" s="236"/>
      <c r="AH227" s="236">
        <v>1.6</v>
      </c>
      <c r="AI227" s="228" t="s">
        <v>905</v>
      </c>
      <c r="AJ227" s="232" t="s">
        <v>120</v>
      </c>
      <c r="AK227" s="228"/>
      <c r="AL227" s="228"/>
      <c r="AM227" s="232"/>
      <c r="AN227" s="228"/>
      <c r="AO227" s="228"/>
      <c r="AP227" s="237"/>
      <c r="AQ227" s="228"/>
      <c r="AR227" s="232"/>
      <c r="AS227" s="228"/>
      <c r="AT227" s="229">
        <v>43417.622366782402</v>
      </c>
      <c r="AU227" s="229">
        <v>43419.752466435202</v>
      </c>
      <c r="AV227" s="229">
        <v>43444.480745023102</v>
      </c>
      <c r="AW227" s="229">
        <v>43431.631280439797</v>
      </c>
      <c r="AX227" s="229"/>
      <c r="AY227" s="229"/>
      <c r="AZ227" s="238">
        <v>43444.489957175902</v>
      </c>
      <c r="BA227" s="1" t="s">
        <v>7684</v>
      </c>
      <c r="BB227">
        <v>130</v>
      </c>
      <c r="BC227">
        <v>60</v>
      </c>
      <c r="BD227">
        <v>3445</v>
      </c>
      <c r="BE22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35.489957175901509</v>
      </c>
      <c r="BF227" s="240">
        <f>COUNTIFS(_05preva_view43[Site ID],_05preva_view43[[#This Row],[Site ID]],_05preva_view43[Prevalidation Status],"Under Prevalidation")</f>
        <v>0</v>
      </c>
      <c r="BG22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7" s="242" t="str">
        <f>CONCATENATE(_05preva_view43[[#This Row],[Site ID]]," (",_05preva_view43[[#This Row],[tenant id]],") Application",IF(_05preva_view43[[#This Row],[Colo Rev]]&gt;0," Rev "&amp;_05preva_view43[[#This Row],[Colo Rev]],""),".xlsx")</f>
        <v>1-01-05030-010 (SGG00149) Application Rev 1.xlsx</v>
      </c>
      <c r="BI227" s="64" t="e">
        <f t="shared" ca="1" si="4"/>
        <v>#VALUE!</v>
      </c>
      <c r="BJ227" s="104" t="e">
        <f ca="1">LEFT(CELL("filename",A212),_05preva_view43[[#This Row],[Find Process &amp; Database]]-1)</f>
        <v>#VALUE!</v>
      </c>
      <c r="BK227" s="104" t="e">
        <f ca="1">_05preva_view43[Folder Path1]&amp;"Process &amp; Database\Documentation\Colo Applications"</f>
        <v>#VALUE!</v>
      </c>
      <c r="BL227" s="104" t="e">
        <f ca="1">_05preva_view43[Folder Path2]&amp;"\Colo App "&amp;_05preva_view43[[#This Row],[Operator]]&amp;"\"</f>
        <v>#VALUE!</v>
      </c>
      <c r="BM227" s="63" t="e">
        <f ca="1">_05preva_view43[[#This Row],[Folder Path3]]&amp;_05preva_view43[[#This Row],[File Name]]</f>
        <v>#VALUE!</v>
      </c>
      <c r="BN227" s="104"/>
      <c r="CF227" s="5"/>
      <c r="CG227" s="5"/>
      <c r="CH227" s="3"/>
      <c r="CJ227" s="5"/>
      <c r="CN227" s="3"/>
      <c r="CO227" s="3"/>
      <c r="CP227" s="5"/>
      <c r="CR227" s="3"/>
      <c r="DN227" s="5"/>
      <c r="DP227" s="3"/>
      <c r="EB227" s="7"/>
      <c r="EC227" s="7"/>
      <c r="EF227" s="4"/>
      <c r="EG227" s="4"/>
      <c r="EQ227" s="2"/>
      <c r="ER227" s="2"/>
    </row>
    <row r="228" spans="1:148">
      <c r="A228" s="227">
        <v>3402</v>
      </c>
      <c r="B228" s="228" t="s">
        <v>906</v>
      </c>
      <c r="C228" s="228" t="s">
        <v>278</v>
      </c>
      <c r="D228" s="228" t="s">
        <v>153</v>
      </c>
      <c r="E228" s="228" t="s">
        <v>907</v>
      </c>
      <c r="F228" s="228" t="s">
        <v>35</v>
      </c>
      <c r="G228" s="228" t="s">
        <v>1293</v>
      </c>
      <c r="H228" s="228" t="s">
        <v>1290</v>
      </c>
      <c r="I228" s="228" t="s">
        <v>881</v>
      </c>
      <c r="J228" s="228" t="s">
        <v>677</v>
      </c>
      <c r="K228" s="229">
        <v>43409</v>
      </c>
      <c r="L228" s="230"/>
      <c r="M228" s="230">
        <v>3.3</v>
      </c>
      <c r="N228" s="228">
        <v>4.4400000000000004</v>
      </c>
      <c r="O228" s="228" t="s">
        <v>687</v>
      </c>
      <c r="P228" s="231" t="s">
        <v>695</v>
      </c>
      <c r="Q228" s="231" t="s">
        <v>696</v>
      </c>
      <c r="R228" s="228" t="s">
        <v>24</v>
      </c>
      <c r="S228" s="228"/>
      <c r="T228" s="232" t="s">
        <v>615</v>
      </c>
      <c r="U228" s="228"/>
      <c r="V228" s="232" t="s">
        <v>615</v>
      </c>
      <c r="W228" s="228"/>
      <c r="X228" s="232" t="s">
        <v>120</v>
      </c>
      <c r="Y228" s="228" t="s">
        <v>908</v>
      </c>
      <c r="Z228" s="233" t="s">
        <v>120</v>
      </c>
      <c r="AA228" s="234"/>
      <c r="AB228" s="234"/>
      <c r="AC228" s="235" t="s">
        <v>123</v>
      </c>
      <c r="AD228" s="228" t="s">
        <v>909</v>
      </c>
      <c r="AE228" s="232" t="s">
        <v>615</v>
      </c>
      <c r="AF228" s="229"/>
      <c r="AG228" s="236"/>
      <c r="AH228" s="236"/>
      <c r="AI228" s="228"/>
      <c r="AJ228" s="232"/>
      <c r="AK228" s="228"/>
      <c r="AL228" s="228"/>
      <c r="AM228" s="232"/>
      <c r="AN228" s="228"/>
      <c r="AO228" s="228" t="s">
        <v>120</v>
      </c>
      <c r="AP228" s="237"/>
      <c r="AQ228" s="228"/>
      <c r="AR228" s="232"/>
      <c r="AS228" s="228"/>
      <c r="AT228" s="229"/>
      <c r="AU228" s="229"/>
      <c r="AV228" s="229"/>
      <c r="AW228" s="229"/>
      <c r="AX228" s="229"/>
      <c r="AY228" s="229"/>
      <c r="AZ228" s="238">
        <v>43409</v>
      </c>
      <c r="BA228" s="1" t="s">
        <v>7684</v>
      </c>
      <c r="BB228">
        <v>195</v>
      </c>
      <c r="BC228">
        <v>60</v>
      </c>
      <c r="BD228">
        <v>2473</v>
      </c>
      <c r="BE22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28" s="240">
        <f>COUNTIFS(_05preva_view43[Site ID],_05preva_view43[[#This Row],[Site ID]],_05preva_view43[Prevalidation Status],"Under Prevalidation")</f>
        <v>0</v>
      </c>
      <c r="BG22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8" s="242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0.xlsx</v>
      </c>
      <c r="BI228" s="64" t="e">
        <f t="shared" ca="1" si="4"/>
        <v>#VALUE!</v>
      </c>
      <c r="BJ228" s="104" t="e">
        <f ca="1">LEFT(CELL("filename",A213),_05preva_view43[[#This Row],[Find Process &amp; Database]]-1)</f>
        <v>#VALUE!</v>
      </c>
      <c r="BK228" s="104" t="e">
        <f ca="1">_05preva_view43[Folder Path1]&amp;"Process &amp; Database\Documentation\Colo Applications"</f>
        <v>#VALUE!</v>
      </c>
      <c r="BL228" s="104" t="e">
        <f ca="1">_05preva_view43[Folder Path2]&amp;"\Colo App "&amp;_05preva_view43[[#This Row],[Operator]]&amp;"\"</f>
        <v>#VALUE!</v>
      </c>
      <c r="BM228" s="63" t="e">
        <f ca="1">_05preva_view43[[#This Row],[Folder Path3]]&amp;_05preva_view43[[#This Row],[File Name]]</f>
        <v>#VALUE!</v>
      </c>
      <c r="BN228" s="104"/>
      <c r="CF228" s="5"/>
      <c r="CG228" s="5"/>
      <c r="CH228" s="3"/>
      <c r="CJ228" s="5"/>
      <c r="CN228" s="3"/>
      <c r="CO228" s="3"/>
      <c r="CP228" s="5"/>
      <c r="CR228" s="3"/>
      <c r="DN228" s="5"/>
      <c r="DP228" s="3"/>
      <c r="EB228" s="7"/>
      <c r="EC228" s="7"/>
      <c r="EF228" s="4"/>
      <c r="EG228" s="4"/>
      <c r="EQ228" s="2"/>
      <c r="ER228" s="2"/>
    </row>
    <row r="229" spans="1:148">
      <c r="A229" s="227">
        <v>3392</v>
      </c>
      <c r="B229" s="228" t="s">
        <v>873</v>
      </c>
      <c r="C229" s="228" t="s">
        <v>278</v>
      </c>
      <c r="D229" s="228" t="s">
        <v>117</v>
      </c>
      <c r="E229" s="228" t="s">
        <v>874</v>
      </c>
      <c r="F229" s="228" t="s">
        <v>35</v>
      </c>
      <c r="G229" s="228" t="s">
        <v>1292</v>
      </c>
      <c r="H229" s="228" t="s">
        <v>1285</v>
      </c>
      <c r="I229" s="228" t="s">
        <v>875</v>
      </c>
      <c r="J229" s="228" t="s">
        <v>727</v>
      </c>
      <c r="K229" s="229">
        <v>43405</v>
      </c>
      <c r="L229" s="230"/>
      <c r="M229" s="230">
        <v>2.1</v>
      </c>
      <c r="N229" s="228">
        <v>2.1989999999999998</v>
      </c>
      <c r="O229" s="228" t="s">
        <v>687</v>
      </c>
      <c r="P229" s="231" t="s">
        <v>695</v>
      </c>
      <c r="Q229" s="231" t="s">
        <v>696</v>
      </c>
      <c r="R229" s="228" t="s">
        <v>24</v>
      </c>
      <c r="S229" s="228"/>
      <c r="T229" s="232" t="s">
        <v>615</v>
      </c>
      <c r="U229" s="228"/>
      <c r="V229" s="232" t="s">
        <v>615</v>
      </c>
      <c r="W229" s="228"/>
      <c r="X229" s="232" t="s">
        <v>120</v>
      </c>
      <c r="Y229" s="228" t="s">
        <v>876</v>
      </c>
      <c r="Z229" s="233" t="s">
        <v>120</v>
      </c>
      <c r="AA229" s="234"/>
      <c r="AB229" s="234"/>
      <c r="AC229" s="235" t="s">
        <v>123</v>
      </c>
      <c r="AD229" s="228" t="s">
        <v>877</v>
      </c>
      <c r="AE229" s="232" t="s">
        <v>125</v>
      </c>
      <c r="AF229" s="229"/>
      <c r="AG229" s="236"/>
      <c r="AH229" s="236"/>
      <c r="AI229" s="228" t="s">
        <v>835</v>
      </c>
      <c r="AJ229" s="232"/>
      <c r="AK229" s="228"/>
      <c r="AL229" s="228"/>
      <c r="AM229" s="232"/>
      <c r="AN229" s="228"/>
      <c r="AO229" s="228"/>
      <c r="AP229" s="237"/>
      <c r="AQ229" s="228"/>
      <c r="AR229" s="232"/>
      <c r="AS229" s="228"/>
      <c r="AT229" s="229"/>
      <c r="AU229" s="229"/>
      <c r="AV229" s="229"/>
      <c r="AW229" s="229"/>
      <c r="AX229" s="229"/>
      <c r="AY229" s="229"/>
      <c r="AZ229" s="238">
        <v>43405</v>
      </c>
      <c r="BA229" s="1" t="s">
        <v>7684</v>
      </c>
      <c r="BB229">
        <v>130</v>
      </c>
      <c r="BC229">
        <v>60</v>
      </c>
      <c r="BD229">
        <v>3564</v>
      </c>
      <c r="BE22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29" s="240">
        <f>COUNTIFS(_05preva_view43[Site ID],_05preva_view43[[#This Row],[Site ID]],_05preva_view43[Prevalidation Status],"Under Prevalidation")</f>
        <v>0</v>
      </c>
      <c r="BG22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29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3.xlsx</v>
      </c>
      <c r="BI229" s="64" t="e">
        <f t="shared" ca="1" si="4"/>
        <v>#VALUE!</v>
      </c>
      <c r="BJ229" s="104" t="e">
        <f ca="1">LEFT(CELL("filename",A214),_05preva_view43[[#This Row],[Find Process &amp; Database]]-1)</f>
        <v>#VALUE!</v>
      </c>
      <c r="BK229" s="104" t="e">
        <f ca="1">_05preva_view43[Folder Path1]&amp;"Process &amp; Database\Documentation\Colo Applications"</f>
        <v>#VALUE!</v>
      </c>
      <c r="BL229" s="104" t="e">
        <f ca="1">_05preva_view43[Folder Path2]&amp;"\Colo App "&amp;_05preva_view43[[#This Row],[Operator]]&amp;"\"</f>
        <v>#VALUE!</v>
      </c>
      <c r="BM229" s="63" t="e">
        <f ca="1">_05preva_view43[[#This Row],[Folder Path3]]&amp;_05preva_view43[[#This Row],[File Name]]</f>
        <v>#VALUE!</v>
      </c>
      <c r="BN229" s="104"/>
      <c r="CF229" s="5"/>
      <c r="CG229" s="5"/>
      <c r="CH229" s="3"/>
      <c r="CJ229" s="5"/>
      <c r="CN229" s="3"/>
      <c r="CO229" s="3"/>
      <c r="CP229" s="5"/>
      <c r="CR229" s="3"/>
      <c r="DN229" s="5"/>
      <c r="DP229" s="3"/>
      <c r="EB229" s="7"/>
      <c r="EC229" s="7"/>
      <c r="EF229" s="4"/>
      <c r="EG229" s="4"/>
      <c r="EQ229" s="2"/>
      <c r="ER229" s="2"/>
    </row>
    <row r="230" spans="1:148">
      <c r="A230" s="227">
        <v>3390</v>
      </c>
      <c r="B230" s="228" t="s">
        <v>862</v>
      </c>
      <c r="C230" s="228" t="s">
        <v>278</v>
      </c>
      <c r="D230" s="228" t="s">
        <v>117</v>
      </c>
      <c r="E230" s="228" t="s">
        <v>863</v>
      </c>
      <c r="F230" s="228" t="s">
        <v>35</v>
      </c>
      <c r="G230" s="228" t="s">
        <v>1292</v>
      </c>
      <c r="H230" s="228" t="s">
        <v>1285</v>
      </c>
      <c r="I230" s="228" t="s">
        <v>864</v>
      </c>
      <c r="J230" s="228" t="s">
        <v>694</v>
      </c>
      <c r="K230" s="229">
        <v>43404</v>
      </c>
      <c r="L230" s="230"/>
      <c r="M230" s="230">
        <v>2.1</v>
      </c>
      <c r="N230" s="228">
        <v>2.66</v>
      </c>
      <c r="O230" s="228" t="s">
        <v>687</v>
      </c>
      <c r="P230" s="231" t="s">
        <v>695</v>
      </c>
      <c r="Q230" s="231" t="s">
        <v>696</v>
      </c>
      <c r="R230" s="228" t="s">
        <v>24</v>
      </c>
      <c r="S230" s="228"/>
      <c r="T230" s="232" t="s">
        <v>615</v>
      </c>
      <c r="U230" s="228"/>
      <c r="V230" s="232" t="s">
        <v>615</v>
      </c>
      <c r="W230" s="228"/>
      <c r="X230" s="232" t="s">
        <v>120</v>
      </c>
      <c r="Y230" s="228" t="s">
        <v>865</v>
      </c>
      <c r="Z230" s="233" t="s">
        <v>120</v>
      </c>
      <c r="AA230" s="234"/>
      <c r="AB230" s="234"/>
      <c r="AC230" s="235" t="s">
        <v>123</v>
      </c>
      <c r="AD230" s="228" t="s">
        <v>866</v>
      </c>
      <c r="AE230" s="232" t="s">
        <v>125</v>
      </c>
      <c r="AF230" s="229"/>
      <c r="AG230" s="236"/>
      <c r="AH230" s="236"/>
      <c r="AI230" s="228" t="s">
        <v>835</v>
      </c>
      <c r="AJ230" s="232" t="s">
        <v>615</v>
      </c>
      <c r="AK230" s="228"/>
      <c r="AL230" s="228"/>
      <c r="AM230" s="232"/>
      <c r="AN230" s="228"/>
      <c r="AO230" s="228"/>
      <c r="AP230" s="237"/>
      <c r="AQ230" s="228"/>
      <c r="AR230" s="232"/>
      <c r="AS230" s="228"/>
      <c r="AT230" s="229"/>
      <c r="AU230" s="229"/>
      <c r="AV230" s="229"/>
      <c r="AW230" s="229"/>
      <c r="AX230" s="229"/>
      <c r="AY230" s="229"/>
      <c r="AZ230" s="238">
        <v>43404</v>
      </c>
      <c r="BA230" s="1" t="s">
        <v>7684</v>
      </c>
      <c r="BB230">
        <v>130</v>
      </c>
      <c r="BC230">
        <v>60</v>
      </c>
      <c r="BD230">
        <v>3079</v>
      </c>
      <c r="BE23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30" s="240">
        <f>COUNTIFS(_05preva_view43[Site ID],_05preva_view43[[#This Row],[Site ID]],_05preva_view43[Prevalidation Status],"Under Prevalidation")</f>
        <v>0</v>
      </c>
      <c r="BG23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0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1-01-14007-007 (SHS00221) Application Rev 4.xlsx</v>
      </c>
      <c r="BI230" s="64" t="e">
        <f t="shared" ca="1" si="4"/>
        <v>#VALUE!</v>
      </c>
      <c r="BJ230" s="104" t="e">
        <f ca="1">LEFT(CELL("filename",A215),_05preva_view43[[#This Row],[Find Process &amp; Database]]-1)</f>
        <v>#VALUE!</v>
      </c>
      <c r="BK230" s="104" t="e">
        <f ca="1">_05preva_view43[Folder Path1]&amp;"Process &amp; Database\Documentation\Colo Applications"</f>
        <v>#VALUE!</v>
      </c>
      <c r="BL230" s="104" t="e">
        <f ca="1">_05preva_view43[Folder Path2]&amp;"\Colo App "&amp;_05preva_view43[[#This Row],[Operator]]&amp;"\"</f>
        <v>#VALUE!</v>
      </c>
      <c r="BM230" s="63" t="e">
        <f ca="1">_05preva_view43[[#This Row],[Folder Path3]]&amp;_05preva_view43[[#This Row],[File Name]]</f>
        <v>#VALUE!</v>
      </c>
      <c r="BN230" s="104"/>
      <c r="CF230" s="5"/>
      <c r="CG230" s="5"/>
      <c r="CH230" s="3"/>
      <c r="CJ230" s="5"/>
      <c r="CN230" s="3"/>
      <c r="CO230" s="3"/>
      <c r="CP230" s="5"/>
      <c r="CR230" s="3"/>
      <c r="DN230" s="5"/>
      <c r="DP230" s="3"/>
      <c r="EB230" s="7"/>
      <c r="EC230" s="7"/>
      <c r="EF230" s="4"/>
      <c r="EG230" s="4"/>
      <c r="EQ230" s="2"/>
      <c r="ER230" s="2"/>
    </row>
    <row r="231" spans="1:148">
      <c r="A231" s="227">
        <v>3391</v>
      </c>
      <c r="B231" s="228" t="s">
        <v>867</v>
      </c>
      <c r="C231" s="228" t="s">
        <v>116</v>
      </c>
      <c r="D231" s="228" t="s">
        <v>153</v>
      </c>
      <c r="E231" s="228" t="s">
        <v>868</v>
      </c>
      <c r="F231" s="228" t="s">
        <v>35</v>
      </c>
      <c r="G231" s="228" t="s">
        <v>1287</v>
      </c>
      <c r="H231" s="228" t="s">
        <v>1285</v>
      </c>
      <c r="I231" s="228" t="s">
        <v>857</v>
      </c>
      <c r="J231" s="228" t="s">
        <v>668</v>
      </c>
      <c r="K231" s="229">
        <v>43404</v>
      </c>
      <c r="L231" s="230"/>
      <c r="M231" s="230">
        <v>1.8</v>
      </c>
      <c r="N231" s="228">
        <v>3.66</v>
      </c>
      <c r="O231" s="228" t="s">
        <v>119</v>
      </c>
      <c r="P231" s="231" t="s">
        <v>869</v>
      </c>
      <c r="Q231" s="231" t="s">
        <v>870</v>
      </c>
      <c r="R231" s="228" t="s">
        <v>24</v>
      </c>
      <c r="S231" s="228"/>
      <c r="T231" s="232" t="s">
        <v>615</v>
      </c>
      <c r="U231" s="228"/>
      <c r="V231" s="232" t="s">
        <v>615</v>
      </c>
      <c r="W231" s="228"/>
      <c r="X231" s="232" t="s">
        <v>120</v>
      </c>
      <c r="Y231" s="228" t="s">
        <v>871</v>
      </c>
      <c r="Z231" s="233" t="s">
        <v>120</v>
      </c>
      <c r="AA231" s="234"/>
      <c r="AB231" s="234"/>
      <c r="AC231" s="235" t="s">
        <v>206</v>
      </c>
      <c r="AD231" s="228" t="s">
        <v>1036</v>
      </c>
      <c r="AE231" s="232" t="s">
        <v>120</v>
      </c>
      <c r="AF231" s="229" t="s">
        <v>639</v>
      </c>
      <c r="AG231" s="236"/>
      <c r="AH231" s="236"/>
      <c r="AI231" s="228" t="s">
        <v>872</v>
      </c>
      <c r="AJ231" s="232" t="s">
        <v>120</v>
      </c>
      <c r="AK231" s="228"/>
      <c r="AL231" s="228"/>
      <c r="AM231" s="232"/>
      <c r="AN231" s="228"/>
      <c r="AO231" s="228"/>
      <c r="AP231" s="237"/>
      <c r="AQ231" s="228"/>
      <c r="AR231" s="232"/>
      <c r="AS231" s="228"/>
      <c r="AT231" s="229">
        <v>43417.622365740703</v>
      </c>
      <c r="AU231" s="229">
        <v>43417.673062731497</v>
      </c>
      <c r="AV231" s="229">
        <v>43434.411177314803</v>
      </c>
      <c r="AW231" s="229">
        <v>43431.631279050896</v>
      </c>
      <c r="AX231" s="229"/>
      <c r="AY231" s="229"/>
      <c r="AZ231" s="238">
        <v>43434.411177314803</v>
      </c>
      <c r="BA231" s="1" t="s">
        <v>7684</v>
      </c>
      <c r="BB231">
        <v>195</v>
      </c>
      <c r="BC231">
        <v>35</v>
      </c>
      <c r="BD231">
        <v>1658</v>
      </c>
      <c r="BE231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30.411177314803354</v>
      </c>
      <c r="BF231" s="240">
        <f>COUNTIFS(_05preva_view43[Site ID],_05preva_view43[[#This Row],[Site ID]],_05preva_view43[Prevalidation Status],"Under Prevalidation")</f>
        <v>0</v>
      </c>
      <c r="BG23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1" s="242" t="str">
        <f>CONCATENATE(_05preva_view43[[#This Row],[Site ID]]," (",_05preva_view43[[#This Row],[tenant id]],") Application",IF(_05preva_view43[[#This Row],[Colo Rev]]&gt;0," Rev "&amp;_05preva_view43[[#This Row],[Colo Rev]],""),".xlsx")</f>
        <v>AYYN_0086 (YGN00788) Application Rev 1.xlsx</v>
      </c>
      <c r="BI231" s="64" t="e">
        <f t="shared" ca="1" si="4"/>
        <v>#VALUE!</v>
      </c>
      <c r="BJ231" s="104" t="e">
        <f ca="1">LEFT(CELL("filename",A216),_05preva_view43[[#This Row],[Find Process &amp; Database]]-1)</f>
        <v>#VALUE!</v>
      </c>
      <c r="BK231" s="104" t="e">
        <f ca="1">_05preva_view43[Folder Path1]&amp;"Process &amp; Database\Documentation\Colo Applications"</f>
        <v>#VALUE!</v>
      </c>
      <c r="BL231" s="104" t="e">
        <f ca="1">_05preva_view43[Folder Path2]&amp;"\Colo App "&amp;_05preva_view43[[#This Row],[Operator]]&amp;"\"</f>
        <v>#VALUE!</v>
      </c>
      <c r="BM231" s="63" t="e">
        <f ca="1">_05preva_view43[[#This Row],[Folder Path3]]&amp;_05preva_view43[[#This Row],[File Name]]</f>
        <v>#VALUE!</v>
      </c>
      <c r="BN231" s="104"/>
      <c r="CF231" s="5"/>
      <c r="CG231" s="5"/>
      <c r="CH231" s="3"/>
      <c r="CJ231" s="5"/>
      <c r="CN231" s="3"/>
      <c r="CO231" s="3"/>
      <c r="CP231" s="5"/>
      <c r="CR231" s="3"/>
      <c r="DN231" s="5"/>
      <c r="DP231" s="3"/>
      <c r="EB231" s="7"/>
      <c r="EC231" s="7"/>
      <c r="EF231" s="4"/>
      <c r="EG231" s="4"/>
      <c r="EQ231" s="2"/>
      <c r="ER231" s="2"/>
    </row>
    <row r="232" spans="1:148">
      <c r="A232" s="227">
        <v>3382</v>
      </c>
      <c r="B232" s="228" t="s">
        <v>826</v>
      </c>
      <c r="C232" s="228" t="s">
        <v>116</v>
      </c>
      <c r="D232" s="228" t="s">
        <v>127</v>
      </c>
      <c r="E232" s="228" t="s">
        <v>827</v>
      </c>
      <c r="F232" s="228" t="s">
        <v>35</v>
      </c>
      <c r="G232" s="228" t="s">
        <v>1287</v>
      </c>
      <c r="H232" s="228" t="s">
        <v>1285</v>
      </c>
      <c r="I232" s="228" t="s">
        <v>814</v>
      </c>
      <c r="J232" s="228" t="s">
        <v>828</v>
      </c>
      <c r="K232" s="229">
        <v>43403</v>
      </c>
      <c r="L232" s="230"/>
      <c r="M232" s="230">
        <v>1.8580000000000001</v>
      </c>
      <c r="N232" s="228">
        <v>6.774</v>
      </c>
      <c r="O232" s="228" t="s">
        <v>119</v>
      </c>
      <c r="P232" s="231" t="s">
        <v>655</v>
      </c>
      <c r="Q232" s="231" t="s">
        <v>669</v>
      </c>
      <c r="R232" s="228" t="s">
        <v>24</v>
      </c>
      <c r="S232" s="228"/>
      <c r="T232" s="232" t="s">
        <v>615</v>
      </c>
      <c r="U232" s="228"/>
      <c r="V232" s="232" t="s">
        <v>615</v>
      </c>
      <c r="W232" s="228"/>
      <c r="X232" s="232" t="s">
        <v>120</v>
      </c>
      <c r="Y232" s="228" t="s">
        <v>829</v>
      </c>
      <c r="Z232" s="233" t="s">
        <v>120</v>
      </c>
      <c r="AA232" s="234"/>
      <c r="AB232" s="234"/>
      <c r="AC232" s="235" t="s">
        <v>123</v>
      </c>
      <c r="AD232" s="228" t="s">
        <v>830</v>
      </c>
      <c r="AE232" s="232" t="s">
        <v>125</v>
      </c>
      <c r="AF232" s="229"/>
      <c r="AG232" s="236"/>
      <c r="AH232" s="236">
        <v>1</v>
      </c>
      <c r="AI232" s="228" t="s">
        <v>831</v>
      </c>
      <c r="AJ232" s="232"/>
      <c r="AK232" s="228"/>
      <c r="AL232" s="228"/>
      <c r="AM232" s="232"/>
      <c r="AN232" s="228"/>
      <c r="AO232" s="228"/>
      <c r="AP232" s="237"/>
      <c r="AQ232" s="228"/>
      <c r="AR232" s="232"/>
      <c r="AS232" s="228"/>
      <c r="AT232" s="229"/>
      <c r="AU232" s="229"/>
      <c r="AV232" s="229"/>
      <c r="AW232" s="229"/>
      <c r="AX232" s="229"/>
      <c r="AY232" s="229"/>
      <c r="AZ232" s="238">
        <v>43403</v>
      </c>
      <c r="BA232" s="1" t="s">
        <v>7684</v>
      </c>
      <c r="BB232"/>
      <c r="BC232">
        <v>50</v>
      </c>
      <c r="BD232">
        <v>658</v>
      </c>
      <c r="BE23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32" s="240">
        <f>COUNTIFS(_05preva_view43[Site ID],_05preva_view43[[#This Row],[Site ID]],_05preva_view43[Prevalidation Status],"Under Prevalidation")</f>
        <v>0</v>
      </c>
      <c r="BG23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2" s="242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.xlsx</v>
      </c>
      <c r="BI232" s="64" t="e">
        <f t="shared" ca="1" si="4"/>
        <v>#VALUE!</v>
      </c>
      <c r="BJ232" s="104" t="e">
        <f ca="1">LEFT(CELL("filename",A217),_05preva_view43[[#This Row],[Find Process &amp; Database]]-1)</f>
        <v>#VALUE!</v>
      </c>
      <c r="BK232" s="104" t="e">
        <f ca="1">_05preva_view43[Folder Path1]&amp;"Process &amp; Database\Documentation\Colo Applications"</f>
        <v>#VALUE!</v>
      </c>
      <c r="BL232" s="104" t="e">
        <f ca="1">_05preva_view43[Folder Path2]&amp;"\Colo App "&amp;_05preva_view43[[#This Row],[Operator]]&amp;"\"</f>
        <v>#VALUE!</v>
      </c>
      <c r="BM232" s="63" t="e">
        <f ca="1">_05preva_view43[[#This Row],[Folder Path3]]&amp;_05preva_view43[[#This Row],[File Name]]</f>
        <v>#VALUE!</v>
      </c>
      <c r="BN232" s="104"/>
      <c r="CF232" s="5"/>
      <c r="CG232" s="5"/>
      <c r="CH232" s="3"/>
      <c r="CJ232" s="5"/>
      <c r="CN232" s="3"/>
      <c r="CO232" s="3"/>
      <c r="CP232" s="5"/>
      <c r="CR232" s="3"/>
      <c r="DN232" s="5"/>
      <c r="DP232" s="3"/>
      <c r="EB232" s="7"/>
      <c r="EC232" s="7"/>
      <c r="EF232" s="4"/>
      <c r="EG232" s="4"/>
      <c r="EQ232" s="2"/>
      <c r="ER232" s="2"/>
    </row>
    <row r="233" spans="1:148">
      <c r="A233" s="227">
        <v>3383</v>
      </c>
      <c r="B233" s="228" t="s">
        <v>832</v>
      </c>
      <c r="C233" s="228" t="s">
        <v>278</v>
      </c>
      <c r="D233" s="228" t="s">
        <v>153</v>
      </c>
      <c r="E233" s="228" t="s">
        <v>833</v>
      </c>
      <c r="F233" s="228" t="s">
        <v>35</v>
      </c>
      <c r="G233" s="228" t="s">
        <v>1292</v>
      </c>
      <c r="H233" s="228" t="s">
        <v>1290</v>
      </c>
      <c r="I233" s="228" t="s">
        <v>814</v>
      </c>
      <c r="J233" s="228" t="s">
        <v>686</v>
      </c>
      <c r="K233" s="229">
        <v>43403</v>
      </c>
      <c r="L233" s="230"/>
      <c r="M233" s="230">
        <v>2.1</v>
      </c>
      <c r="N233" s="228">
        <v>2.08</v>
      </c>
      <c r="O233" s="228" t="s">
        <v>687</v>
      </c>
      <c r="P233" s="231" t="s">
        <v>705</v>
      </c>
      <c r="Q233" s="231" t="s">
        <v>706</v>
      </c>
      <c r="R233" s="228" t="s">
        <v>24</v>
      </c>
      <c r="S233" s="228"/>
      <c r="T233" s="232" t="s">
        <v>615</v>
      </c>
      <c r="U233" s="228"/>
      <c r="V233" s="232" t="s">
        <v>615</v>
      </c>
      <c r="W233" s="228"/>
      <c r="X233" s="232" t="s">
        <v>120</v>
      </c>
      <c r="Y233" s="228" t="s">
        <v>834</v>
      </c>
      <c r="Z233" s="233" t="s">
        <v>615</v>
      </c>
      <c r="AA233" s="234"/>
      <c r="AB233" s="234"/>
      <c r="AC233" s="235"/>
      <c r="AD233" s="228"/>
      <c r="AE233" s="232" t="s">
        <v>125</v>
      </c>
      <c r="AF233" s="229"/>
      <c r="AG233" s="236"/>
      <c r="AH233" s="236"/>
      <c r="AI233" s="228" t="s">
        <v>835</v>
      </c>
      <c r="AJ233" s="232" t="s">
        <v>615</v>
      </c>
      <c r="AK233" s="228"/>
      <c r="AL233" s="228"/>
      <c r="AM233" s="232"/>
      <c r="AN233" s="228"/>
      <c r="AO233" s="228"/>
      <c r="AP233" s="237"/>
      <c r="AQ233" s="228"/>
      <c r="AR233" s="232"/>
      <c r="AS233" s="228"/>
      <c r="AT233" s="229"/>
      <c r="AU233" s="229"/>
      <c r="AV233" s="229"/>
      <c r="AW233" s="229"/>
      <c r="AX233" s="229"/>
      <c r="AY233" s="229"/>
      <c r="AZ233" s="238">
        <v>43403</v>
      </c>
      <c r="BA233" s="1" t="s">
        <v>7684</v>
      </c>
      <c r="BB233">
        <v>160</v>
      </c>
      <c r="BC233">
        <v>60</v>
      </c>
      <c r="BD233">
        <v>2485</v>
      </c>
      <c r="BE23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33" s="240">
        <f>COUNTIFS(_05preva_view43[Site ID],_05preva_view43[[#This Row],[Site ID]],_05preva_view43[Prevalidation Status],"Under Prevalidation")</f>
        <v>0</v>
      </c>
      <c r="BG23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3" s="242" t="str">
        <f>CONCATENATE(_05preva_view43[[#This Row],[Site ID]]," (",_05preva_view43[[#This Row],[tenant id]],") Application",IF(_05preva_view43[[#This Row],[Colo Rev]]&gt;0," Rev "&amp;_05preva_view43[[#This Row],[Colo Rev]],""),".xlsx")</f>
        <v>1-01-13004-003 (YGN02146) Application Rev 2.xlsx</v>
      </c>
      <c r="BI233" s="64" t="e">
        <f t="shared" ca="1" si="4"/>
        <v>#VALUE!</v>
      </c>
      <c r="BJ233" s="104" t="e">
        <f ca="1">LEFT(CELL("filename",A218),_05preva_view43[[#This Row],[Find Process &amp; Database]]-1)</f>
        <v>#VALUE!</v>
      </c>
      <c r="BK233" s="104" t="e">
        <f ca="1">_05preva_view43[Folder Path1]&amp;"Process &amp; Database\Documentation\Colo Applications"</f>
        <v>#VALUE!</v>
      </c>
      <c r="BL233" s="104" t="e">
        <f ca="1">_05preva_view43[Folder Path2]&amp;"\Colo App "&amp;_05preva_view43[[#This Row],[Operator]]&amp;"\"</f>
        <v>#VALUE!</v>
      </c>
      <c r="BM233" s="63" t="e">
        <f ca="1">_05preva_view43[[#This Row],[Folder Path3]]&amp;_05preva_view43[[#This Row],[File Name]]</f>
        <v>#VALUE!</v>
      </c>
      <c r="BN233" s="104"/>
      <c r="CF233" s="5"/>
      <c r="CG233" s="5"/>
      <c r="CH233" s="3"/>
      <c r="CJ233" s="5"/>
      <c r="CN233" s="3"/>
      <c r="CO233" s="3"/>
      <c r="CP233" s="5"/>
      <c r="CR233" s="3"/>
      <c r="DN233" s="5"/>
      <c r="DP233" s="3"/>
      <c r="EB233" s="7"/>
      <c r="EC233" s="7"/>
      <c r="EF233" s="4"/>
      <c r="EG233" s="4"/>
      <c r="EQ233" s="2"/>
      <c r="ER233" s="2"/>
    </row>
    <row r="234" spans="1:148">
      <c r="A234" s="227">
        <v>3384</v>
      </c>
      <c r="B234" s="228" t="s">
        <v>836</v>
      </c>
      <c r="C234" s="228" t="s">
        <v>116</v>
      </c>
      <c r="D234" s="228" t="s">
        <v>153</v>
      </c>
      <c r="E234" s="228" t="s">
        <v>837</v>
      </c>
      <c r="F234" s="228" t="s">
        <v>35</v>
      </c>
      <c r="G234" s="228" t="s">
        <v>1287</v>
      </c>
      <c r="H234" s="228" t="s">
        <v>1285</v>
      </c>
      <c r="I234" s="228" t="s">
        <v>798</v>
      </c>
      <c r="J234" s="228" t="s">
        <v>828</v>
      </c>
      <c r="K234" s="229">
        <v>43403</v>
      </c>
      <c r="L234" s="230"/>
      <c r="M234" s="230">
        <v>1.8</v>
      </c>
      <c r="N234" s="228">
        <v>4.0350000000000001</v>
      </c>
      <c r="O234" s="228" t="s">
        <v>119</v>
      </c>
      <c r="P234" s="231" t="s">
        <v>240</v>
      </c>
      <c r="Q234" s="231" t="s">
        <v>241</v>
      </c>
      <c r="R234" s="228" t="s">
        <v>24</v>
      </c>
      <c r="S234" s="228"/>
      <c r="T234" s="232" t="s">
        <v>615</v>
      </c>
      <c r="U234" s="228"/>
      <c r="V234" s="232" t="s">
        <v>615</v>
      </c>
      <c r="W234" s="228"/>
      <c r="X234" s="232" t="s">
        <v>120</v>
      </c>
      <c r="Y234" s="228" t="s">
        <v>838</v>
      </c>
      <c r="Z234" s="233" t="s">
        <v>120</v>
      </c>
      <c r="AA234" s="234"/>
      <c r="AB234" s="234"/>
      <c r="AC234" s="235" t="s">
        <v>123</v>
      </c>
      <c r="AD234" s="228" t="s">
        <v>839</v>
      </c>
      <c r="AE234" s="232" t="s">
        <v>120</v>
      </c>
      <c r="AF234" s="229"/>
      <c r="AG234" s="236"/>
      <c r="AH234" s="236"/>
      <c r="AI234" s="228" t="s">
        <v>840</v>
      </c>
      <c r="AJ234" s="232"/>
      <c r="AK234" s="228"/>
      <c r="AL234" s="228"/>
      <c r="AM234" s="232"/>
      <c r="AN234" s="228"/>
      <c r="AO234" s="228"/>
      <c r="AP234" s="237"/>
      <c r="AQ234" s="228"/>
      <c r="AR234" s="232"/>
      <c r="AS234" s="228"/>
      <c r="AT234" s="229"/>
      <c r="AU234" s="229">
        <v>43453.3791269676</v>
      </c>
      <c r="AV234" s="229"/>
      <c r="AW234" s="229"/>
      <c r="AX234" s="229"/>
      <c r="AY234" s="229"/>
      <c r="AZ234" s="238">
        <v>43403</v>
      </c>
      <c r="BA234" s="1" t="s">
        <v>7684</v>
      </c>
      <c r="BB234">
        <v>160</v>
      </c>
      <c r="BC234">
        <v>60</v>
      </c>
      <c r="BD234">
        <v>219</v>
      </c>
      <c r="BE23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34" s="240">
        <f>COUNTIFS(_05preva_view43[Site ID],_05preva_view43[[#This Row],[Site ID]],_05preva_view43[Prevalidation Status],"Under Prevalidation")</f>
        <v>0</v>
      </c>
      <c r="BG23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4" s="242" t="str">
        <f>CONCATENATE(_05preva_view43[[#This Row],[Site ID]]," (",_05preva_view43[[#This Row],[tenant id]],") Application",IF(_05preva_view43[[#This Row],[Colo Rev]]&gt;0," Rev "&amp;_05preva_view43[[#This Row],[Colo Rev]],""),".xlsx")</f>
        <v>ACBA_0053 (YGN00594) Application Rev .xlsx</v>
      </c>
      <c r="BI234" s="64" t="e">
        <f t="shared" ca="1" si="4"/>
        <v>#VALUE!</v>
      </c>
      <c r="BJ234" s="104" t="e">
        <f ca="1">LEFT(CELL("filename",A219),_05preva_view43[[#This Row],[Find Process &amp; Database]]-1)</f>
        <v>#VALUE!</v>
      </c>
      <c r="BK234" s="104" t="e">
        <f ca="1">_05preva_view43[Folder Path1]&amp;"Process &amp; Database\Documentation\Colo Applications"</f>
        <v>#VALUE!</v>
      </c>
      <c r="BL234" s="104" t="e">
        <f ca="1">_05preva_view43[Folder Path2]&amp;"\Colo App "&amp;_05preva_view43[[#This Row],[Operator]]&amp;"\"</f>
        <v>#VALUE!</v>
      </c>
      <c r="BM234" s="63" t="e">
        <f ca="1">_05preva_view43[[#This Row],[Folder Path3]]&amp;_05preva_view43[[#This Row],[File Name]]</f>
        <v>#VALUE!</v>
      </c>
      <c r="BN234" s="104"/>
      <c r="CF234" s="5"/>
      <c r="CG234" s="5"/>
      <c r="CH234" s="3"/>
      <c r="CJ234" s="5"/>
      <c r="CN234" s="3"/>
      <c r="CO234" s="3"/>
      <c r="CP234" s="5"/>
      <c r="CR234" s="3"/>
      <c r="DN234" s="5"/>
      <c r="DP234" s="3"/>
      <c r="EB234" s="7"/>
      <c r="EC234" s="7"/>
      <c r="EF234" s="4"/>
      <c r="EG234" s="4"/>
      <c r="EQ234" s="2"/>
      <c r="ER234" s="2"/>
    </row>
    <row r="235" spans="1:148">
      <c r="A235" s="227">
        <v>3386</v>
      </c>
      <c r="B235" s="228" t="s">
        <v>841</v>
      </c>
      <c r="C235" s="228" t="s">
        <v>116</v>
      </c>
      <c r="D235" s="228" t="s">
        <v>127</v>
      </c>
      <c r="E235" s="228" t="s">
        <v>842</v>
      </c>
      <c r="F235" s="228" t="s">
        <v>35</v>
      </c>
      <c r="G235" s="228" t="s">
        <v>1287</v>
      </c>
      <c r="H235" s="228" t="s">
        <v>1285</v>
      </c>
      <c r="I235" s="228" t="s">
        <v>790</v>
      </c>
      <c r="J235" s="228" t="s">
        <v>828</v>
      </c>
      <c r="K235" s="229">
        <v>43403</v>
      </c>
      <c r="L235" s="230"/>
      <c r="M235" s="230">
        <v>3.7669999999999999</v>
      </c>
      <c r="N235" s="228">
        <v>7.3760000000000003</v>
      </c>
      <c r="O235" s="228" t="s">
        <v>119</v>
      </c>
      <c r="P235" s="231" t="s">
        <v>655</v>
      </c>
      <c r="Q235" s="231" t="s">
        <v>669</v>
      </c>
      <c r="R235" s="228" t="s">
        <v>24</v>
      </c>
      <c r="S235" s="228"/>
      <c r="T235" s="232" t="s">
        <v>615</v>
      </c>
      <c r="U235" s="228"/>
      <c r="V235" s="232" t="s">
        <v>125</v>
      </c>
      <c r="W235" s="228" t="s">
        <v>1035</v>
      </c>
      <c r="X235" s="232" t="s">
        <v>120</v>
      </c>
      <c r="Y235" s="228" t="s">
        <v>843</v>
      </c>
      <c r="Z235" s="233" t="s">
        <v>120</v>
      </c>
      <c r="AA235" s="234"/>
      <c r="AB235" s="234"/>
      <c r="AC235" s="235" t="s">
        <v>123</v>
      </c>
      <c r="AD235" s="228" t="s">
        <v>844</v>
      </c>
      <c r="AE235" s="232" t="s">
        <v>120</v>
      </c>
      <c r="AF235" s="229" t="s">
        <v>1441</v>
      </c>
      <c r="AG235" s="236"/>
      <c r="AH235" s="236">
        <v>2</v>
      </c>
      <c r="AI235" s="228" t="s">
        <v>845</v>
      </c>
      <c r="AJ235" s="232" t="s">
        <v>120</v>
      </c>
      <c r="AK235" s="228"/>
      <c r="AL235" s="228"/>
      <c r="AM235" s="232"/>
      <c r="AN235" s="228"/>
      <c r="AO235" s="228"/>
      <c r="AP235" s="237"/>
      <c r="AQ235" s="228"/>
      <c r="AR235" s="232"/>
      <c r="AS235" s="228"/>
      <c r="AT235" s="229">
        <v>43417.622362962997</v>
      </c>
      <c r="AU235" s="229">
        <v>43451.370448148104</v>
      </c>
      <c r="AV235" s="229">
        <v>43417.6800903935</v>
      </c>
      <c r="AW235" s="229">
        <v>43431.631276157401</v>
      </c>
      <c r="AX235" s="229"/>
      <c r="AY235" s="229"/>
      <c r="AZ235" s="238">
        <v>43452.7045149306</v>
      </c>
      <c r="BA235" s="1" t="s">
        <v>7684</v>
      </c>
      <c r="BB235">
        <v>130</v>
      </c>
      <c r="BC235">
        <v>60</v>
      </c>
      <c r="BD235">
        <v>627</v>
      </c>
      <c r="BE235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49.704514930599544</v>
      </c>
      <c r="BF235" s="240">
        <f>COUNTIFS(_05preva_view43[Site ID],_05preva_view43[[#This Row],[Site ID]],_05preva_view43[Prevalidation Status],"Under Prevalidation")</f>
        <v>0</v>
      </c>
      <c r="BG23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5" s="242" t="str">
        <f>CONCATENATE(_05preva_view43[[#This Row],[Site ID]]," (",_05preva_view43[[#This Row],[tenant id]],") Application",IF(_05preva_view43[[#This Row],[Colo Rev]]&gt;0," Rev "&amp;_05preva_view43[[#This Row],[Colo Rev]],""),".xlsx")</f>
        <v>ANSG_0463 (SGG00730) Application Rev .xlsx</v>
      </c>
      <c r="BI235" s="64" t="e">
        <f t="shared" ca="1" si="4"/>
        <v>#VALUE!</v>
      </c>
      <c r="BJ235" s="104" t="e">
        <f ca="1">LEFT(CELL("filename",A220),_05preva_view43[[#This Row],[Find Process &amp; Database]]-1)</f>
        <v>#VALUE!</v>
      </c>
      <c r="BK235" s="104" t="e">
        <f ca="1">_05preva_view43[Folder Path1]&amp;"Process &amp; Database\Documentation\Colo Applications"</f>
        <v>#VALUE!</v>
      </c>
      <c r="BL235" s="104" t="e">
        <f ca="1">_05preva_view43[Folder Path2]&amp;"\Colo App "&amp;_05preva_view43[[#This Row],[Operator]]&amp;"\"</f>
        <v>#VALUE!</v>
      </c>
      <c r="BM235" s="63" t="e">
        <f ca="1">_05preva_view43[[#This Row],[Folder Path3]]&amp;_05preva_view43[[#This Row],[File Name]]</f>
        <v>#VALUE!</v>
      </c>
      <c r="BN235" s="104"/>
      <c r="CF235" s="5"/>
      <c r="CG235" s="5"/>
      <c r="CH235" s="3"/>
      <c r="CJ235" s="5"/>
      <c r="CN235" s="3"/>
      <c r="CO235" s="3"/>
      <c r="CP235" s="5"/>
      <c r="CR235" s="3"/>
      <c r="DN235" s="5"/>
      <c r="DP235" s="3"/>
      <c r="EB235" s="7"/>
      <c r="EC235" s="7"/>
      <c r="EF235" s="4"/>
      <c r="EG235" s="4"/>
      <c r="EQ235" s="2"/>
      <c r="ER235" s="2"/>
    </row>
    <row r="236" spans="1:148">
      <c r="A236" s="227">
        <v>3387</v>
      </c>
      <c r="B236" s="228" t="s">
        <v>846</v>
      </c>
      <c r="C236" s="228" t="s">
        <v>116</v>
      </c>
      <c r="D236" s="228" t="s">
        <v>127</v>
      </c>
      <c r="E236" s="228" t="s">
        <v>847</v>
      </c>
      <c r="F236" s="228" t="s">
        <v>35</v>
      </c>
      <c r="G236" s="228" t="s">
        <v>1287</v>
      </c>
      <c r="H236" s="228" t="s">
        <v>1285</v>
      </c>
      <c r="I236" s="228" t="s">
        <v>790</v>
      </c>
      <c r="J236" s="228" t="s">
        <v>828</v>
      </c>
      <c r="K236" s="229">
        <v>43403</v>
      </c>
      <c r="L236" s="230"/>
      <c r="M236" s="230">
        <v>3.9470000000000001</v>
      </c>
      <c r="N236" s="228">
        <v>8.8360000000000003</v>
      </c>
      <c r="O236" s="228" t="s">
        <v>119</v>
      </c>
      <c r="P236" s="231" t="s">
        <v>655</v>
      </c>
      <c r="Q236" s="231" t="s">
        <v>669</v>
      </c>
      <c r="R236" s="228" t="s">
        <v>24</v>
      </c>
      <c r="S236" s="228"/>
      <c r="T236" s="232" t="s">
        <v>615</v>
      </c>
      <c r="U236" s="228"/>
      <c r="V236" s="232" t="s">
        <v>120</v>
      </c>
      <c r="W236" s="228"/>
      <c r="X236" s="232" t="s">
        <v>120</v>
      </c>
      <c r="Y236" s="228" t="s">
        <v>848</v>
      </c>
      <c r="Z236" s="233" t="s">
        <v>120</v>
      </c>
      <c r="AA236" s="234"/>
      <c r="AB236" s="234"/>
      <c r="AC236" s="235" t="s">
        <v>123</v>
      </c>
      <c r="AD236" s="228" t="s">
        <v>849</v>
      </c>
      <c r="AE236" s="232" t="s">
        <v>120</v>
      </c>
      <c r="AF236" s="229" t="s">
        <v>1465</v>
      </c>
      <c r="AG236" s="236"/>
      <c r="AH236" s="236">
        <v>1</v>
      </c>
      <c r="AI236" s="228" t="s">
        <v>850</v>
      </c>
      <c r="AJ236" s="232" t="s">
        <v>120</v>
      </c>
      <c r="AK236" s="228"/>
      <c r="AL236" s="228"/>
      <c r="AM236" s="232"/>
      <c r="AN236" s="228"/>
      <c r="AO236" s="228"/>
      <c r="AP236" s="237"/>
      <c r="AQ236" s="228"/>
      <c r="AR236" s="232"/>
      <c r="AS236" s="228"/>
      <c r="AT236" s="229">
        <v>43417.622364004601</v>
      </c>
      <c r="AU236" s="229">
        <v>43451.370448958303</v>
      </c>
      <c r="AV236" s="229">
        <v>43417.680090972201</v>
      </c>
      <c r="AW236" s="229">
        <v>43431.631277662003</v>
      </c>
      <c r="AX236" s="229"/>
      <c r="AY236" s="229">
        <v>43417.684614814803</v>
      </c>
      <c r="AZ236" s="238">
        <v>43451.389656018502</v>
      </c>
      <c r="BA236" s="1" t="s">
        <v>7684</v>
      </c>
      <c r="BB236"/>
      <c r="BC236">
        <v>50</v>
      </c>
      <c r="BD236">
        <v>640</v>
      </c>
      <c r="BE23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48.389656018502137</v>
      </c>
      <c r="BF236" s="240">
        <f>COUNTIFS(_05preva_view43[Site ID],_05preva_view43[[#This Row],[Site ID]],_05preva_view43[Prevalidation Status],"Under Prevalidation")</f>
        <v>0</v>
      </c>
      <c r="BG23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6" s="242" t="str">
        <f>CONCATENATE(_05preva_view43[[#This Row],[Site ID]]," (",_05preva_view43[[#This Row],[tenant id]],") Application",IF(_05preva_view43[[#This Row],[Colo Rev]]&gt;0," Rev "&amp;_05preva_view43[[#This Row],[Colo Rev]],""),".xlsx")</f>
        <v>ANSG_0485 (SGG00698) Application Rev .xlsx</v>
      </c>
      <c r="BI236" s="64" t="e">
        <f t="shared" ca="1" si="4"/>
        <v>#VALUE!</v>
      </c>
      <c r="BJ236" s="104" t="e">
        <f ca="1">LEFT(CELL("filename",A221),_05preva_view43[[#This Row],[Find Process &amp; Database]]-1)</f>
        <v>#VALUE!</v>
      </c>
      <c r="BK236" s="104" t="e">
        <f ca="1">_05preva_view43[Folder Path1]&amp;"Process &amp; Database\Documentation\Colo Applications"</f>
        <v>#VALUE!</v>
      </c>
      <c r="BL236" s="104" t="e">
        <f ca="1">_05preva_view43[Folder Path2]&amp;"\Colo App "&amp;_05preva_view43[[#This Row],[Operator]]&amp;"\"</f>
        <v>#VALUE!</v>
      </c>
      <c r="BM236" s="63" t="e">
        <f ca="1">_05preva_view43[[#This Row],[Folder Path3]]&amp;_05preva_view43[[#This Row],[File Name]]</f>
        <v>#VALUE!</v>
      </c>
      <c r="BN236" s="104"/>
      <c r="CF236" s="5"/>
      <c r="CG236" s="5"/>
      <c r="CH236" s="3"/>
      <c r="CJ236" s="5"/>
      <c r="CN236" s="3"/>
      <c r="CO236" s="3"/>
      <c r="CP236" s="5"/>
      <c r="CR236" s="3"/>
      <c r="DN236" s="5"/>
      <c r="DP236" s="3"/>
      <c r="EB236" s="7"/>
      <c r="EC236" s="7"/>
      <c r="EF236" s="4"/>
      <c r="EG236" s="4"/>
      <c r="EQ236" s="2"/>
      <c r="ER236" s="2"/>
    </row>
    <row r="237" spans="1:148">
      <c r="A237" s="227">
        <v>3388</v>
      </c>
      <c r="B237" s="228" t="s">
        <v>665</v>
      </c>
      <c r="C237" s="228" t="s">
        <v>116</v>
      </c>
      <c r="D237" s="228" t="s">
        <v>127</v>
      </c>
      <c r="E237" s="228" t="s">
        <v>666</v>
      </c>
      <c r="F237" s="228" t="s">
        <v>35</v>
      </c>
      <c r="G237" s="228" t="s">
        <v>1287</v>
      </c>
      <c r="H237" s="228" t="s">
        <v>1285</v>
      </c>
      <c r="I237" s="228" t="s">
        <v>798</v>
      </c>
      <c r="J237" s="228" t="s">
        <v>828</v>
      </c>
      <c r="K237" s="229">
        <v>43403</v>
      </c>
      <c r="L237" s="230"/>
      <c r="M237" s="230">
        <v>1.653</v>
      </c>
      <c r="N237" s="228">
        <v>7.9</v>
      </c>
      <c r="O237" s="228" t="s">
        <v>119</v>
      </c>
      <c r="P237" s="231" t="s">
        <v>655</v>
      </c>
      <c r="Q237" s="231" t="s">
        <v>669</v>
      </c>
      <c r="R237" s="228" t="s">
        <v>24</v>
      </c>
      <c r="S237" s="228"/>
      <c r="T237" s="232" t="s">
        <v>615</v>
      </c>
      <c r="U237" s="228"/>
      <c r="V237" s="232" t="s">
        <v>615</v>
      </c>
      <c r="W237" s="228"/>
      <c r="X237" s="232" t="s">
        <v>120</v>
      </c>
      <c r="Y237" s="228" t="s">
        <v>851</v>
      </c>
      <c r="Z237" s="233" t="s">
        <v>120</v>
      </c>
      <c r="AA237" s="234"/>
      <c r="AB237" s="234"/>
      <c r="AC237" s="235" t="s">
        <v>123</v>
      </c>
      <c r="AD237" s="228" t="s">
        <v>852</v>
      </c>
      <c r="AE237" s="232" t="s">
        <v>120</v>
      </c>
      <c r="AF237" s="229" t="s">
        <v>853</v>
      </c>
      <c r="AG237" s="236"/>
      <c r="AH237" s="236"/>
      <c r="AI237" s="228" t="s">
        <v>854</v>
      </c>
      <c r="AJ237" s="232"/>
      <c r="AK237" s="228"/>
      <c r="AL237" s="228"/>
      <c r="AM237" s="232"/>
      <c r="AN237" s="228"/>
      <c r="AO237" s="228"/>
      <c r="AP237" s="237"/>
      <c r="AQ237" s="228"/>
      <c r="AR237" s="232"/>
      <c r="AS237" s="228"/>
      <c r="AT237" s="229"/>
      <c r="AU237" s="229">
        <v>43453.379129629597</v>
      </c>
      <c r="AV237" s="229"/>
      <c r="AW237" s="229"/>
      <c r="AX237" s="229"/>
      <c r="AY237" s="229"/>
      <c r="AZ237" s="238">
        <v>43403</v>
      </c>
      <c r="BA237" s="1" t="s">
        <v>7684</v>
      </c>
      <c r="BB237">
        <v>130</v>
      </c>
      <c r="BC237">
        <v>50</v>
      </c>
      <c r="BD237">
        <v>683</v>
      </c>
      <c r="BE23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37" s="240">
        <f>COUNTIFS(_05preva_view43[Site ID],_05preva_view43[[#This Row],[Site ID]],_05preva_view43[Prevalidation Status],"Under Prevalidation")</f>
        <v>0</v>
      </c>
      <c r="BG23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7" s="24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.xlsx</v>
      </c>
      <c r="BI237" s="64" t="e">
        <f t="shared" ca="1" si="4"/>
        <v>#VALUE!</v>
      </c>
      <c r="BJ237" s="104" t="e">
        <f ca="1">LEFT(CELL("filename",A222),_05preva_view43[[#This Row],[Find Process &amp; Database]]-1)</f>
        <v>#VALUE!</v>
      </c>
      <c r="BK237" s="104" t="e">
        <f ca="1">_05preva_view43[Folder Path1]&amp;"Process &amp; Database\Documentation\Colo Applications"</f>
        <v>#VALUE!</v>
      </c>
      <c r="BL237" s="104" t="e">
        <f ca="1">_05preva_view43[Folder Path2]&amp;"\Colo App "&amp;_05preva_view43[[#This Row],[Operator]]&amp;"\"</f>
        <v>#VALUE!</v>
      </c>
      <c r="BM237" s="63" t="e">
        <f ca="1">_05preva_view43[[#This Row],[Folder Path3]]&amp;_05preva_view43[[#This Row],[File Name]]</f>
        <v>#VALUE!</v>
      </c>
      <c r="BN237" s="104"/>
      <c r="CF237" s="5"/>
      <c r="CG237" s="5"/>
      <c r="CH237" s="3"/>
      <c r="CJ237" s="5"/>
      <c r="CN237" s="3"/>
      <c r="CO237" s="3"/>
      <c r="CP237" s="5"/>
      <c r="CR237" s="3"/>
      <c r="DN237" s="5"/>
      <c r="DP237" s="3"/>
      <c r="EB237" s="7"/>
      <c r="EC237" s="7"/>
      <c r="EF237" s="4"/>
      <c r="EG237" s="4"/>
      <c r="EQ237" s="2"/>
      <c r="ER237" s="2"/>
    </row>
    <row r="238" spans="1:148">
      <c r="A238" s="227">
        <v>3389</v>
      </c>
      <c r="B238" s="228" t="s">
        <v>855</v>
      </c>
      <c r="C238" s="228" t="s">
        <v>278</v>
      </c>
      <c r="D238" s="228" t="s">
        <v>127</v>
      </c>
      <c r="E238" s="228" t="s">
        <v>856</v>
      </c>
      <c r="F238" s="228" t="s">
        <v>35</v>
      </c>
      <c r="G238" s="228" t="s">
        <v>1292</v>
      </c>
      <c r="H238" s="228" t="s">
        <v>1285</v>
      </c>
      <c r="I238" s="228" t="s">
        <v>857</v>
      </c>
      <c r="J238" s="228" t="s">
        <v>686</v>
      </c>
      <c r="K238" s="229">
        <v>43403</v>
      </c>
      <c r="L238" s="230"/>
      <c r="M238" s="230">
        <v>1.9119999999999999</v>
      </c>
      <c r="N238" s="228">
        <v>3.88</v>
      </c>
      <c r="O238" s="228" t="s">
        <v>687</v>
      </c>
      <c r="P238" s="231" t="s">
        <v>858</v>
      </c>
      <c r="Q238" s="231" t="s">
        <v>859</v>
      </c>
      <c r="R238" s="228" t="s">
        <v>24</v>
      </c>
      <c r="S238" s="228"/>
      <c r="T238" s="232" t="s">
        <v>615</v>
      </c>
      <c r="U238" s="228"/>
      <c r="V238" s="232" t="s">
        <v>615</v>
      </c>
      <c r="W238" s="228"/>
      <c r="X238" s="232" t="s">
        <v>120</v>
      </c>
      <c r="Y238" s="228" t="s">
        <v>860</v>
      </c>
      <c r="Z238" s="233" t="s">
        <v>120</v>
      </c>
      <c r="AA238" s="234"/>
      <c r="AB238" s="234"/>
      <c r="AC238" s="235" t="s">
        <v>123</v>
      </c>
      <c r="AD238" s="228" t="s">
        <v>861</v>
      </c>
      <c r="AE238" s="232" t="s">
        <v>125</v>
      </c>
      <c r="AF238" s="229"/>
      <c r="AG238" s="236"/>
      <c r="AH238" s="236"/>
      <c r="AI238" s="228" t="s">
        <v>835</v>
      </c>
      <c r="AJ238" s="232" t="s">
        <v>615</v>
      </c>
      <c r="AK238" s="228"/>
      <c r="AL238" s="228"/>
      <c r="AM238" s="232"/>
      <c r="AN238" s="228"/>
      <c r="AO238" s="228"/>
      <c r="AP238" s="237"/>
      <c r="AQ238" s="228"/>
      <c r="AR238" s="232"/>
      <c r="AS238" s="228"/>
      <c r="AT238" s="229"/>
      <c r="AU238" s="229"/>
      <c r="AV238" s="229"/>
      <c r="AW238" s="229"/>
      <c r="AX238" s="229"/>
      <c r="AY238" s="229"/>
      <c r="AZ238" s="238">
        <v>43403</v>
      </c>
      <c r="BA238" s="1" t="s">
        <v>7684</v>
      </c>
      <c r="BB238">
        <v>130</v>
      </c>
      <c r="BC238">
        <v>60</v>
      </c>
      <c r="BD238">
        <v>3221</v>
      </c>
      <c r="BE23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38" s="240">
        <f>COUNTIFS(_05preva_view43[Site ID],_05preva_view43[[#This Row],[Site ID]],_05preva_view43[Prevalidation Status],"Under Prevalidation")</f>
        <v>0</v>
      </c>
      <c r="BG23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8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2.xlsx</v>
      </c>
      <c r="BI238" s="64" t="e">
        <f t="shared" ca="1" si="4"/>
        <v>#VALUE!</v>
      </c>
      <c r="BJ238" s="104" t="e">
        <f ca="1">LEFT(CELL("filename",A223),_05preva_view43[[#This Row],[Find Process &amp; Database]]-1)</f>
        <v>#VALUE!</v>
      </c>
      <c r="BK238" s="104" t="e">
        <f ca="1">_05preva_view43[Folder Path1]&amp;"Process &amp; Database\Documentation\Colo Applications"</f>
        <v>#VALUE!</v>
      </c>
      <c r="BL238" s="104" t="e">
        <f ca="1">_05preva_view43[Folder Path2]&amp;"\Colo App "&amp;_05preva_view43[[#This Row],[Operator]]&amp;"\"</f>
        <v>#VALUE!</v>
      </c>
      <c r="BM238" s="63" t="e">
        <f ca="1">_05preva_view43[[#This Row],[Folder Path3]]&amp;_05preva_view43[[#This Row],[File Name]]</f>
        <v>#VALUE!</v>
      </c>
      <c r="BN238" s="104"/>
      <c r="CF238" s="5"/>
      <c r="CG238" s="5"/>
      <c r="CH238" s="3"/>
      <c r="CJ238" s="5"/>
      <c r="CN238" s="3"/>
      <c r="CO238" s="3"/>
      <c r="CP238" s="5"/>
      <c r="CR238" s="3"/>
      <c r="DN238" s="5"/>
      <c r="DP238" s="3"/>
      <c r="EB238" s="7"/>
      <c r="EC238" s="7"/>
      <c r="EF238" s="4"/>
      <c r="EG238" s="4"/>
      <c r="EQ238" s="2"/>
      <c r="ER238" s="2"/>
    </row>
    <row r="239" spans="1:148">
      <c r="A239" s="227">
        <v>3381</v>
      </c>
      <c r="B239" s="228" t="s">
        <v>822</v>
      </c>
      <c r="C239" s="228" t="s">
        <v>278</v>
      </c>
      <c r="D239" s="228" t="s">
        <v>117</v>
      </c>
      <c r="E239" s="228" t="s">
        <v>823</v>
      </c>
      <c r="F239" s="228" t="s">
        <v>35</v>
      </c>
      <c r="G239" s="228" t="s">
        <v>1292</v>
      </c>
      <c r="H239" s="228" t="s">
        <v>1285</v>
      </c>
      <c r="I239" s="228" t="s">
        <v>798</v>
      </c>
      <c r="J239" s="228" t="s">
        <v>668</v>
      </c>
      <c r="K239" s="229">
        <v>43402</v>
      </c>
      <c r="L239" s="230"/>
      <c r="M239" s="230">
        <v>2.5</v>
      </c>
      <c r="N239" s="228">
        <v>3.52</v>
      </c>
      <c r="O239" s="228" t="s">
        <v>687</v>
      </c>
      <c r="P239" s="231" t="s">
        <v>695</v>
      </c>
      <c r="Q239" s="231" t="s">
        <v>696</v>
      </c>
      <c r="R239" s="228" t="s">
        <v>24</v>
      </c>
      <c r="S239" s="228"/>
      <c r="T239" s="232" t="s">
        <v>615</v>
      </c>
      <c r="U239" s="228"/>
      <c r="V239" s="232" t="s">
        <v>615</v>
      </c>
      <c r="W239" s="228"/>
      <c r="X239" s="232" t="s">
        <v>120</v>
      </c>
      <c r="Y239" s="228" t="s">
        <v>824</v>
      </c>
      <c r="Z239" s="233" t="s">
        <v>120</v>
      </c>
      <c r="AA239" s="234"/>
      <c r="AB239" s="234"/>
      <c r="AC239" s="235" t="s">
        <v>123</v>
      </c>
      <c r="AD239" s="228" t="s">
        <v>825</v>
      </c>
      <c r="AE239" s="232" t="s">
        <v>615</v>
      </c>
      <c r="AF239" s="229"/>
      <c r="AG239" s="236"/>
      <c r="AH239" s="236"/>
      <c r="AI239" s="228"/>
      <c r="AJ239" s="232" t="s">
        <v>615</v>
      </c>
      <c r="AK239" s="228"/>
      <c r="AL239" s="228"/>
      <c r="AM239" s="232"/>
      <c r="AN239" s="228"/>
      <c r="AO239" s="228"/>
      <c r="AP239" s="237"/>
      <c r="AQ239" s="228"/>
      <c r="AR239" s="232"/>
      <c r="AS239" s="228"/>
      <c r="AT239" s="229"/>
      <c r="AU239" s="229"/>
      <c r="AV239" s="229"/>
      <c r="AW239" s="229"/>
      <c r="AX239" s="229"/>
      <c r="AY239" s="229"/>
      <c r="AZ239" s="238">
        <v>43402</v>
      </c>
      <c r="BA239" s="1" t="s">
        <v>7684</v>
      </c>
      <c r="BB239">
        <v>130</v>
      </c>
      <c r="BC239">
        <v>60</v>
      </c>
      <c r="BD239">
        <v>2999</v>
      </c>
      <c r="BE23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39" s="240">
        <f>COUNTIFS(_05preva_view43[Site ID],_05preva_view43[[#This Row],[Site ID]],_05preva_view43[Prevalidation Status],"Under Prevalidation")</f>
        <v>0</v>
      </c>
      <c r="BG23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39" s="242" t="str">
        <f>CONCATENATE(_05preva_view43[[#This Row],[Site ID]]," (",_05preva_view43[[#This Row],[tenant id]],") Application",IF(_05preva_view43[[#This Row],[Colo Rev]]&gt;0," Rev "&amp;_05preva_view43[[#This Row],[Colo Rev]],""),".xlsx")</f>
        <v>1-01-09008-001 (MGW00412) Application Rev 1.xlsx</v>
      </c>
      <c r="BI239" s="64" t="e">
        <f t="shared" ca="1" si="4"/>
        <v>#VALUE!</v>
      </c>
      <c r="BJ239" s="104" t="e">
        <f ca="1">LEFT(CELL("filename",A224),_05preva_view43[[#This Row],[Find Process &amp; Database]]-1)</f>
        <v>#VALUE!</v>
      </c>
      <c r="BK239" s="104" t="e">
        <f ca="1">_05preva_view43[Folder Path1]&amp;"Process &amp; Database\Documentation\Colo Applications"</f>
        <v>#VALUE!</v>
      </c>
      <c r="BL239" s="104" t="e">
        <f ca="1">_05preva_view43[Folder Path2]&amp;"\Colo App "&amp;_05preva_view43[[#This Row],[Operator]]&amp;"\"</f>
        <v>#VALUE!</v>
      </c>
      <c r="BM239" s="63" t="e">
        <f ca="1">_05preva_view43[[#This Row],[Folder Path3]]&amp;_05preva_view43[[#This Row],[File Name]]</f>
        <v>#VALUE!</v>
      </c>
      <c r="BN239" s="104"/>
      <c r="CF239" s="5"/>
      <c r="CG239" s="5"/>
      <c r="CH239" s="3"/>
      <c r="CJ239" s="5"/>
      <c r="CN239" s="3"/>
      <c r="CO239" s="3"/>
      <c r="CP239" s="5"/>
      <c r="CR239" s="3"/>
      <c r="DN239" s="5"/>
      <c r="DP239" s="3"/>
      <c r="EB239" s="7"/>
      <c r="EC239" s="7"/>
      <c r="EF239" s="4"/>
      <c r="EG239" s="4"/>
      <c r="EQ239" s="2"/>
      <c r="ER239" s="2"/>
    </row>
    <row r="240" spans="1:148">
      <c r="A240" s="227">
        <v>3375</v>
      </c>
      <c r="B240" s="228" t="s">
        <v>796</v>
      </c>
      <c r="C240" s="228" t="s">
        <v>278</v>
      </c>
      <c r="D240" s="228" t="s">
        <v>153</v>
      </c>
      <c r="E240" s="228" t="s">
        <v>797</v>
      </c>
      <c r="F240" s="228" t="s">
        <v>35</v>
      </c>
      <c r="G240" s="228" t="s">
        <v>1292</v>
      </c>
      <c r="H240" s="228" t="s">
        <v>1285</v>
      </c>
      <c r="I240" s="228" t="s">
        <v>798</v>
      </c>
      <c r="J240" s="228" t="s">
        <v>686</v>
      </c>
      <c r="K240" s="229">
        <v>43391</v>
      </c>
      <c r="L240" s="230"/>
      <c r="M240" s="230">
        <v>2.1</v>
      </c>
      <c r="N240" s="228">
        <v>2.5590000000000002</v>
      </c>
      <c r="O240" s="228" t="s">
        <v>687</v>
      </c>
      <c r="P240" s="231" t="s">
        <v>799</v>
      </c>
      <c r="Q240" s="231" t="s">
        <v>695</v>
      </c>
      <c r="R240" s="228" t="s">
        <v>24</v>
      </c>
      <c r="S240" s="228"/>
      <c r="T240" s="232" t="s">
        <v>615</v>
      </c>
      <c r="U240" s="228"/>
      <c r="V240" s="232" t="s">
        <v>615</v>
      </c>
      <c r="W240" s="228"/>
      <c r="X240" s="232" t="s">
        <v>120</v>
      </c>
      <c r="Y240" s="228" t="s">
        <v>800</v>
      </c>
      <c r="Z240" s="233" t="s">
        <v>120</v>
      </c>
      <c r="AA240" s="234"/>
      <c r="AB240" s="234"/>
      <c r="AC240" s="235" t="s">
        <v>123</v>
      </c>
      <c r="AD240" s="228" t="s">
        <v>801</v>
      </c>
      <c r="AE240" s="232" t="s">
        <v>615</v>
      </c>
      <c r="AF240" s="229"/>
      <c r="AG240" s="236"/>
      <c r="AH240" s="236"/>
      <c r="AI240" s="228"/>
      <c r="AJ240" s="232" t="s">
        <v>615</v>
      </c>
      <c r="AK240" s="228"/>
      <c r="AL240" s="228"/>
      <c r="AM240" s="232"/>
      <c r="AN240" s="228"/>
      <c r="AO240" s="228"/>
      <c r="AP240" s="237"/>
      <c r="AQ240" s="228"/>
      <c r="AR240" s="232"/>
      <c r="AS240" s="228"/>
      <c r="AT240" s="229"/>
      <c r="AU240" s="229"/>
      <c r="AV240" s="229"/>
      <c r="AW240" s="229"/>
      <c r="AX240" s="229"/>
      <c r="AY240" s="229"/>
      <c r="AZ240" s="238">
        <v>43391</v>
      </c>
      <c r="BA240" s="1" t="s">
        <v>7684</v>
      </c>
      <c r="BB240">
        <v>160</v>
      </c>
      <c r="BC240">
        <v>60</v>
      </c>
      <c r="BD240">
        <v>3315</v>
      </c>
      <c r="BE24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40" s="240">
        <f>COUNTIFS(_05preva_view43[Site ID],_05preva_view43[[#This Row],[Site ID]],_05preva_view43[Prevalidation Status],"Under Prevalidation")</f>
        <v>0</v>
      </c>
      <c r="BG24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0" s="242" t="str">
        <f>CONCATENATE(_05preva_view43[[#This Row],[Site ID]]," (",_05preva_view43[[#This Row],[tenant id]],") Application",IF(_05preva_view43[[#This Row],[Colo Rev]]&gt;0," Rev "&amp;_05preva_view43[[#This Row],[Colo Rev]],""),".xlsx")</f>
        <v>1-01-11003-002 (MON00212) Application Rev 2.xlsx</v>
      </c>
      <c r="BI240" s="64" t="e">
        <f t="shared" ca="1" si="4"/>
        <v>#VALUE!</v>
      </c>
      <c r="BJ240" s="104" t="e">
        <f ca="1">LEFT(CELL("filename",A225),_05preva_view43[[#This Row],[Find Process &amp; Database]]-1)</f>
        <v>#VALUE!</v>
      </c>
      <c r="BK240" s="104" t="e">
        <f ca="1">_05preva_view43[Folder Path1]&amp;"Process &amp; Database\Documentation\Colo Applications"</f>
        <v>#VALUE!</v>
      </c>
      <c r="BL240" s="104" t="e">
        <f ca="1">_05preva_view43[Folder Path2]&amp;"\Colo App "&amp;_05preva_view43[[#This Row],[Operator]]&amp;"\"</f>
        <v>#VALUE!</v>
      </c>
      <c r="BM240" s="63" t="e">
        <f ca="1">_05preva_view43[[#This Row],[Folder Path3]]&amp;_05preva_view43[[#This Row],[File Name]]</f>
        <v>#VALUE!</v>
      </c>
      <c r="BN240" s="104"/>
      <c r="CF240" s="5"/>
      <c r="CG240" s="5"/>
      <c r="CH240" s="3"/>
      <c r="CJ240" s="5"/>
      <c r="CN240" s="3"/>
      <c r="CO240" s="3"/>
      <c r="CP240" s="5"/>
      <c r="CR240" s="3"/>
      <c r="DN240" s="5"/>
      <c r="DP240" s="3"/>
      <c r="EB240" s="7"/>
      <c r="EC240" s="7"/>
      <c r="EF240" s="4"/>
      <c r="EG240" s="4"/>
      <c r="EQ240" s="2"/>
      <c r="ER240" s="2"/>
    </row>
    <row r="241" spans="1:148">
      <c r="A241" s="227">
        <v>3377</v>
      </c>
      <c r="B241" s="228" t="s">
        <v>802</v>
      </c>
      <c r="C241" s="228" t="s">
        <v>278</v>
      </c>
      <c r="D241" s="228" t="s">
        <v>117</v>
      </c>
      <c r="E241" s="228" t="s">
        <v>803</v>
      </c>
      <c r="F241" s="228" t="s">
        <v>35</v>
      </c>
      <c r="G241" s="228" t="s">
        <v>1292</v>
      </c>
      <c r="H241" s="228" t="s">
        <v>1285</v>
      </c>
      <c r="I241" s="228" t="s">
        <v>785</v>
      </c>
      <c r="J241" s="228" t="s">
        <v>727</v>
      </c>
      <c r="K241" s="229">
        <v>43391</v>
      </c>
      <c r="L241" s="230"/>
      <c r="M241" s="230">
        <v>2.7</v>
      </c>
      <c r="N241" s="228">
        <v>3.5030000000000001</v>
      </c>
      <c r="O241" s="228" t="s">
        <v>687</v>
      </c>
      <c r="P241" s="231" t="s">
        <v>508</v>
      </c>
      <c r="Q241" s="231" t="s">
        <v>509</v>
      </c>
      <c r="R241" s="228" t="s">
        <v>24</v>
      </c>
      <c r="S241" s="228"/>
      <c r="T241" s="232" t="s">
        <v>615</v>
      </c>
      <c r="U241" s="228"/>
      <c r="V241" s="232" t="s">
        <v>615</v>
      </c>
      <c r="W241" s="228"/>
      <c r="X241" s="232" t="s">
        <v>120</v>
      </c>
      <c r="Y241" s="228" t="s">
        <v>804</v>
      </c>
      <c r="Z241" s="233" t="s">
        <v>120</v>
      </c>
      <c r="AA241" s="234"/>
      <c r="AB241" s="234"/>
      <c r="AC241" s="235" t="s">
        <v>123</v>
      </c>
      <c r="AD241" s="228" t="s">
        <v>805</v>
      </c>
      <c r="AE241" s="232" t="s">
        <v>615</v>
      </c>
      <c r="AF241" s="229"/>
      <c r="AG241" s="236"/>
      <c r="AH241" s="236"/>
      <c r="AI241" s="228"/>
      <c r="AJ241" s="232" t="s">
        <v>615</v>
      </c>
      <c r="AK241" s="228"/>
      <c r="AL241" s="228"/>
      <c r="AM241" s="232"/>
      <c r="AN241" s="228"/>
      <c r="AO241" s="228"/>
      <c r="AP241" s="237"/>
      <c r="AQ241" s="228"/>
      <c r="AR241" s="232"/>
      <c r="AS241" s="228"/>
      <c r="AT241" s="229"/>
      <c r="AU241" s="229"/>
      <c r="AV241" s="229"/>
      <c r="AW241" s="229"/>
      <c r="AX241" s="229"/>
      <c r="AY241" s="229"/>
      <c r="AZ241" s="238">
        <v>43391</v>
      </c>
      <c r="BA241" s="1" t="s">
        <v>7684</v>
      </c>
      <c r="BB241">
        <v>130</v>
      </c>
      <c r="BC241">
        <v>45</v>
      </c>
      <c r="BD241">
        <v>3281</v>
      </c>
      <c r="BE24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41" s="240">
        <f>COUNTIFS(_05preva_view43[Site ID],_05preva_view43[[#This Row],[Site ID]],_05preva_view43[Prevalidation Status],"Under Prevalidation")</f>
        <v>0</v>
      </c>
      <c r="BG24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1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3.xlsx</v>
      </c>
      <c r="BI241" s="64" t="e">
        <f t="shared" ca="1" si="4"/>
        <v>#VALUE!</v>
      </c>
      <c r="BJ241" s="104" t="e">
        <f ca="1">LEFT(CELL("filename",A226),_05preva_view43[[#This Row],[Find Process &amp; Database]]-1)</f>
        <v>#VALUE!</v>
      </c>
      <c r="BK241" s="104" t="e">
        <f ca="1">_05preva_view43[Folder Path1]&amp;"Process &amp; Database\Documentation\Colo Applications"</f>
        <v>#VALUE!</v>
      </c>
      <c r="BL241" s="104" t="e">
        <f ca="1">_05preva_view43[Folder Path2]&amp;"\Colo App "&amp;_05preva_view43[[#This Row],[Operator]]&amp;"\"</f>
        <v>#VALUE!</v>
      </c>
      <c r="BM241" s="63" t="e">
        <f ca="1">_05preva_view43[[#This Row],[Folder Path3]]&amp;_05preva_view43[[#This Row],[File Name]]</f>
        <v>#VALUE!</v>
      </c>
      <c r="BN241" s="104"/>
      <c r="CF241" s="5"/>
      <c r="CG241" s="5"/>
      <c r="CH241" s="3"/>
      <c r="CJ241" s="5"/>
      <c r="CN241" s="3"/>
      <c r="CO241" s="3"/>
      <c r="CP241" s="5"/>
      <c r="CR241" s="3"/>
      <c r="DN241" s="5"/>
      <c r="DP241" s="3"/>
      <c r="EB241" s="7"/>
      <c r="EC241" s="7"/>
      <c r="EF241" s="4"/>
      <c r="EG241" s="4"/>
      <c r="EQ241" s="2"/>
      <c r="ER241" s="2"/>
    </row>
    <row r="242" spans="1:148">
      <c r="A242" s="227">
        <v>3378</v>
      </c>
      <c r="B242" s="228" t="s">
        <v>806</v>
      </c>
      <c r="C242" s="228" t="s">
        <v>278</v>
      </c>
      <c r="D242" s="228" t="s">
        <v>153</v>
      </c>
      <c r="E242" s="228" t="s">
        <v>807</v>
      </c>
      <c r="F242" s="228" t="s">
        <v>35</v>
      </c>
      <c r="G242" s="228" t="s">
        <v>1292</v>
      </c>
      <c r="H242" s="228" t="s">
        <v>1285</v>
      </c>
      <c r="I242" s="228" t="s">
        <v>785</v>
      </c>
      <c r="J242" s="228" t="s">
        <v>727</v>
      </c>
      <c r="K242" s="229">
        <v>43391</v>
      </c>
      <c r="L242" s="230"/>
      <c r="M242" s="230">
        <v>2.7</v>
      </c>
      <c r="N242" s="228">
        <v>3.141</v>
      </c>
      <c r="O242" s="228" t="s">
        <v>687</v>
      </c>
      <c r="P242" s="231" t="s">
        <v>808</v>
      </c>
      <c r="Q242" s="231" t="s">
        <v>809</v>
      </c>
      <c r="R242" s="228" t="s">
        <v>24</v>
      </c>
      <c r="S242" s="228"/>
      <c r="T242" s="232" t="s">
        <v>615</v>
      </c>
      <c r="U242" s="228"/>
      <c r="V242" s="232" t="s">
        <v>615</v>
      </c>
      <c r="W242" s="228"/>
      <c r="X242" s="232" t="s">
        <v>120</v>
      </c>
      <c r="Y242" s="228" t="s">
        <v>810</v>
      </c>
      <c r="Z242" s="233" t="s">
        <v>120</v>
      </c>
      <c r="AA242" s="234"/>
      <c r="AB242" s="234"/>
      <c r="AC242" s="235" t="s">
        <v>123</v>
      </c>
      <c r="AD242" s="228" t="s">
        <v>811</v>
      </c>
      <c r="AE242" s="232" t="s">
        <v>615</v>
      </c>
      <c r="AF242" s="229"/>
      <c r="AG242" s="236"/>
      <c r="AH242" s="236"/>
      <c r="AI242" s="228"/>
      <c r="AJ242" s="232" t="s">
        <v>615</v>
      </c>
      <c r="AK242" s="228"/>
      <c r="AL242" s="228"/>
      <c r="AM242" s="232"/>
      <c r="AN242" s="228"/>
      <c r="AO242" s="228"/>
      <c r="AP242" s="237"/>
      <c r="AQ242" s="228"/>
      <c r="AR242" s="232"/>
      <c r="AS242" s="228"/>
      <c r="AT242" s="229"/>
      <c r="AU242" s="229"/>
      <c r="AV242" s="229"/>
      <c r="AW242" s="229"/>
      <c r="AX242" s="229"/>
      <c r="AY242" s="229"/>
      <c r="AZ242" s="238">
        <v>43391</v>
      </c>
      <c r="BA242" s="1" t="s">
        <v>7684</v>
      </c>
      <c r="BB242">
        <v>160</v>
      </c>
      <c r="BC242">
        <v>56</v>
      </c>
      <c r="BD242">
        <v>3149</v>
      </c>
      <c r="BE24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42" s="240">
        <f>COUNTIFS(_05preva_view43[Site ID],_05preva_view43[[#This Row],[Site ID]],_05preva_view43[Prevalidation Status],"Under Prevalidation")</f>
        <v>0</v>
      </c>
      <c r="BG24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2" s="242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3.xlsx</v>
      </c>
      <c r="BI242" s="64" t="e">
        <f t="shared" ca="1" si="4"/>
        <v>#VALUE!</v>
      </c>
      <c r="BJ242" s="104" t="e">
        <f ca="1">LEFT(CELL("filename",A227),_05preva_view43[[#This Row],[Find Process &amp; Database]]-1)</f>
        <v>#VALUE!</v>
      </c>
      <c r="BK242" s="104" t="e">
        <f ca="1">_05preva_view43[Folder Path1]&amp;"Process &amp; Database\Documentation\Colo Applications"</f>
        <v>#VALUE!</v>
      </c>
      <c r="BL242" s="104" t="e">
        <f ca="1">_05preva_view43[Folder Path2]&amp;"\Colo App "&amp;_05preva_view43[[#This Row],[Operator]]&amp;"\"</f>
        <v>#VALUE!</v>
      </c>
      <c r="BM242" s="63" t="e">
        <f ca="1">_05preva_view43[[#This Row],[Folder Path3]]&amp;_05preva_view43[[#This Row],[File Name]]</f>
        <v>#VALUE!</v>
      </c>
      <c r="BN242" s="104"/>
      <c r="CF242" s="5"/>
      <c r="CG242" s="5"/>
      <c r="CH242" s="3"/>
      <c r="CJ242" s="5"/>
      <c r="CN242" s="3"/>
      <c r="CO242" s="3"/>
      <c r="CP242" s="5"/>
      <c r="CR242" s="3"/>
      <c r="DN242" s="5"/>
      <c r="DP242" s="3"/>
      <c r="EB242" s="7"/>
      <c r="EC242" s="7"/>
      <c r="EF242" s="4"/>
      <c r="EG242" s="4"/>
      <c r="EQ242" s="2"/>
      <c r="ER242" s="2"/>
    </row>
    <row r="243" spans="1:148">
      <c r="A243" s="227">
        <v>3379</v>
      </c>
      <c r="B243" s="228" t="s">
        <v>812</v>
      </c>
      <c r="C243" s="228" t="s">
        <v>116</v>
      </c>
      <c r="D243" s="228" t="s">
        <v>127</v>
      </c>
      <c r="E243" s="228" t="s">
        <v>813</v>
      </c>
      <c r="F243" s="228" t="s">
        <v>35</v>
      </c>
      <c r="G243" s="228" t="s">
        <v>1287</v>
      </c>
      <c r="H243" s="228" t="s">
        <v>1285</v>
      </c>
      <c r="I243" s="228" t="s">
        <v>814</v>
      </c>
      <c r="J243" s="228" t="s">
        <v>686</v>
      </c>
      <c r="K243" s="229">
        <v>43391</v>
      </c>
      <c r="L243" s="230"/>
      <c r="M243" s="230">
        <v>1.4</v>
      </c>
      <c r="N243" s="228">
        <v>2.746</v>
      </c>
      <c r="O243" s="228" t="s">
        <v>687</v>
      </c>
      <c r="P243" s="231" t="s">
        <v>292</v>
      </c>
      <c r="Q243" s="231" t="s">
        <v>234</v>
      </c>
      <c r="R243" s="228" t="s">
        <v>24</v>
      </c>
      <c r="S243" s="228"/>
      <c r="T243" s="232" t="s">
        <v>615</v>
      </c>
      <c r="U243" s="228"/>
      <c r="V243" s="232" t="s">
        <v>615</v>
      </c>
      <c r="W243" s="228"/>
      <c r="X243" s="232" t="s">
        <v>120</v>
      </c>
      <c r="Y243" s="228" t="s">
        <v>815</v>
      </c>
      <c r="Z243" s="233" t="s">
        <v>120</v>
      </c>
      <c r="AA243" s="234"/>
      <c r="AB243" s="234"/>
      <c r="AC243" s="235" t="s">
        <v>123</v>
      </c>
      <c r="AD243" s="228" t="s">
        <v>816</v>
      </c>
      <c r="AE243" s="232" t="s">
        <v>125</v>
      </c>
      <c r="AF243" s="229" t="s">
        <v>515</v>
      </c>
      <c r="AG243" s="236"/>
      <c r="AH243" s="236"/>
      <c r="AI243" s="228" t="s">
        <v>817</v>
      </c>
      <c r="AJ243" s="232"/>
      <c r="AK243" s="228"/>
      <c r="AL243" s="228"/>
      <c r="AM243" s="232"/>
      <c r="AN243" s="228"/>
      <c r="AO243" s="228"/>
      <c r="AP243" s="237"/>
      <c r="AQ243" s="228"/>
      <c r="AR243" s="232"/>
      <c r="AS243" s="228"/>
      <c r="AT243" s="229"/>
      <c r="AU243" s="229"/>
      <c r="AV243" s="229"/>
      <c r="AW243" s="229"/>
      <c r="AX243" s="229"/>
      <c r="AY243" s="229"/>
      <c r="AZ243" s="238">
        <v>43391</v>
      </c>
      <c r="BA243" s="1" t="s">
        <v>7684</v>
      </c>
      <c r="BB243"/>
      <c r="BC243">
        <v>35</v>
      </c>
      <c r="BD243">
        <v>1597</v>
      </c>
      <c r="BE24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43" s="240">
        <f>COUNTIFS(_05preva_view43[Site ID],_05preva_view43[[#This Row],[Site ID]],_05preva_view43[Prevalidation Status],"Under Prevalidation")</f>
        <v>0</v>
      </c>
      <c r="BG24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3" s="242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2.xlsx</v>
      </c>
      <c r="BI243" s="64" t="e">
        <f t="shared" ca="1" si="4"/>
        <v>#VALUE!</v>
      </c>
      <c r="BJ243" s="104" t="e">
        <f ca="1">LEFT(CELL("filename",A228),_05preva_view43[[#This Row],[Find Process &amp; Database]]-1)</f>
        <v>#VALUE!</v>
      </c>
      <c r="BK243" s="104" t="e">
        <f ca="1">_05preva_view43[Folder Path1]&amp;"Process &amp; Database\Documentation\Colo Applications"</f>
        <v>#VALUE!</v>
      </c>
      <c r="BL243" s="104" t="e">
        <f ca="1">_05preva_view43[Folder Path2]&amp;"\Colo App "&amp;_05preva_view43[[#This Row],[Operator]]&amp;"\"</f>
        <v>#VALUE!</v>
      </c>
      <c r="BM243" s="63" t="e">
        <f ca="1">_05preva_view43[[#This Row],[Folder Path3]]&amp;_05preva_view43[[#This Row],[File Name]]</f>
        <v>#VALUE!</v>
      </c>
      <c r="BN243" s="104"/>
      <c r="CF243" s="5"/>
      <c r="CG243" s="5"/>
      <c r="CH243" s="3"/>
      <c r="CJ243" s="5"/>
      <c r="CN243" s="3"/>
      <c r="CO243" s="3"/>
      <c r="CP243" s="5"/>
      <c r="CR243" s="3"/>
      <c r="DN243" s="5"/>
      <c r="DP243" s="3"/>
      <c r="EB243" s="7"/>
      <c r="EC243" s="7"/>
      <c r="EF243" s="4"/>
      <c r="EG243" s="4"/>
      <c r="EQ243" s="2"/>
      <c r="ER243" s="2"/>
    </row>
    <row r="244" spans="1:148">
      <c r="A244" s="227">
        <v>3380</v>
      </c>
      <c r="B244" s="228" t="s">
        <v>218</v>
      </c>
      <c r="C244" s="228" t="s">
        <v>116</v>
      </c>
      <c r="D244" s="228" t="s">
        <v>127</v>
      </c>
      <c r="E244" s="228" t="s">
        <v>818</v>
      </c>
      <c r="F244" s="228" t="s">
        <v>35</v>
      </c>
      <c r="G244" s="228" t="s">
        <v>1287</v>
      </c>
      <c r="H244" s="228" t="s">
        <v>1285</v>
      </c>
      <c r="I244" s="228" t="s">
        <v>790</v>
      </c>
      <c r="J244" s="228" t="s">
        <v>686</v>
      </c>
      <c r="K244" s="229">
        <v>43391</v>
      </c>
      <c r="L244" s="230"/>
      <c r="M244" s="230">
        <v>3.86</v>
      </c>
      <c r="N244" s="228">
        <v>6.2549999999999999</v>
      </c>
      <c r="O244" s="228" t="s">
        <v>687</v>
      </c>
      <c r="P244" s="231" t="s">
        <v>221</v>
      </c>
      <c r="Q244" s="231" t="s">
        <v>705</v>
      </c>
      <c r="R244" s="228" t="s">
        <v>24</v>
      </c>
      <c r="S244" s="228"/>
      <c r="T244" s="232" t="s">
        <v>615</v>
      </c>
      <c r="U244" s="228"/>
      <c r="V244" s="232" t="s">
        <v>615</v>
      </c>
      <c r="W244" s="228"/>
      <c r="X244" s="232" t="s">
        <v>120</v>
      </c>
      <c r="Y244" s="228" t="s">
        <v>819</v>
      </c>
      <c r="Z244" s="233" t="s">
        <v>120</v>
      </c>
      <c r="AA244" s="234"/>
      <c r="AB244" s="234"/>
      <c r="AC244" s="235" t="s">
        <v>123</v>
      </c>
      <c r="AD244" s="228" t="s">
        <v>820</v>
      </c>
      <c r="AE244" s="232" t="s">
        <v>120</v>
      </c>
      <c r="AF244" s="229"/>
      <c r="AG244" s="236"/>
      <c r="AH244" s="236">
        <v>2</v>
      </c>
      <c r="AI244" s="228" t="s">
        <v>821</v>
      </c>
      <c r="AJ244" s="232"/>
      <c r="AK244" s="228"/>
      <c r="AL244" s="228"/>
      <c r="AM244" s="232"/>
      <c r="AN244" s="228"/>
      <c r="AO244" s="228"/>
      <c r="AP244" s="237"/>
      <c r="AQ244" s="228"/>
      <c r="AR244" s="232"/>
      <c r="AS244" s="228"/>
      <c r="AT244" s="229"/>
      <c r="AU244" s="229">
        <v>43453.379123958301</v>
      </c>
      <c r="AV244" s="229"/>
      <c r="AW244" s="229"/>
      <c r="AX244" s="229"/>
      <c r="AY244" s="229"/>
      <c r="AZ244" s="238">
        <v>43391</v>
      </c>
      <c r="BA244" s="1" t="s">
        <v>7684</v>
      </c>
      <c r="BB244">
        <v>130</v>
      </c>
      <c r="BC244">
        <v>45</v>
      </c>
      <c r="BD244">
        <v>1154</v>
      </c>
      <c r="BE24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44" s="240">
        <f>COUNTIFS(_05preva_view43[Site ID],_05preva_view43[[#This Row],[Site ID]],_05preva_view43[Prevalidation Status],"Under Prevalidation")</f>
        <v>0</v>
      </c>
      <c r="BG24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4" s="242" t="str">
        <f>CONCATENATE(_05preva_view43[[#This Row],[Site ID]]," (",_05preva_view43[[#This Row],[tenant id]],") Application",IF(_05preva_view43[[#This Row],[Colo Rev]]&gt;0," Rev "&amp;_05preva_view43[[#This Row],[Colo Rev]],""),".xlsx")</f>
        <v>ANSG_0343 (SGG00692) Application Rev 2.xlsx</v>
      </c>
      <c r="BI244" s="64" t="e">
        <f t="shared" ca="1" si="4"/>
        <v>#VALUE!</v>
      </c>
      <c r="BJ244" s="104" t="e">
        <f ca="1">LEFT(CELL("filename",A229),_05preva_view43[[#This Row],[Find Process &amp; Database]]-1)</f>
        <v>#VALUE!</v>
      </c>
      <c r="BK244" s="104" t="e">
        <f ca="1">_05preva_view43[Folder Path1]&amp;"Process &amp; Database\Documentation\Colo Applications"</f>
        <v>#VALUE!</v>
      </c>
      <c r="BL244" s="104" t="e">
        <f ca="1">_05preva_view43[Folder Path2]&amp;"\Colo App "&amp;_05preva_view43[[#This Row],[Operator]]&amp;"\"</f>
        <v>#VALUE!</v>
      </c>
      <c r="BM244" s="63" t="e">
        <f ca="1">_05preva_view43[[#This Row],[Folder Path3]]&amp;_05preva_view43[[#This Row],[File Name]]</f>
        <v>#VALUE!</v>
      </c>
      <c r="BN244" s="104"/>
      <c r="CF244" s="5"/>
      <c r="CG244" s="5"/>
      <c r="CH244" s="3"/>
      <c r="CJ244" s="5"/>
      <c r="CN244" s="3"/>
      <c r="CO244" s="3"/>
      <c r="CP244" s="5"/>
      <c r="CR244" s="3"/>
      <c r="DN244" s="5"/>
      <c r="DP244" s="3"/>
      <c r="EB244" s="7"/>
      <c r="EC244" s="7"/>
      <c r="EF244" s="4"/>
      <c r="EG244" s="4"/>
      <c r="EQ244" s="2"/>
      <c r="ER244" s="2"/>
    </row>
    <row r="245" spans="1:148">
      <c r="A245" s="227">
        <v>3372</v>
      </c>
      <c r="B245" s="228" t="s">
        <v>783</v>
      </c>
      <c r="C245" s="228" t="s">
        <v>278</v>
      </c>
      <c r="D245" s="228" t="s">
        <v>127</v>
      </c>
      <c r="E245" s="228" t="s">
        <v>784</v>
      </c>
      <c r="F245" s="228" t="s">
        <v>35</v>
      </c>
      <c r="G245" s="228" t="s">
        <v>1292</v>
      </c>
      <c r="H245" s="228" t="s">
        <v>1285</v>
      </c>
      <c r="I245" s="228" t="s">
        <v>785</v>
      </c>
      <c r="J245" s="228" t="s">
        <v>686</v>
      </c>
      <c r="K245" s="229">
        <v>43389</v>
      </c>
      <c r="L245" s="230"/>
      <c r="M245" s="230">
        <v>4.0149999999999997</v>
      </c>
      <c r="N245" s="228">
        <v>3.3119999999999998</v>
      </c>
      <c r="O245" s="228" t="s">
        <v>687</v>
      </c>
      <c r="P245" s="231" t="s">
        <v>508</v>
      </c>
      <c r="Q245" s="231" t="s">
        <v>509</v>
      </c>
      <c r="R245" s="228" t="s">
        <v>24</v>
      </c>
      <c r="S245" s="228"/>
      <c r="T245" s="232" t="s">
        <v>615</v>
      </c>
      <c r="U245" s="228"/>
      <c r="V245" s="232" t="s">
        <v>615</v>
      </c>
      <c r="W245" s="228"/>
      <c r="X245" s="232" t="s">
        <v>120</v>
      </c>
      <c r="Y245" s="228" t="s">
        <v>786</v>
      </c>
      <c r="Z245" s="233" t="s">
        <v>120</v>
      </c>
      <c r="AA245" s="234"/>
      <c r="AB245" s="234"/>
      <c r="AC245" s="235" t="s">
        <v>123</v>
      </c>
      <c r="AD245" s="228" t="s">
        <v>787</v>
      </c>
      <c r="AE245" s="232" t="s">
        <v>615</v>
      </c>
      <c r="AF245" s="229"/>
      <c r="AG245" s="236"/>
      <c r="AH245" s="236"/>
      <c r="AI245" s="228"/>
      <c r="AJ245" s="232" t="s">
        <v>615</v>
      </c>
      <c r="AK245" s="228"/>
      <c r="AL245" s="228"/>
      <c r="AM245" s="232"/>
      <c r="AN245" s="228"/>
      <c r="AO245" s="228"/>
      <c r="AP245" s="237"/>
      <c r="AQ245" s="228"/>
      <c r="AR245" s="232"/>
      <c r="AS245" s="228"/>
      <c r="AT245" s="229"/>
      <c r="AU245" s="229"/>
      <c r="AV245" s="229"/>
      <c r="AW245" s="229"/>
      <c r="AX245" s="229"/>
      <c r="AY245" s="229"/>
      <c r="AZ245" s="238">
        <v>43389</v>
      </c>
      <c r="BA245" s="1" t="s">
        <v>7684</v>
      </c>
      <c r="BB245">
        <v>130</v>
      </c>
      <c r="BC245">
        <v>45</v>
      </c>
      <c r="BD245">
        <v>3030</v>
      </c>
      <c r="BE24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45" s="240">
        <f>COUNTIFS(_05preva_view43[Site ID],_05preva_view43[[#This Row],[Site ID]],_05preva_view43[Prevalidation Status],"Under Prevalidation")</f>
        <v>0</v>
      </c>
      <c r="BG24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5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2.xlsx</v>
      </c>
      <c r="BI245" s="64" t="e">
        <f t="shared" ca="1" si="4"/>
        <v>#VALUE!</v>
      </c>
      <c r="BJ245" s="104" t="e">
        <f ca="1">LEFT(CELL("filename",A230),_05preva_view43[[#This Row],[Find Process &amp; Database]]-1)</f>
        <v>#VALUE!</v>
      </c>
      <c r="BK245" s="104" t="e">
        <f ca="1">_05preva_view43[Folder Path1]&amp;"Process &amp; Database\Documentation\Colo Applications"</f>
        <v>#VALUE!</v>
      </c>
      <c r="BL245" s="104" t="e">
        <f ca="1">_05preva_view43[Folder Path2]&amp;"\Colo App "&amp;_05preva_view43[[#This Row],[Operator]]&amp;"\"</f>
        <v>#VALUE!</v>
      </c>
      <c r="BM245" s="63" t="e">
        <f ca="1">_05preva_view43[[#This Row],[Folder Path3]]&amp;_05preva_view43[[#This Row],[File Name]]</f>
        <v>#VALUE!</v>
      </c>
      <c r="BN245" s="104"/>
      <c r="CF245" s="5"/>
      <c r="CG245" s="5"/>
      <c r="CH245" s="3"/>
      <c r="CJ245" s="5"/>
      <c r="CN245" s="3"/>
      <c r="CO245" s="3"/>
      <c r="CP245" s="5"/>
      <c r="CR245" s="3"/>
      <c r="DN245" s="5"/>
      <c r="DP245" s="3"/>
      <c r="EB245" s="7"/>
      <c r="EC245" s="7"/>
      <c r="EF245" s="4"/>
      <c r="EG245" s="4"/>
      <c r="EQ245" s="2"/>
      <c r="ER245" s="2"/>
    </row>
    <row r="246" spans="1:148">
      <c r="A246" s="227">
        <v>3373</v>
      </c>
      <c r="B246" s="228" t="s">
        <v>788</v>
      </c>
      <c r="C246" s="228" t="s">
        <v>278</v>
      </c>
      <c r="D246" s="228" t="s">
        <v>117</v>
      </c>
      <c r="E246" s="228" t="s">
        <v>789</v>
      </c>
      <c r="F246" s="228" t="s">
        <v>35</v>
      </c>
      <c r="G246" s="228" t="s">
        <v>1292</v>
      </c>
      <c r="H246" s="228" t="s">
        <v>1285</v>
      </c>
      <c r="I246" s="228" t="s">
        <v>790</v>
      </c>
      <c r="J246" s="228" t="s">
        <v>694</v>
      </c>
      <c r="K246" s="229">
        <v>43389</v>
      </c>
      <c r="L246" s="230"/>
      <c r="M246" s="230">
        <v>3.4</v>
      </c>
      <c r="N246" s="228">
        <v>4.1859999999999999</v>
      </c>
      <c r="O246" s="228" t="s">
        <v>687</v>
      </c>
      <c r="P246" s="231" t="s">
        <v>695</v>
      </c>
      <c r="Q246" s="231" t="s">
        <v>696</v>
      </c>
      <c r="R246" s="228" t="s">
        <v>24</v>
      </c>
      <c r="S246" s="228"/>
      <c r="T246" s="232" t="s">
        <v>615</v>
      </c>
      <c r="U246" s="228"/>
      <c r="V246" s="232" t="s">
        <v>615</v>
      </c>
      <c r="W246" s="228"/>
      <c r="X246" s="232" t="s">
        <v>120</v>
      </c>
      <c r="Y246" s="228" t="s">
        <v>791</v>
      </c>
      <c r="Z246" s="233" t="s">
        <v>120</v>
      </c>
      <c r="AA246" s="234"/>
      <c r="AB246" s="234"/>
      <c r="AC246" s="235" t="s">
        <v>123</v>
      </c>
      <c r="AD246" s="228" t="s">
        <v>792</v>
      </c>
      <c r="AE246" s="232" t="s">
        <v>615</v>
      </c>
      <c r="AF246" s="229"/>
      <c r="AG246" s="236"/>
      <c r="AH246" s="236"/>
      <c r="AI246" s="228"/>
      <c r="AJ246" s="232" t="s">
        <v>615</v>
      </c>
      <c r="AK246" s="228"/>
      <c r="AL246" s="228"/>
      <c r="AM246" s="232"/>
      <c r="AN246" s="228"/>
      <c r="AO246" s="228"/>
      <c r="AP246" s="237"/>
      <c r="AQ246" s="228"/>
      <c r="AR246" s="232"/>
      <c r="AS246" s="228"/>
      <c r="AT246" s="229"/>
      <c r="AU246" s="229"/>
      <c r="AV246" s="229"/>
      <c r="AW246" s="229"/>
      <c r="AX246" s="229"/>
      <c r="AY246" s="229"/>
      <c r="AZ246" s="238">
        <v>43389</v>
      </c>
      <c r="BA246" s="1" t="s">
        <v>7684</v>
      </c>
      <c r="BB246">
        <v>130</v>
      </c>
      <c r="BC246">
        <v>60</v>
      </c>
      <c r="BD246">
        <v>2677</v>
      </c>
      <c r="BE24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46" s="240">
        <f>COUNTIFS(_05preva_view43[Site ID],_05preva_view43[[#This Row],[Site ID]],_05preva_view43[Prevalidation Status],"Under Prevalidation")</f>
        <v>0</v>
      </c>
      <c r="BG24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6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1-01-14001-005 (SHS00183) Application Rev 4.xlsx</v>
      </c>
      <c r="BI246" s="64" t="e">
        <f t="shared" ca="1" si="4"/>
        <v>#VALUE!</v>
      </c>
      <c r="BJ246" s="104" t="e">
        <f ca="1">LEFT(CELL("filename",A231),_05preva_view43[[#This Row],[Find Process &amp; Database]]-1)</f>
        <v>#VALUE!</v>
      </c>
      <c r="BK246" s="104" t="e">
        <f ca="1">_05preva_view43[Folder Path1]&amp;"Process &amp; Database\Documentation\Colo Applications"</f>
        <v>#VALUE!</v>
      </c>
      <c r="BL246" s="104" t="e">
        <f ca="1">_05preva_view43[Folder Path2]&amp;"\Colo App "&amp;_05preva_view43[[#This Row],[Operator]]&amp;"\"</f>
        <v>#VALUE!</v>
      </c>
      <c r="BM246" s="63" t="e">
        <f ca="1">_05preva_view43[[#This Row],[Folder Path3]]&amp;_05preva_view43[[#This Row],[File Name]]</f>
        <v>#VALUE!</v>
      </c>
      <c r="BN246" s="104"/>
      <c r="CF246" s="5"/>
      <c r="CG246" s="5"/>
      <c r="CH246" s="3"/>
      <c r="CJ246" s="5"/>
      <c r="CN246" s="3"/>
      <c r="CO246" s="3"/>
      <c r="CP246" s="5"/>
      <c r="CR246" s="3"/>
      <c r="DN246" s="5"/>
      <c r="DP246" s="3"/>
      <c r="EB246" s="7"/>
      <c r="EC246" s="7"/>
      <c r="EF246" s="4"/>
      <c r="EG246" s="4"/>
      <c r="EQ246" s="2"/>
      <c r="ER246" s="2"/>
    </row>
    <row r="247" spans="1:148">
      <c r="A247" s="227">
        <v>3374</v>
      </c>
      <c r="B247" s="228" t="s">
        <v>793</v>
      </c>
      <c r="C247" s="228" t="s">
        <v>278</v>
      </c>
      <c r="D247" s="228" t="s">
        <v>127</v>
      </c>
      <c r="E247" s="228" t="s">
        <v>794</v>
      </c>
      <c r="F247" s="228" t="s">
        <v>35</v>
      </c>
      <c r="G247" s="228" t="s">
        <v>1292</v>
      </c>
      <c r="H247" s="228" t="s">
        <v>1285</v>
      </c>
      <c r="I247" s="228" t="s">
        <v>790</v>
      </c>
      <c r="J247" s="228" t="s">
        <v>727</v>
      </c>
      <c r="K247" s="229">
        <v>43389</v>
      </c>
      <c r="L247" s="230"/>
      <c r="M247" s="230">
        <v>3.7</v>
      </c>
      <c r="N247" s="228">
        <v>5.1020000000000003</v>
      </c>
      <c r="O247" s="228" t="s">
        <v>687</v>
      </c>
      <c r="P247" s="231" t="s">
        <v>695</v>
      </c>
      <c r="Q247" s="231" t="s">
        <v>696</v>
      </c>
      <c r="R247" s="228" t="s">
        <v>24</v>
      </c>
      <c r="S247" s="228"/>
      <c r="T247" s="232" t="s">
        <v>615</v>
      </c>
      <c r="U247" s="228"/>
      <c r="V247" s="232" t="s">
        <v>615</v>
      </c>
      <c r="W247" s="228"/>
      <c r="X247" s="232" t="s">
        <v>120</v>
      </c>
      <c r="Y247" s="228" t="s">
        <v>795</v>
      </c>
      <c r="Z247" s="233" t="s">
        <v>615</v>
      </c>
      <c r="AA247" s="234"/>
      <c r="AB247" s="234"/>
      <c r="AC247" s="235"/>
      <c r="AD247" s="228"/>
      <c r="AE247" s="232" t="s">
        <v>615</v>
      </c>
      <c r="AF247" s="229"/>
      <c r="AG247" s="236"/>
      <c r="AH247" s="236"/>
      <c r="AI247" s="228"/>
      <c r="AJ247" s="232" t="s">
        <v>615</v>
      </c>
      <c r="AK247" s="228"/>
      <c r="AL247" s="228"/>
      <c r="AM247" s="232"/>
      <c r="AN247" s="228"/>
      <c r="AO247" s="228"/>
      <c r="AP247" s="237"/>
      <c r="AQ247" s="228"/>
      <c r="AR247" s="232"/>
      <c r="AS247" s="228"/>
      <c r="AT247" s="229">
        <v>43420.4857730324</v>
      </c>
      <c r="AU247" s="229"/>
      <c r="AV247" s="229"/>
      <c r="AW247" s="229"/>
      <c r="AX247" s="229"/>
      <c r="AY247" s="229"/>
      <c r="AZ247" s="238">
        <v>43420.4857730324</v>
      </c>
      <c r="BA247" s="1" t="s">
        <v>7684</v>
      </c>
      <c r="BB247">
        <v>130</v>
      </c>
      <c r="BC247">
        <v>60</v>
      </c>
      <c r="BD247">
        <v>3537</v>
      </c>
      <c r="BE247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31.485773032400175</v>
      </c>
      <c r="BF247" s="240">
        <f>COUNTIFS(_05preva_view43[Site ID],_05preva_view43[[#This Row],[Site ID]],_05preva_view43[Prevalidation Status],"Under Prevalidation")</f>
        <v>0</v>
      </c>
      <c r="BG24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7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1-01-01009-013 (KCN00152) Application Rev 3.xlsx</v>
      </c>
      <c r="BI247" s="64" t="e">
        <f t="shared" ca="1" si="4"/>
        <v>#VALUE!</v>
      </c>
      <c r="BJ247" s="104" t="e">
        <f ca="1">LEFT(CELL("filename",A232),_05preva_view43[[#This Row],[Find Process &amp; Database]]-1)</f>
        <v>#VALUE!</v>
      </c>
      <c r="BK247" s="104" t="e">
        <f ca="1">_05preva_view43[Folder Path1]&amp;"Process &amp; Database\Documentation\Colo Applications"</f>
        <v>#VALUE!</v>
      </c>
      <c r="BL247" s="104" t="e">
        <f ca="1">_05preva_view43[Folder Path2]&amp;"\Colo App "&amp;_05preva_view43[[#This Row],[Operator]]&amp;"\"</f>
        <v>#VALUE!</v>
      </c>
      <c r="BM247" s="63" t="e">
        <f ca="1">_05preva_view43[[#This Row],[Folder Path3]]&amp;_05preva_view43[[#This Row],[File Name]]</f>
        <v>#VALUE!</v>
      </c>
      <c r="BN247" s="104"/>
      <c r="CF247" s="5"/>
      <c r="CG247" s="5"/>
      <c r="CH247" s="3"/>
      <c r="CJ247" s="5"/>
      <c r="CN247" s="3"/>
      <c r="CO247" s="3"/>
      <c r="CP247" s="5"/>
      <c r="CR247" s="3"/>
      <c r="DN247" s="5"/>
      <c r="DP247" s="3"/>
      <c r="EB247" s="7"/>
      <c r="EC247" s="7"/>
      <c r="EF247" s="4"/>
      <c r="EG247" s="4"/>
      <c r="EQ247" s="2"/>
      <c r="ER247" s="2"/>
    </row>
    <row r="248" spans="1:148">
      <c r="A248" s="227">
        <v>3352</v>
      </c>
      <c r="B248" s="228" t="s">
        <v>683</v>
      </c>
      <c r="C248" s="228" t="s">
        <v>278</v>
      </c>
      <c r="D248" s="228" t="s">
        <v>127</v>
      </c>
      <c r="E248" s="228" t="s">
        <v>684</v>
      </c>
      <c r="F248" s="228" t="s">
        <v>35</v>
      </c>
      <c r="G248" s="228" t="s">
        <v>1292</v>
      </c>
      <c r="H248" s="228" t="s">
        <v>1285</v>
      </c>
      <c r="I248" s="228" t="s">
        <v>685</v>
      </c>
      <c r="J248" s="228" t="s">
        <v>686</v>
      </c>
      <c r="K248" s="229">
        <v>43388</v>
      </c>
      <c r="L248" s="230"/>
      <c r="M248" s="230">
        <v>1.4</v>
      </c>
      <c r="N248" s="228">
        <v>5.24</v>
      </c>
      <c r="O248" s="228" t="s">
        <v>687</v>
      </c>
      <c r="P248" s="231" t="s">
        <v>597</v>
      </c>
      <c r="Q248" s="231" t="s">
        <v>688</v>
      </c>
      <c r="R248" s="228" t="s">
        <v>24</v>
      </c>
      <c r="S248" s="228"/>
      <c r="T248" s="232" t="s">
        <v>615</v>
      </c>
      <c r="U248" s="228"/>
      <c r="V248" s="232" t="s">
        <v>615</v>
      </c>
      <c r="W248" s="228"/>
      <c r="X248" s="232" t="s">
        <v>120</v>
      </c>
      <c r="Y248" s="228" t="s">
        <v>689</v>
      </c>
      <c r="Z248" s="233" t="s">
        <v>120</v>
      </c>
      <c r="AA248" s="234"/>
      <c r="AB248" s="234"/>
      <c r="AC248" s="235" t="s">
        <v>123</v>
      </c>
      <c r="AD248" s="228" t="s">
        <v>690</v>
      </c>
      <c r="AE248" s="232" t="s">
        <v>615</v>
      </c>
      <c r="AF248" s="229"/>
      <c r="AG248" s="236"/>
      <c r="AH248" s="236"/>
      <c r="AI248" s="228"/>
      <c r="AJ248" s="232" t="s">
        <v>615</v>
      </c>
      <c r="AK248" s="228"/>
      <c r="AL248" s="228"/>
      <c r="AM248" s="232"/>
      <c r="AN248" s="228"/>
      <c r="AO248" s="228"/>
      <c r="AP248" s="237"/>
      <c r="AQ248" s="228"/>
      <c r="AR248" s="232"/>
      <c r="AS248" s="228"/>
      <c r="AT248" s="229"/>
      <c r="AU248" s="229"/>
      <c r="AV248" s="229"/>
      <c r="AW248" s="229"/>
      <c r="AX248" s="229"/>
      <c r="AY248" s="229"/>
      <c r="AZ248" s="238">
        <v>43388</v>
      </c>
      <c r="BA248" s="1" t="s">
        <v>7684</v>
      </c>
      <c r="BB248">
        <v>130</v>
      </c>
      <c r="BC248">
        <v>56</v>
      </c>
      <c r="BD248">
        <v>3025</v>
      </c>
      <c r="BE24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48" s="240">
        <f>COUNTIFS(_05preva_view43[Site ID],_05preva_view43[[#This Row],[Site ID]],_05preva_view43[Prevalidation Status],"Under Prevalidation")</f>
        <v>0</v>
      </c>
      <c r="BG24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8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2.xlsx</v>
      </c>
      <c r="BI248" s="64" t="e">
        <f t="shared" ca="1" si="4"/>
        <v>#VALUE!</v>
      </c>
      <c r="BJ248" s="104" t="e">
        <f ca="1">LEFT(CELL("filename",A233),_05preva_view43[[#This Row],[Find Process &amp; Database]]-1)</f>
        <v>#VALUE!</v>
      </c>
      <c r="BK248" s="104" t="e">
        <f ca="1">_05preva_view43[Folder Path1]&amp;"Process &amp; Database\Documentation\Colo Applications"</f>
        <v>#VALUE!</v>
      </c>
      <c r="BL248" s="104" t="e">
        <f ca="1">_05preva_view43[Folder Path2]&amp;"\Colo App "&amp;_05preva_view43[[#This Row],[Operator]]&amp;"\"</f>
        <v>#VALUE!</v>
      </c>
      <c r="BM248" s="63" t="e">
        <f ca="1">_05preva_view43[[#This Row],[Folder Path3]]&amp;_05preva_view43[[#This Row],[File Name]]</f>
        <v>#VALUE!</v>
      </c>
      <c r="BN248" s="104"/>
      <c r="CF248" s="5"/>
      <c r="CG248" s="5"/>
      <c r="CH248" s="3"/>
      <c r="CJ248" s="5"/>
      <c r="CN248" s="3"/>
      <c r="CO248" s="3"/>
      <c r="CP248" s="5"/>
      <c r="CR248" s="3"/>
      <c r="DN248" s="5"/>
      <c r="DP248" s="3"/>
      <c r="EB248" s="7"/>
      <c r="EC248" s="7"/>
      <c r="EF248" s="4"/>
      <c r="EG248" s="4"/>
      <c r="EQ248" s="2"/>
      <c r="ER248" s="2"/>
    </row>
    <row r="249" spans="1:148">
      <c r="A249" s="227">
        <v>3353</v>
      </c>
      <c r="B249" s="228" t="s">
        <v>691</v>
      </c>
      <c r="C249" s="228" t="s">
        <v>278</v>
      </c>
      <c r="D249" s="228" t="s">
        <v>117</v>
      </c>
      <c r="E249" s="228" t="s">
        <v>692</v>
      </c>
      <c r="F249" s="228" t="s">
        <v>35</v>
      </c>
      <c r="G249" s="228" t="s">
        <v>1292</v>
      </c>
      <c r="H249" s="228" t="s">
        <v>1285</v>
      </c>
      <c r="I249" s="228" t="s">
        <v>693</v>
      </c>
      <c r="J249" s="228" t="s">
        <v>694</v>
      </c>
      <c r="K249" s="229">
        <v>43388</v>
      </c>
      <c r="L249" s="230"/>
      <c r="M249" s="230">
        <v>4.3</v>
      </c>
      <c r="N249" s="228">
        <v>4.55</v>
      </c>
      <c r="O249" s="228" t="s">
        <v>687</v>
      </c>
      <c r="P249" s="231" t="s">
        <v>695</v>
      </c>
      <c r="Q249" s="231" t="s">
        <v>696</v>
      </c>
      <c r="R249" s="228" t="s">
        <v>24</v>
      </c>
      <c r="S249" s="228"/>
      <c r="T249" s="232" t="s">
        <v>615</v>
      </c>
      <c r="U249" s="228"/>
      <c r="V249" s="232" t="s">
        <v>615</v>
      </c>
      <c r="W249" s="228"/>
      <c r="X249" s="232" t="s">
        <v>120</v>
      </c>
      <c r="Y249" s="228" t="s">
        <v>697</v>
      </c>
      <c r="Z249" s="233" t="s">
        <v>120</v>
      </c>
      <c r="AA249" s="234"/>
      <c r="AB249" s="234"/>
      <c r="AC249" s="235" t="s">
        <v>123</v>
      </c>
      <c r="AD249" s="228" t="s">
        <v>698</v>
      </c>
      <c r="AE249" s="232" t="s">
        <v>615</v>
      </c>
      <c r="AF249" s="229"/>
      <c r="AG249" s="236"/>
      <c r="AH249" s="236"/>
      <c r="AI249" s="228"/>
      <c r="AJ249" s="232" t="s">
        <v>615</v>
      </c>
      <c r="AK249" s="228"/>
      <c r="AL249" s="228"/>
      <c r="AM249" s="232"/>
      <c r="AN249" s="228"/>
      <c r="AO249" s="228"/>
      <c r="AP249" s="237"/>
      <c r="AQ249" s="228"/>
      <c r="AR249" s="232"/>
      <c r="AS249" s="228"/>
      <c r="AT249" s="229"/>
      <c r="AU249" s="229"/>
      <c r="AV249" s="229"/>
      <c r="AW249" s="229"/>
      <c r="AX249" s="229"/>
      <c r="AY249" s="229"/>
      <c r="AZ249" s="238">
        <v>43388</v>
      </c>
      <c r="BA249" s="1" t="s">
        <v>7684</v>
      </c>
      <c r="BB249">
        <v>130</v>
      </c>
      <c r="BC249">
        <v>60</v>
      </c>
      <c r="BD249">
        <v>3085</v>
      </c>
      <c r="BE24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49" s="240">
        <f>COUNTIFS(_05preva_view43[Site ID],_05preva_view43[[#This Row],[Site ID]],_05preva_view43[Prevalidation Status],"Under Prevalidation")</f>
        <v>0</v>
      </c>
      <c r="BG24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49" s="242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4.xlsx</v>
      </c>
      <c r="BI249" s="64" t="e">
        <f t="shared" ca="1" si="4"/>
        <v>#VALUE!</v>
      </c>
      <c r="BJ249" s="104" t="e">
        <f ca="1">LEFT(CELL("filename",A234),_05preva_view43[[#This Row],[Find Process &amp; Database]]-1)</f>
        <v>#VALUE!</v>
      </c>
      <c r="BK249" s="104" t="e">
        <f ca="1">_05preva_view43[Folder Path1]&amp;"Process &amp; Database\Documentation\Colo Applications"</f>
        <v>#VALUE!</v>
      </c>
      <c r="BL249" s="104" t="e">
        <f ca="1">_05preva_view43[Folder Path2]&amp;"\Colo App "&amp;_05preva_view43[[#This Row],[Operator]]&amp;"\"</f>
        <v>#VALUE!</v>
      </c>
      <c r="BM249" s="63" t="e">
        <f ca="1">_05preva_view43[[#This Row],[Folder Path3]]&amp;_05preva_view43[[#This Row],[File Name]]</f>
        <v>#VALUE!</v>
      </c>
      <c r="BN249" s="104"/>
      <c r="CF249" s="5"/>
      <c r="CG249" s="5"/>
      <c r="CH249" s="3"/>
      <c r="CJ249" s="5"/>
      <c r="CN249" s="3"/>
      <c r="CO249" s="3"/>
      <c r="CP249" s="5"/>
      <c r="CR249" s="3"/>
      <c r="DN249" s="5"/>
      <c r="DP249" s="3"/>
      <c r="EB249" s="7"/>
      <c r="EC249" s="7"/>
      <c r="EF249" s="4"/>
      <c r="EG249" s="4"/>
      <c r="EQ249" s="2"/>
      <c r="ER249" s="2"/>
    </row>
    <row r="250" spans="1:148">
      <c r="A250" s="227">
        <v>3354</v>
      </c>
      <c r="B250" s="228" t="s">
        <v>699</v>
      </c>
      <c r="C250" s="228" t="s">
        <v>278</v>
      </c>
      <c r="D250" s="228" t="s">
        <v>117</v>
      </c>
      <c r="E250" s="228" t="s">
        <v>700</v>
      </c>
      <c r="F250" s="228" t="s">
        <v>35</v>
      </c>
      <c r="G250" s="228" t="s">
        <v>1292</v>
      </c>
      <c r="H250" s="228" t="s">
        <v>1285</v>
      </c>
      <c r="I250" s="228" t="s">
        <v>693</v>
      </c>
      <c r="J250" s="228" t="s">
        <v>694</v>
      </c>
      <c r="K250" s="229">
        <v>43388</v>
      </c>
      <c r="L250" s="230"/>
      <c r="M250" s="230">
        <v>3.4</v>
      </c>
      <c r="N250" s="228">
        <v>3.59</v>
      </c>
      <c r="O250" s="228" t="s">
        <v>687</v>
      </c>
      <c r="P250" s="231" t="s">
        <v>695</v>
      </c>
      <c r="Q250" s="231" t="s">
        <v>696</v>
      </c>
      <c r="R250" s="228" t="s">
        <v>24</v>
      </c>
      <c r="S250" s="228"/>
      <c r="T250" s="232" t="s">
        <v>615</v>
      </c>
      <c r="U250" s="228"/>
      <c r="V250" s="232" t="s">
        <v>615</v>
      </c>
      <c r="W250" s="228"/>
      <c r="X250" s="232" t="s">
        <v>120</v>
      </c>
      <c r="Y250" s="228" t="s">
        <v>701</v>
      </c>
      <c r="Z250" s="233" t="s">
        <v>120</v>
      </c>
      <c r="AA250" s="234"/>
      <c r="AB250" s="234"/>
      <c r="AC250" s="235" t="s">
        <v>123</v>
      </c>
      <c r="AD250" s="228" t="s">
        <v>702</v>
      </c>
      <c r="AE250" s="232" t="s">
        <v>615</v>
      </c>
      <c r="AF250" s="229"/>
      <c r="AG250" s="236"/>
      <c r="AH250" s="236"/>
      <c r="AI250" s="228"/>
      <c r="AJ250" s="232" t="s">
        <v>615</v>
      </c>
      <c r="AK250" s="228"/>
      <c r="AL250" s="228"/>
      <c r="AM250" s="232"/>
      <c r="AN250" s="228"/>
      <c r="AO250" s="228"/>
      <c r="AP250" s="237"/>
      <c r="AQ250" s="228"/>
      <c r="AR250" s="232"/>
      <c r="AS250" s="228"/>
      <c r="AT250" s="229"/>
      <c r="AU250" s="229"/>
      <c r="AV250" s="229"/>
      <c r="AW250" s="229"/>
      <c r="AX250" s="229"/>
      <c r="AY250" s="229"/>
      <c r="AZ250" s="238">
        <v>43388</v>
      </c>
      <c r="BA250" s="1" t="s">
        <v>7684</v>
      </c>
      <c r="BB250">
        <v>130</v>
      </c>
      <c r="BC250">
        <v>60</v>
      </c>
      <c r="BD250">
        <v>2633</v>
      </c>
      <c r="BE25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50" s="240">
        <f>COUNTIFS(_05preva_view43[Site ID],_05preva_view43[[#This Row],[Site ID]],_05preva_view43[Prevalidation Status],"Under Prevalidation")</f>
        <v>0</v>
      </c>
      <c r="BG25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0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I250" s="64" t="e">
        <f t="shared" ca="1" si="4"/>
        <v>#VALUE!</v>
      </c>
      <c r="BJ250" s="104" t="e">
        <f ca="1">LEFT(CELL("filename",A235),_05preva_view43[[#This Row],[Find Process &amp; Database]]-1)</f>
        <v>#VALUE!</v>
      </c>
      <c r="BK250" s="104" t="e">
        <f ca="1">_05preva_view43[Folder Path1]&amp;"Process &amp; Database\Documentation\Colo Applications"</f>
        <v>#VALUE!</v>
      </c>
      <c r="BL250" s="104" t="e">
        <f ca="1">_05preva_view43[Folder Path2]&amp;"\Colo App "&amp;_05preva_view43[[#This Row],[Operator]]&amp;"\"</f>
        <v>#VALUE!</v>
      </c>
      <c r="BM250" s="63" t="e">
        <f ca="1">_05preva_view43[[#This Row],[Folder Path3]]&amp;_05preva_view43[[#This Row],[File Name]]</f>
        <v>#VALUE!</v>
      </c>
      <c r="BN250" s="104"/>
      <c r="CF250" s="5"/>
      <c r="CG250" s="5"/>
      <c r="CH250" s="3"/>
      <c r="CJ250" s="5"/>
      <c r="CN250" s="3"/>
      <c r="CO250" s="3"/>
      <c r="CP250" s="5"/>
      <c r="CR250" s="3"/>
      <c r="DN250" s="5"/>
      <c r="DP250" s="3"/>
      <c r="EB250" s="7"/>
      <c r="EC250" s="7"/>
      <c r="EF250" s="4"/>
      <c r="EG250" s="4"/>
      <c r="EQ250" s="2"/>
      <c r="ER250" s="2"/>
    </row>
    <row r="251" spans="1:148">
      <c r="A251" s="227">
        <v>3355</v>
      </c>
      <c r="B251" s="228" t="s">
        <v>703</v>
      </c>
      <c r="C251" s="228" t="s">
        <v>278</v>
      </c>
      <c r="D251" s="228" t="s">
        <v>117</v>
      </c>
      <c r="E251" s="228" t="s">
        <v>704</v>
      </c>
      <c r="F251" s="228" t="s">
        <v>35</v>
      </c>
      <c r="G251" s="228" t="s">
        <v>1292</v>
      </c>
      <c r="H251" s="228" t="s">
        <v>1285</v>
      </c>
      <c r="I251" s="228" t="s">
        <v>693</v>
      </c>
      <c r="J251" s="228" t="s">
        <v>686</v>
      </c>
      <c r="K251" s="229">
        <v>43388</v>
      </c>
      <c r="L251" s="230"/>
      <c r="M251" s="230">
        <v>3.9</v>
      </c>
      <c r="N251" s="228">
        <v>3.37</v>
      </c>
      <c r="O251" s="228" t="s">
        <v>687</v>
      </c>
      <c r="P251" s="231" t="s">
        <v>705</v>
      </c>
      <c r="Q251" s="231" t="s">
        <v>706</v>
      </c>
      <c r="R251" s="228" t="s">
        <v>24</v>
      </c>
      <c r="S251" s="228"/>
      <c r="T251" s="232" t="s">
        <v>615</v>
      </c>
      <c r="U251" s="228"/>
      <c r="V251" s="232" t="s">
        <v>615</v>
      </c>
      <c r="W251" s="228"/>
      <c r="X251" s="232" t="s">
        <v>120</v>
      </c>
      <c r="Y251" s="228" t="s">
        <v>707</v>
      </c>
      <c r="Z251" s="233" t="s">
        <v>120</v>
      </c>
      <c r="AA251" s="234"/>
      <c r="AB251" s="234"/>
      <c r="AC251" s="235" t="s">
        <v>123</v>
      </c>
      <c r="AD251" s="228" t="s">
        <v>708</v>
      </c>
      <c r="AE251" s="232" t="s">
        <v>615</v>
      </c>
      <c r="AF251" s="229"/>
      <c r="AG251" s="236"/>
      <c r="AH251" s="236"/>
      <c r="AI251" s="228"/>
      <c r="AJ251" s="232" t="s">
        <v>615</v>
      </c>
      <c r="AK251" s="228"/>
      <c r="AL251" s="228"/>
      <c r="AM251" s="232"/>
      <c r="AN251" s="228"/>
      <c r="AO251" s="228"/>
      <c r="AP251" s="237"/>
      <c r="AQ251" s="228"/>
      <c r="AR251" s="232"/>
      <c r="AS251" s="228"/>
      <c r="AT251" s="229"/>
      <c r="AU251" s="229"/>
      <c r="AV251" s="229"/>
      <c r="AW251" s="229"/>
      <c r="AX251" s="229"/>
      <c r="AY251" s="229"/>
      <c r="AZ251" s="238">
        <v>43388</v>
      </c>
      <c r="BA251" s="1" t="s">
        <v>7684</v>
      </c>
      <c r="BB251">
        <v>130</v>
      </c>
      <c r="BC251">
        <v>60</v>
      </c>
      <c r="BD251">
        <v>3080</v>
      </c>
      <c r="BE25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51" s="240">
        <f>COUNTIFS(_05preva_view43[Site ID],_05preva_view43[[#This Row],[Site ID]],_05preva_view43[Prevalidation Status],"Under Prevalidation")</f>
        <v>0</v>
      </c>
      <c r="BG25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1" s="242" t="str">
        <f>CONCATENATE(_05preva_view43[[#This Row],[Site ID]]," (",_05preva_view43[[#This Row],[tenant id]],") Application",IF(_05preva_view43[[#This Row],[Colo Rev]]&gt;0," Rev "&amp;_05preva_view43[[#This Row],[Colo Rev]],""),".xlsx")</f>
        <v>1-01-14013-002 (SHS00185) Application Rev 2.xlsx</v>
      </c>
      <c r="BI251" s="64" t="e">
        <f t="shared" ca="1" si="4"/>
        <v>#VALUE!</v>
      </c>
      <c r="BJ251" s="104" t="e">
        <f ca="1">LEFT(CELL("filename",A236),_05preva_view43[[#This Row],[Find Process &amp; Database]]-1)</f>
        <v>#VALUE!</v>
      </c>
      <c r="BK251" s="104" t="e">
        <f ca="1">_05preva_view43[Folder Path1]&amp;"Process &amp; Database\Documentation\Colo Applications"</f>
        <v>#VALUE!</v>
      </c>
      <c r="BL251" s="104" t="e">
        <f ca="1">_05preva_view43[Folder Path2]&amp;"\Colo App "&amp;_05preva_view43[[#This Row],[Operator]]&amp;"\"</f>
        <v>#VALUE!</v>
      </c>
      <c r="BM251" s="63" t="e">
        <f ca="1">_05preva_view43[[#This Row],[Folder Path3]]&amp;_05preva_view43[[#This Row],[File Name]]</f>
        <v>#VALUE!</v>
      </c>
      <c r="BN251" s="104"/>
      <c r="CF251" s="5"/>
      <c r="CG251" s="5"/>
      <c r="CH251" s="3"/>
      <c r="CJ251" s="5"/>
      <c r="CN251" s="3"/>
      <c r="CO251" s="3"/>
      <c r="CP251" s="5"/>
      <c r="CR251" s="3"/>
      <c r="DN251" s="5"/>
      <c r="DP251" s="3"/>
      <c r="EB251" s="7"/>
      <c r="EC251" s="7"/>
      <c r="EF251" s="4"/>
      <c r="EG251" s="4"/>
      <c r="EQ251" s="2"/>
      <c r="ER251" s="2"/>
    </row>
    <row r="252" spans="1:148">
      <c r="A252" s="227">
        <v>3356</v>
      </c>
      <c r="B252" s="228" t="s">
        <v>709</v>
      </c>
      <c r="C252" s="228" t="s">
        <v>278</v>
      </c>
      <c r="D252" s="228" t="s">
        <v>153</v>
      </c>
      <c r="E252" s="228" t="s">
        <v>710</v>
      </c>
      <c r="F252" s="228" t="s">
        <v>35</v>
      </c>
      <c r="G252" s="228" t="s">
        <v>1292</v>
      </c>
      <c r="H252" s="228" t="s">
        <v>1285</v>
      </c>
      <c r="I252" s="228" t="s">
        <v>693</v>
      </c>
      <c r="J252" s="228" t="s">
        <v>694</v>
      </c>
      <c r="K252" s="229">
        <v>43388</v>
      </c>
      <c r="L252" s="230"/>
      <c r="M252" s="230">
        <v>3.3</v>
      </c>
      <c r="N252" s="228">
        <v>4.3099999999999996</v>
      </c>
      <c r="O252" s="228" t="s">
        <v>687</v>
      </c>
      <c r="P252" s="231" t="s">
        <v>695</v>
      </c>
      <c r="Q252" s="231" t="s">
        <v>696</v>
      </c>
      <c r="R252" s="228" t="s">
        <v>24</v>
      </c>
      <c r="S252" s="228"/>
      <c r="T252" s="232" t="s">
        <v>615</v>
      </c>
      <c r="U252" s="228"/>
      <c r="V252" s="232" t="s">
        <v>615</v>
      </c>
      <c r="W252" s="228"/>
      <c r="X252" s="232" t="s">
        <v>120</v>
      </c>
      <c r="Y252" s="228" t="s">
        <v>711</v>
      </c>
      <c r="Z252" s="233" t="s">
        <v>120</v>
      </c>
      <c r="AA252" s="234"/>
      <c r="AB252" s="234"/>
      <c r="AC252" s="235" t="s">
        <v>123</v>
      </c>
      <c r="AD252" s="228" t="s">
        <v>712</v>
      </c>
      <c r="AE252" s="232" t="s">
        <v>615</v>
      </c>
      <c r="AF252" s="229"/>
      <c r="AG252" s="236"/>
      <c r="AH252" s="236"/>
      <c r="AI252" s="228"/>
      <c r="AJ252" s="232" t="s">
        <v>615</v>
      </c>
      <c r="AK252" s="228"/>
      <c r="AL252" s="228"/>
      <c r="AM252" s="232"/>
      <c r="AN252" s="228"/>
      <c r="AO252" s="228"/>
      <c r="AP252" s="237"/>
      <c r="AQ252" s="228"/>
      <c r="AR252" s="232"/>
      <c r="AS252" s="228"/>
      <c r="AT252" s="229"/>
      <c r="AU252" s="229"/>
      <c r="AV252" s="229"/>
      <c r="AW252" s="229"/>
      <c r="AX252" s="229"/>
      <c r="AY252" s="229"/>
      <c r="AZ252" s="238">
        <v>43388</v>
      </c>
      <c r="BA252" s="1" t="s">
        <v>7684</v>
      </c>
      <c r="BB252">
        <v>160</v>
      </c>
      <c r="BC252">
        <v>60</v>
      </c>
      <c r="BD252">
        <v>3180</v>
      </c>
      <c r="BE25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52" s="240">
        <f>COUNTIFS(_05preva_view43[Site ID],_05preva_view43[[#This Row],[Site ID]],_05preva_view43[Prevalidation Status],"Under Prevalidation")</f>
        <v>0</v>
      </c>
      <c r="BG25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2" s="242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4.xlsx</v>
      </c>
      <c r="BI252" s="64" t="e">
        <f t="shared" ca="1" si="4"/>
        <v>#VALUE!</v>
      </c>
      <c r="BJ252" s="104" t="e">
        <f ca="1">LEFT(CELL("filename",A237),_05preva_view43[[#This Row],[Find Process &amp; Database]]-1)</f>
        <v>#VALUE!</v>
      </c>
      <c r="BK252" s="104" t="e">
        <f ca="1">_05preva_view43[Folder Path1]&amp;"Process &amp; Database\Documentation\Colo Applications"</f>
        <v>#VALUE!</v>
      </c>
      <c r="BL252" s="104" t="e">
        <f ca="1">_05preva_view43[Folder Path2]&amp;"\Colo App "&amp;_05preva_view43[[#This Row],[Operator]]&amp;"\"</f>
        <v>#VALUE!</v>
      </c>
      <c r="BM252" s="63" t="e">
        <f ca="1">_05preva_view43[[#This Row],[Folder Path3]]&amp;_05preva_view43[[#This Row],[File Name]]</f>
        <v>#VALUE!</v>
      </c>
      <c r="BN252" s="104"/>
      <c r="CF252" s="5"/>
      <c r="CG252" s="5"/>
      <c r="CH252" s="3"/>
      <c r="CJ252" s="5"/>
      <c r="CN252" s="3"/>
      <c r="CO252" s="3"/>
      <c r="CP252" s="5"/>
      <c r="CR252" s="3"/>
      <c r="DN252" s="5"/>
      <c r="DP252" s="3"/>
      <c r="EB252" s="7"/>
      <c r="EC252" s="7"/>
      <c r="EF252" s="4"/>
      <c r="EG252" s="4"/>
      <c r="EQ252" s="2"/>
      <c r="ER252" s="2"/>
    </row>
    <row r="253" spans="1:148">
      <c r="A253" s="227">
        <v>3357</v>
      </c>
      <c r="B253" s="228" t="s">
        <v>713</v>
      </c>
      <c r="C253" s="228" t="s">
        <v>278</v>
      </c>
      <c r="D253" s="228" t="s">
        <v>127</v>
      </c>
      <c r="E253" s="228" t="s">
        <v>714</v>
      </c>
      <c r="F253" s="228" t="s">
        <v>35</v>
      </c>
      <c r="G253" s="228" t="s">
        <v>1292</v>
      </c>
      <c r="H253" s="228" t="s">
        <v>1285</v>
      </c>
      <c r="I253" s="228" t="s">
        <v>693</v>
      </c>
      <c r="J253" s="228" t="s">
        <v>686</v>
      </c>
      <c r="K253" s="229">
        <v>43388</v>
      </c>
      <c r="L253" s="230"/>
      <c r="M253" s="230">
        <v>3.5</v>
      </c>
      <c r="N253" s="228">
        <v>4.25</v>
      </c>
      <c r="O253" s="228" t="s">
        <v>687</v>
      </c>
      <c r="P253" s="231" t="s">
        <v>508</v>
      </c>
      <c r="Q253" s="231" t="s">
        <v>509</v>
      </c>
      <c r="R253" s="228" t="s">
        <v>24</v>
      </c>
      <c r="S253" s="228"/>
      <c r="T253" s="232" t="s">
        <v>615</v>
      </c>
      <c r="U253" s="228"/>
      <c r="V253" s="232" t="s">
        <v>615</v>
      </c>
      <c r="W253" s="228"/>
      <c r="X253" s="232" t="s">
        <v>120</v>
      </c>
      <c r="Y253" s="228" t="s">
        <v>715</v>
      </c>
      <c r="Z253" s="233" t="s">
        <v>120</v>
      </c>
      <c r="AA253" s="234"/>
      <c r="AB253" s="234"/>
      <c r="AC253" s="235" t="s">
        <v>123</v>
      </c>
      <c r="AD253" s="228" t="s">
        <v>716</v>
      </c>
      <c r="AE253" s="232" t="s">
        <v>615</v>
      </c>
      <c r="AF253" s="229"/>
      <c r="AG253" s="236"/>
      <c r="AH253" s="236"/>
      <c r="AI253" s="228"/>
      <c r="AJ253" s="232" t="s">
        <v>615</v>
      </c>
      <c r="AK253" s="228"/>
      <c r="AL253" s="228"/>
      <c r="AM253" s="232"/>
      <c r="AN253" s="228"/>
      <c r="AO253" s="228"/>
      <c r="AP253" s="237"/>
      <c r="AQ253" s="228"/>
      <c r="AR253" s="232"/>
      <c r="AS253" s="228"/>
      <c r="AT253" s="229"/>
      <c r="AU253" s="229"/>
      <c r="AV253" s="229"/>
      <c r="AW253" s="229"/>
      <c r="AX253" s="229"/>
      <c r="AY253" s="229"/>
      <c r="AZ253" s="238">
        <v>43388</v>
      </c>
      <c r="BA253" s="1" t="s">
        <v>7684</v>
      </c>
      <c r="BB253">
        <v>130</v>
      </c>
      <c r="BC253">
        <v>45</v>
      </c>
      <c r="BD253">
        <v>3101</v>
      </c>
      <c r="BE25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53" s="240">
        <f>COUNTIFS(_05preva_view43[Site ID],_05preva_view43[[#This Row],[Site ID]],_05preva_view43[Prevalidation Status],"Under Prevalidation")</f>
        <v>0</v>
      </c>
      <c r="BG25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3" s="242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2.xlsx</v>
      </c>
      <c r="BI253" s="64" t="e">
        <f t="shared" ca="1" si="4"/>
        <v>#VALUE!</v>
      </c>
      <c r="BJ253" s="104" t="e">
        <f ca="1">LEFT(CELL("filename",A238),_05preva_view43[[#This Row],[Find Process &amp; Database]]-1)</f>
        <v>#VALUE!</v>
      </c>
      <c r="BK253" s="104" t="e">
        <f ca="1">_05preva_view43[Folder Path1]&amp;"Process &amp; Database\Documentation\Colo Applications"</f>
        <v>#VALUE!</v>
      </c>
      <c r="BL253" s="104" t="e">
        <f ca="1">_05preva_view43[Folder Path2]&amp;"\Colo App "&amp;_05preva_view43[[#This Row],[Operator]]&amp;"\"</f>
        <v>#VALUE!</v>
      </c>
      <c r="BM253" s="63" t="e">
        <f ca="1">_05preva_view43[[#This Row],[Folder Path3]]&amp;_05preva_view43[[#This Row],[File Name]]</f>
        <v>#VALUE!</v>
      </c>
      <c r="BN253" s="104"/>
      <c r="CF253" s="5"/>
      <c r="CG253" s="5"/>
      <c r="CH253" s="3"/>
      <c r="CJ253" s="5"/>
      <c r="CN253" s="3"/>
      <c r="CO253" s="3"/>
      <c r="CP253" s="5"/>
      <c r="CR253" s="3"/>
      <c r="DN253" s="5"/>
      <c r="DP253" s="3"/>
      <c r="EB253" s="7"/>
      <c r="EC253" s="7"/>
      <c r="EF253" s="4"/>
      <c r="EG253" s="4"/>
      <c r="EQ253" s="2"/>
      <c r="ER253" s="2"/>
    </row>
    <row r="254" spans="1:148">
      <c r="A254" s="227">
        <v>3358</v>
      </c>
      <c r="B254" s="228" t="s">
        <v>717</v>
      </c>
      <c r="C254" s="228" t="s">
        <v>278</v>
      </c>
      <c r="D254" s="228" t="s">
        <v>153</v>
      </c>
      <c r="E254" s="228" t="s">
        <v>718</v>
      </c>
      <c r="F254" s="228" t="s">
        <v>35</v>
      </c>
      <c r="G254" s="228" t="s">
        <v>1292</v>
      </c>
      <c r="H254" s="228" t="s">
        <v>1285</v>
      </c>
      <c r="I254" s="228" t="s">
        <v>693</v>
      </c>
      <c r="J254" s="228" t="s">
        <v>686</v>
      </c>
      <c r="K254" s="229">
        <v>43388</v>
      </c>
      <c r="L254" s="230"/>
      <c r="M254" s="230">
        <v>2.7</v>
      </c>
      <c r="N254" s="228">
        <v>4.97</v>
      </c>
      <c r="O254" s="228" t="s">
        <v>687</v>
      </c>
      <c r="P254" s="231" t="s">
        <v>508</v>
      </c>
      <c r="Q254" s="231" t="s">
        <v>509</v>
      </c>
      <c r="R254" s="228" t="s">
        <v>24</v>
      </c>
      <c r="S254" s="228"/>
      <c r="T254" s="232" t="s">
        <v>615</v>
      </c>
      <c r="U254" s="228"/>
      <c r="V254" s="232" t="s">
        <v>615</v>
      </c>
      <c r="W254" s="228"/>
      <c r="X254" s="232" t="s">
        <v>120</v>
      </c>
      <c r="Y254" s="228" t="s">
        <v>719</v>
      </c>
      <c r="Z254" s="233" t="s">
        <v>120</v>
      </c>
      <c r="AA254" s="234"/>
      <c r="AB254" s="234"/>
      <c r="AC254" s="235" t="s">
        <v>123</v>
      </c>
      <c r="AD254" s="228" t="s">
        <v>720</v>
      </c>
      <c r="AE254" s="232" t="s">
        <v>615</v>
      </c>
      <c r="AF254" s="229"/>
      <c r="AG254" s="236"/>
      <c r="AH254" s="236"/>
      <c r="AI254" s="228"/>
      <c r="AJ254" s="232" t="s">
        <v>615</v>
      </c>
      <c r="AK254" s="228"/>
      <c r="AL254" s="228"/>
      <c r="AM254" s="232"/>
      <c r="AN254" s="228"/>
      <c r="AO254" s="228"/>
      <c r="AP254" s="237"/>
      <c r="AQ254" s="228"/>
      <c r="AR254" s="232"/>
      <c r="AS254" s="228"/>
      <c r="AT254" s="229"/>
      <c r="AU254" s="229"/>
      <c r="AV254" s="229"/>
      <c r="AW254" s="229"/>
      <c r="AX254" s="229"/>
      <c r="AY254" s="229"/>
      <c r="AZ254" s="238">
        <v>43388</v>
      </c>
      <c r="BA254" s="1" t="s">
        <v>7684</v>
      </c>
      <c r="BB254">
        <v>195</v>
      </c>
      <c r="BC254">
        <v>45</v>
      </c>
      <c r="BD254">
        <v>2569</v>
      </c>
      <c r="BE25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54" s="240">
        <f>COUNTIFS(_05preva_view43[Site ID],_05preva_view43[[#This Row],[Site ID]],_05preva_view43[Prevalidation Status],"Under Prevalidation")</f>
        <v>0</v>
      </c>
      <c r="BG25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4" s="242" t="str">
        <f>CONCATENATE(_05preva_view43[[#This Row],[Site ID]]," (",_05preva_view43[[#This Row],[tenant id]],") Application",IF(_05preva_view43[[#This Row],[Colo Rev]]&gt;0," Rev "&amp;_05preva_view43[[#This Row],[Colo Rev]],""),".xlsx")</f>
        <v>1-01-17019-003 (AWD00111) Application Rev 2.xlsx</v>
      </c>
      <c r="BI254" s="64" t="e">
        <f t="shared" ca="1" si="4"/>
        <v>#VALUE!</v>
      </c>
      <c r="BJ254" s="104" t="e">
        <f ca="1">LEFT(CELL("filename",A239),_05preva_view43[[#This Row],[Find Process &amp; Database]]-1)</f>
        <v>#VALUE!</v>
      </c>
      <c r="BK254" s="104" t="e">
        <f ca="1">_05preva_view43[Folder Path1]&amp;"Process &amp; Database\Documentation\Colo Applications"</f>
        <v>#VALUE!</v>
      </c>
      <c r="BL254" s="104" t="e">
        <f ca="1">_05preva_view43[Folder Path2]&amp;"\Colo App "&amp;_05preva_view43[[#This Row],[Operator]]&amp;"\"</f>
        <v>#VALUE!</v>
      </c>
      <c r="BM254" s="63" t="e">
        <f ca="1">_05preva_view43[[#This Row],[Folder Path3]]&amp;_05preva_view43[[#This Row],[File Name]]</f>
        <v>#VALUE!</v>
      </c>
      <c r="BN254" s="104"/>
      <c r="CF254" s="5"/>
      <c r="CG254" s="5"/>
      <c r="CH254" s="3"/>
      <c r="CJ254" s="5"/>
      <c r="CN254" s="3"/>
      <c r="CO254" s="3"/>
      <c r="CP254" s="5"/>
      <c r="CR254" s="3"/>
      <c r="DN254" s="5"/>
      <c r="DP254" s="3"/>
      <c r="EB254" s="7"/>
      <c r="EC254" s="7"/>
      <c r="EF254" s="4"/>
      <c r="EG254" s="4"/>
      <c r="EQ254" s="2"/>
      <c r="ER254" s="2"/>
    </row>
    <row r="255" spans="1:148">
      <c r="A255" s="227">
        <v>3359</v>
      </c>
      <c r="B255" s="228" t="s">
        <v>721</v>
      </c>
      <c r="C255" s="228" t="s">
        <v>278</v>
      </c>
      <c r="D255" s="228" t="s">
        <v>127</v>
      </c>
      <c r="E255" s="228" t="s">
        <v>722</v>
      </c>
      <c r="F255" s="228" t="s">
        <v>35</v>
      </c>
      <c r="G255" s="228" t="s">
        <v>1292</v>
      </c>
      <c r="H255" s="228" t="s">
        <v>1285</v>
      </c>
      <c r="I255" s="228" t="s">
        <v>693</v>
      </c>
      <c r="J255" s="228" t="s">
        <v>686</v>
      </c>
      <c r="K255" s="229">
        <v>43388</v>
      </c>
      <c r="L255" s="230"/>
      <c r="M255" s="230">
        <v>2.2999999999999998</v>
      </c>
      <c r="N255" s="228">
        <v>3.11</v>
      </c>
      <c r="O255" s="228" t="s">
        <v>687</v>
      </c>
      <c r="P255" s="231" t="s">
        <v>279</v>
      </c>
      <c r="Q255" s="231" t="s">
        <v>526</v>
      </c>
      <c r="R255" s="228" t="s">
        <v>24</v>
      </c>
      <c r="S255" s="228"/>
      <c r="T255" s="232" t="s">
        <v>615</v>
      </c>
      <c r="U255" s="228"/>
      <c r="V255" s="232" t="s">
        <v>615</v>
      </c>
      <c r="W255" s="228"/>
      <c r="X255" s="232" t="s">
        <v>120</v>
      </c>
      <c r="Y255" s="228" t="s">
        <v>723</v>
      </c>
      <c r="Z255" s="233" t="s">
        <v>120</v>
      </c>
      <c r="AA255" s="234"/>
      <c r="AB255" s="234"/>
      <c r="AC255" s="235" t="s">
        <v>123</v>
      </c>
      <c r="AD255" s="228" t="s">
        <v>724</v>
      </c>
      <c r="AE255" s="232" t="s">
        <v>615</v>
      </c>
      <c r="AF255" s="229"/>
      <c r="AG255" s="236"/>
      <c r="AH255" s="236"/>
      <c r="AI255" s="228"/>
      <c r="AJ255" s="232" t="s">
        <v>615</v>
      </c>
      <c r="AK255" s="228"/>
      <c r="AL255" s="228"/>
      <c r="AM255" s="232"/>
      <c r="AN255" s="228"/>
      <c r="AO255" s="228"/>
      <c r="AP255" s="237"/>
      <c r="AQ255" s="228"/>
      <c r="AR255" s="232"/>
      <c r="AS255" s="228"/>
      <c r="AT255" s="229"/>
      <c r="AU255" s="229"/>
      <c r="AV255" s="229"/>
      <c r="AW255" s="229"/>
      <c r="AX255" s="229"/>
      <c r="AY255" s="229"/>
      <c r="AZ255" s="238">
        <v>43388</v>
      </c>
      <c r="BA255" s="1" t="s">
        <v>7684</v>
      </c>
      <c r="BB255">
        <v>130</v>
      </c>
      <c r="BC255">
        <v>28</v>
      </c>
      <c r="BD255">
        <v>3029</v>
      </c>
      <c r="BE25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55" s="240">
        <f>COUNTIFS(_05preva_view43[Site ID],_05preva_view43[[#This Row],[Site ID]],_05preva_view43[Prevalidation Status],"Under Prevalidation")</f>
        <v>0</v>
      </c>
      <c r="BG25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5" s="242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2.xlsx</v>
      </c>
      <c r="BI255" s="64" t="e">
        <f t="shared" ca="1" si="4"/>
        <v>#VALUE!</v>
      </c>
      <c r="BJ255" s="104" t="e">
        <f ca="1">LEFT(CELL("filename",A240),_05preva_view43[[#This Row],[Find Process &amp; Database]]-1)</f>
        <v>#VALUE!</v>
      </c>
      <c r="BK255" s="104" t="e">
        <f ca="1">_05preva_view43[Folder Path1]&amp;"Process &amp; Database\Documentation\Colo Applications"</f>
        <v>#VALUE!</v>
      </c>
      <c r="BL255" s="104" t="e">
        <f ca="1">_05preva_view43[Folder Path2]&amp;"\Colo App "&amp;_05preva_view43[[#This Row],[Operator]]&amp;"\"</f>
        <v>#VALUE!</v>
      </c>
      <c r="BM255" s="63" t="e">
        <f ca="1">_05preva_view43[[#This Row],[Folder Path3]]&amp;_05preva_view43[[#This Row],[File Name]]</f>
        <v>#VALUE!</v>
      </c>
      <c r="BN255" s="104"/>
      <c r="CF255" s="5"/>
      <c r="CG255" s="5"/>
      <c r="CH255" s="3"/>
      <c r="CJ255" s="5"/>
      <c r="CN255" s="3"/>
      <c r="CO255" s="3"/>
      <c r="CP255" s="5"/>
      <c r="CR255" s="3"/>
      <c r="DN255" s="5"/>
      <c r="DP255" s="3"/>
      <c r="EB255" s="7"/>
      <c r="EC255" s="7"/>
      <c r="EF255" s="4"/>
      <c r="EG255" s="4"/>
      <c r="EQ255" s="2"/>
      <c r="ER255" s="2"/>
    </row>
    <row r="256" spans="1:148">
      <c r="A256" s="227">
        <v>3360</v>
      </c>
      <c r="B256" s="228" t="s">
        <v>725</v>
      </c>
      <c r="C256" s="228" t="s">
        <v>278</v>
      </c>
      <c r="D256" s="228" t="s">
        <v>127</v>
      </c>
      <c r="E256" s="228" t="s">
        <v>726</v>
      </c>
      <c r="F256" s="228" t="s">
        <v>35</v>
      </c>
      <c r="G256" s="228" t="s">
        <v>1292</v>
      </c>
      <c r="H256" s="228" t="s">
        <v>1285</v>
      </c>
      <c r="I256" s="228" t="s">
        <v>693</v>
      </c>
      <c r="J256" s="228" t="s">
        <v>727</v>
      </c>
      <c r="K256" s="229">
        <v>43388</v>
      </c>
      <c r="L256" s="230"/>
      <c r="M256" s="230">
        <v>2.64</v>
      </c>
      <c r="N256" s="228">
        <v>6.53</v>
      </c>
      <c r="O256" s="228" t="s">
        <v>687</v>
      </c>
      <c r="P256" s="231" t="s">
        <v>695</v>
      </c>
      <c r="Q256" s="231" t="s">
        <v>696</v>
      </c>
      <c r="R256" s="228" t="s">
        <v>24</v>
      </c>
      <c r="S256" s="228"/>
      <c r="T256" s="232" t="s">
        <v>615</v>
      </c>
      <c r="U256" s="228"/>
      <c r="V256" s="232" t="s">
        <v>615</v>
      </c>
      <c r="W256" s="228"/>
      <c r="X256" s="232" t="s">
        <v>120</v>
      </c>
      <c r="Y256" s="228" t="s">
        <v>728</v>
      </c>
      <c r="Z256" s="233" t="s">
        <v>120</v>
      </c>
      <c r="AA256" s="234"/>
      <c r="AB256" s="234"/>
      <c r="AC256" s="235" t="s">
        <v>123</v>
      </c>
      <c r="AD256" s="228" t="s">
        <v>729</v>
      </c>
      <c r="AE256" s="232" t="s">
        <v>615</v>
      </c>
      <c r="AF256" s="229"/>
      <c r="AG256" s="236"/>
      <c r="AH256" s="236"/>
      <c r="AI256" s="228"/>
      <c r="AJ256" s="232" t="s">
        <v>615</v>
      </c>
      <c r="AK256" s="228"/>
      <c r="AL256" s="228"/>
      <c r="AM256" s="232"/>
      <c r="AN256" s="228"/>
      <c r="AO256" s="228"/>
      <c r="AP256" s="237"/>
      <c r="AQ256" s="228"/>
      <c r="AR256" s="232"/>
      <c r="AS256" s="228"/>
      <c r="AT256" s="229"/>
      <c r="AU256" s="229"/>
      <c r="AV256" s="229"/>
      <c r="AW256" s="229"/>
      <c r="AX256" s="229"/>
      <c r="AY256" s="229"/>
      <c r="AZ256" s="238">
        <v>43388</v>
      </c>
      <c r="BA256" s="1" t="s">
        <v>7684</v>
      </c>
      <c r="BB256">
        <v>130</v>
      </c>
      <c r="BC256">
        <v>60</v>
      </c>
      <c r="BD256">
        <v>3251</v>
      </c>
      <c r="BE25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56" s="240">
        <f>COUNTIFS(_05preva_view43[Site ID],_05preva_view43[[#This Row],[Site ID]],_05preva_view43[Prevalidation Status],"Under Prevalidation")</f>
        <v>0</v>
      </c>
      <c r="BG25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6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1-01-05011-006 (SGG00544) Application Rev 3.xlsx</v>
      </c>
      <c r="BI256" s="64" t="e">
        <f t="shared" ca="1" si="4"/>
        <v>#VALUE!</v>
      </c>
      <c r="BJ256" s="104" t="e">
        <f ca="1">LEFT(CELL("filename",A241),_05preva_view43[[#This Row],[Find Process &amp; Database]]-1)</f>
        <v>#VALUE!</v>
      </c>
      <c r="BK256" s="104" t="e">
        <f ca="1">_05preva_view43[Folder Path1]&amp;"Process &amp; Database\Documentation\Colo Applications"</f>
        <v>#VALUE!</v>
      </c>
      <c r="BL256" s="104" t="e">
        <f ca="1">_05preva_view43[Folder Path2]&amp;"\Colo App "&amp;_05preva_view43[[#This Row],[Operator]]&amp;"\"</f>
        <v>#VALUE!</v>
      </c>
      <c r="BM256" s="63" t="e">
        <f ca="1">_05preva_view43[[#This Row],[Folder Path3]]&amp;_05preva_view43[[#This Row],[File Name]]</f>
        <v>#VALUE!</v>
      </c>
      <c r="BN256" s="104"/>
      <c r="CF256" s="5"/>
      <c r="CG256" s="5"/>
      <c r="CH256" s="3"/>
      <c r="CJ256" s="5"/>
      <c r="CN256" s="3"/>
      <c r="CO256" s="3"/>
      <c r="CP256" s="5"/>
      <c r="CR256" s="3"/>
      <c r="DN256" s="5"/>
      <c r="DP256" s="3"/>
      <c r="EB256" s="7"/>
      <c r="EC256" s="7"/>
      <c r="EF256" s="4"/>
      <c r="EG256" s="4"/>
      <c r="EQ256" s="2"/>
      <c r="ER256" s="2"/>
    </row>
    <row r="257" spans="1:148">
      <c r="A257" s="227">
        <v>3361</v>
      </c>
      <c r="B257" s="228" t="s">
        <v>730</v>
      </c>
      <c r="C257" s="228" t="s">
        <v>278</v>
      </c>
      <c r="D257" s="228" t="s">
        <v>117</v>
      </c>
      <c r="E257" s="228" t="s">
        <v>731</v>
      </c>
      <c r="F257" s="228" t="s">
        <v>35</v>
      </c>
      <c r="G257" s="228" t="s">
        <v>1292</v>
      </c>
      <c r="H257" s="228" t="s">
        <v>1285</v>
      </c>
      <c r="I257" s="228" t="s">
        <v>693</v>
      </c>
      <c r="J257" s="228" t="s">
        <v>686</v>
      </c>
      <c r="K257" s="229">
        <v>43388</v>
      </c>
      <c r="L257" s="230"/>
      <c r="M257" s="230">
        <v>2.1</v>
      </c>
      <c r="N257" s="228">
        <v>1.74</v>
      </c>
      <c r="O257" s="228" t="s">
        <v>687</v>
      </c>
      <c r="P257" s="231" t="s">
        <v>695</v>
      </c>
      <c r="Q257" s="231" t="s">
        <v>696</v>
      </c>
      <c r="R257" s="228" t="s">
        <v>24</v>
      </c>
      <c r="S257" s="228"/>
      <c r="T257" s="232" t="s">
        <v>615</v>
      </c>
      <c r="U257" s="228"/>
      <c r="V257" s="232" t="s">
        <v>615</v>
      </c>
      <c r="W257" s="228"/>
      <c r="X257" s="232" t="s">
        <v>120</v>
      </c>
      <c r="Y257" s="228" t="s">
        <v>732</v>
      </c>
      <c r="Z257" s="233" t="s">
        <v>120</v>
      </c>
      <c r="AA257" s="234"/>
      <c r="AB257" s="234"/>
      <c r="AC257" s="235" t="s">
        <v>123</v>
      </c>
      <c r="AD257" s="228" t="s">
        <v>733</v>
      </c>
      <c r="AE257" s="232" t="s">
        <v>615</v>
      </c>
      <c r="AF257" s="229"/>
      <c r="AG257" s="236"/>
      <c r="AH257" s="236"/>
      <c r="AI257" s="228"/>
      <c r="AJ257" s="232" t="s">
        <v>615</v>
      </c>
      <c r="AK257" s="228"/>
      <c r="AL257" s="228"/>
      <c r="AM257" s="232"/>
      <c r="AN257" s="228"/>
      <c r="AO257" s="228"/>
      <c r="AP257" s="237"/>
      <c r="AQ257" s="228"/>
      <c r="AR257" s="232"/>
      <c r="AS257" s="228"/>
      <c r="AT257" s="229"/>
      <c r="AU257" s="229"/>
      <c r="AV257" s="229"/>
      <c r="AW257" s="229"/>
      <c r="AX257" s="229"/>
      <c r="AY257" s="229"/>
      <c r="AZ257" s="238">
        <v>43388</v>
      </c>
      <c r="BA257" s="1" t="s">
        <v>7684</v>
      </c>
      <c r="BB257">
        <v>130</v>
      </c>
      <c r="BC257">
        <v>60</v>
      </c>
      <c r="BD257">
        <v>3605</v>
      </c>
      <c r="BE25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57" s="240">
        <f>COUNTIFS(_05preva_view43[Site ID],_05preva_view43[[#This Row],[Site ID]],_05preva_view43[Prevalidation Status],"Under Prevalidation")</f>
        <v>0</v>
      </c>
      <c r="BG25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7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1-01-14008-002 (SHS00382) Application Rev 2.xlsx</v>
      </c>
      <c r="BI257" s="64" t="e">
        <f t="shared" ca="1" si="4"/>
        <v>#VALUE!</v>
      </c>
      <c r="BJ257" s="104" t="e">
        <f ca="1">LEFT(CELL("filename",A242),_05preva_view43[[#This Row],[Find Process &amp; Database]]-1)</f>
        <v>#VALUE!</v>
      </c>
      <c r="BK257" s="104" t="e">
        <f ca="1">_05preva_view43[Folder Path1]&amp;"Process &amp; Database\Documentation\Colo Applications"</f>
        <v>#VALUE!</v>
      </c>
      <c r="BL257" s="104" t="e">
        <f ca="1">_05preva_view43[Folder Path2]&amp;"\Colo App "&amp;_05preva_view43[[#This Row],[Operator]]&amp;"\"</f>
        <v>#VALUE!</v>
      </c>
      <c r="BM257" s="63" t="e">
        <f ca="1">_05preva_view43[[#This Row],[Folder Path3]]&amp;_05preva_view43[[#This Row],[File Name]]</f>
        <v>#VALUE!</v>
      </c>
      <c r="BN257" s="104"/>
      <c r="CF257" s="5"/>
      <c r="CG257" s="5"/>
      <c r="CH257" s="3"/>
      <c r="CJ257" s="5"/>
      <c r="CN257" s="3"/>
      <c r="CO257" s="3"/>
      <c r="CP257" s="5"/>
      <c r="CR257" s="3"/>
      <c r="DN257" s="5"/>
      <c r="DP257" s="3"/>
      <c r="EB257" s="7"/>
      <c r="EC257" s="7"/>
      <c r="EF257" s="4"/>
      <c r="EG257" s="4"/>
      <c r="EQ257" s="2"/>
      <c r="ER257" s="2"/>
    </row>
    <row r="258" spans="1:148">
      <c r="A258" s="227">
        <v>3362</v>
      </c>
      <c r="B258" s="228" t="s">
        <v>734</v>
      </c>
      <c r="C258" s="228" t="s">
        <v>278</v>
      </c>
      <c r="D258" s="228" t="s">
        <v>117</v>
      </c>
      <c r="E258" s="228" t="s">
        <v>735</v>
      </c>
      <c r="F258" s="228" t="s">
        <v>35</v>
      </c>
      <c r="G258" s="228" t="s">
        <v>1292</v>
      </c>
      <c r="H258" s="228" t="s">
        <v>1285</v>
      </c>
      <c r="I258" s="228" t="s">
        <v>693</v>
      </c>
      <c r="J258" s="228" t="s">
        <v>668</v>
      </c>
      <c r="K258" s="229">
        <v>43388</v>
      </c>
      <c r="L258" s="230"/>
      <c r="M258" s="230">
        <v>1.8</v>
      </c>
      <c r="N258" s="228">
        <v>3.024</v>
      </c>
      <c r="O258" s="228" t="s">
        <v>687</v>
      </c>
      <c r="P258" s="231" t="s">
        <v>508</v>
      </c>
      <c r="Q258" s="231" t="s">
        <v>509</v>
      </c>
      <c r="R258" s="228" t="s">
        <v>24</v>
      </c>
      <c r="S258" s="228"/>
      <c r="T258" s="232" t="s">
        <v>615</v>
      </c>
      <c r="U258" s="228"/>
      <c r="V258" s="232" t="s">
        <v>615</v>
      </c>
      <c r="W258" s="228"/>
      <c r="X258" s="232" t="s">
        <v>120</v>
      </c>
      <c r="Y258" s="228" t="s">
        <v>736</v>
      </c>
      <c r="Z258" s="233" t="s">
        <v>120</v>
      </c>
      <c r="AA258" s="234"/>
      <c r="AB258" s="234"/>
      <c r="AC258" s="235" t="s">
        <v>123</v>
      </c>
      <c r="AD258" s="228" t="s">
        <v>737</v>
      </c>
      <c r="AE258" s="232" t="s">
        <v>615</v>
      </c>
      <c r="AF258" s="229"/>
      <c r="AG258" s="236"/>
      <c r="AH258" s="236"/>
      <c r="AI258" s="228"/>
      <c r="AJ258" s="232" t="s">
        <v>615</v>
      </c>
      <c r="AK258" s="228"/>
      <c r="AL258" s="228"/>
      <c r="AM258" s="232"/>
      <c r="AN258" s="228"/>
      <c r="AO258" s="228"/>
      <c r="AP258" s="237"/>
      <c r="AQ258" s="228"/>
      <c r="AR258" s="232"/>
      <c r="AS258" s="228"/>
      <c r="AT258" s="229"/>
      <c r="AU258" s="229"/>
      <c r="AV258" s="229"/>
      <c r="AW258" s="229"/>
      <c r="AX258" s="229"/>
      <c r="AY258" s="229"/>
      <c r="AZ258" s="238">
        <v>43388</v>
      </c>
      <c r="BA258" s="1" t="s">
        <v>7684</v>
      </c>
      <c r="BB258">
        <v>130</v>
      </c>
      <c r="BC258">
        <v>45</v>
      </c>
      <c r="BD258">
        <v>3052</v>
      </c>
      <c r="BE25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58" s="240">
        <f>COUNTIFS(_05preva_view43[Site ID],_05preva_view43[[#This Row],[Site ID]],_05preva_view43[Prevalidation Status],"Under Prevalidation")</f>
        <v>0</v>
      </c>
      <c r="BG25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8" s="242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1.xlsx</v>
      </c>
      <c r="BI258" s="64" t="e">
        <f t="shared" ca="1" si="4"/>
        <v>#VALUE!</v>
      </c>
      <c r="BJ258" s="104" t="e">
        <f ca="1">LEFT(CELL("filename",A243),_05preva_view43[[#This Row],[Find Process &amp; Database]]-1)</f>
        <v>#VALUE!</v>
      </c>
      <c r="BK258" s="104" t="e">
        <f ca="1">_05preva_view43[Folder Path1]&amp;"Process &amp; Database\Documentation\Colo Applications"</f>
        <v>#VALUE!</v>
      </c>
      <c r="BL258" s="104" t="e">
        <f ca="1">_05preva_view43[Folder Path2]&amp;"\Colo App "&amp;_05preva_view43[[#This Row],[Operator]]&amp;"\"</f>
        <v>#VALUE!</v>
      </c>
      <c r="BM258" s="63" t="e">
        <f ca="1">_05preva_view43[[#This Row],[Folder Path3]]&amp;_05preva_view43[[#This Row],[File Name]]</f>
        <v>#VALUE!</v>
      </c>
      <c r="BN258" s="104"/>
      <c r="CF258" s="5"/>
      <c r="CG258" s="5"/>
      <c r="CH258" s="3"/>
      <c r="CJ258" s="5"/>
      <c r="CN258" s="3"/>
      <c r="CO258" s="3"/>
      <c r="CP258" s="5"/>
      <c r="CR258" s="3"/>
      <c r="DN258" s="5"/>
      <c r="DP258" s="3"/>
      <c r="EB258" s="7"/>
      <c r="EC258" s="7"/>
      <c r="EF258" s="4"/>
      <c r="EG258" s="4"/>
      <c r="EQ258" s="2"/>
      <c r="ER258" s="2"/>
    </row>
    <row r="259" spans="1:148">
      <c r="A259" s="227">
        <v>3363</v>
      </c>
      <c r="B259" s="228" t="s">
        <v>738</v>
      </c>
      <c r="C259" s="228" t="s">
        <v>278</v>
      </c>
      <c r="D259" s="228" t="s">
        <v>117</v>
      </c>
      <c r="E259" s="228" t="s">
        <v>739</v>
      </c>
      <c r="F259" s="228" t="s">
        <v>35</v>
      </c>
      <c r="G259" s="228" t="s">
        <v>1292</v>
      </c>
      <c r="H259" s="228" t="s">
        <v>1285</v>
      </c>
      <c r="I259" s="228" t="s">
        <v>693</v>
      </c>
      <c r="J259" s="228" t="s">
        <v>727</v>
      </c>
      <c r="K259" s="229">
        <v>43388</v>
      </c>
      <c r="L259" s="230"/>
      <c r="M259" s="230">
        <v>4.8</v>
      </c>
      <c r="N259" s="228">
        <v>5.9880000000000004</v>
      </c>
      <c r="O259" s="228" t="s">
        <v>687</v>
      </c>
      <c r="P259" s="231" t="s">
        <v>740</v>
      </c>
      <c r="Q259" s="231" t="s">
        <v>597</v>
      </c>
      <c r="R259" s="228" t="s">
        <v>24</v>
      </c>
      <c r="S259" s="228"/>
      <c r="T259" s="232" t="s">
        <v>615</v>
      </c>
      <c r="U259" s="228"/>
      <c r="V259" s="232" t="s">
        <v>615</v>
      </c>
      <c r="W259" s="228"/>
      <c r="X259" s="232" t="s">
        <v>120</v>
      </c>
      <c r="Y259" s="228" t="s">
        <v>741</v>
      </c>
      <c r="Z259" s="233" t="s">
        <v>120</v>
      </c>
      <c r="AA259" s="234"/>
      <c r="AB259" s="234"/>
      <c r="AC259" s="235" t="s">
        <v>123</v>
      </c>
      <c r="AD259" s="228" t="s">
        <v>742</v>
      </c>
      <c r="AE259" s="232" t="s">
        <v>615</v>
      </c>
      <c r="AF259" s="229"/>
      <c r="AG259" s="236"/>
      <c r="AH259" s="236"/>
      <c r="AI259" s="228"/>
      <c r="AJ259" s="232" t="s">
        <v>615</v>
      </c>
      <c r="AK259" s="228"/>
      <c r="AL259" s="228"/>
      <c r="AM259" s="232"/>
      <c r="AN259" s="228"/>
      <c r="AO259" s="228"/>
      <c r="AP259" s="237"/>
      <c r="AQ259" s="228"/>
      <c r="AR259" s="232"/>
      <c r="AS259" s="228"/>
      <c r="AT259" s="229">
        <v>43423.505113310202</v>
      </c>
      <c r="AU259" s="229"/>
      <c r="AV259" s="229">
        <v>43423.468237731497</v>
      </c>
      <c r="AW259" s="229"/>
      <c r="AX259" s="229"/>
      <c r="AY259" s="229"/>
      <c r="AZ259" s="238">
        <v>43423.505113310202</v>
      </c>
      <c r="BA259" s="1" t="s">
        <v>7684</v>
      </c>
      <c r="BB259">
        <v>130</v>
      </c>
      <c r="BC259">
        <v>45</v>
      </c>
      <c r="BD259">
        <v>3503</v>
      </c>
      <c r="BE259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35.505113310202432</v>
      </c>
      <c r="BF259" s="240">
        <f>COUNTIFS(_05preva_view43[Site ID],_05preva_view43[[#This Row],[Site ID]],_05preva_view43[Prevalidation Status],"Under Prevalidation")</f>
        <v>0</v>
      </c>
      <c r="BG25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59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1-01-14001-019 (SHS00259) Application Rev 3.xlsx</v>
      </c>
      <c r="BI259" s="64" t="e">
        <f t="shared" ca="1" si="4"/>
        <v>#VALUE!</v>
      </c>
      <c r="BJ259" s="104" t="e">
        <f ca="1">LEFT(CELL("filename",A244),_05preva_view43[[#This Row],[Find Process &amp; Database]]-1)</f>
        <v>#VALUE!</v>
      </c>
      <c r="BK259" s="104" t="e">
        <f ca="1">_05preva_view43[Folder Path1]&amp;"Process &amp; Database\Documentation\Colo Applications"</f>
        <v>#VALUE!</v>
      </c>
      <c r="BL259" s="104" t="e">
        <f ca="1">_05preva_view43[Folder Path2]&amp;"\Colo App "&amp;_05preva_view43[[#This Row],[Operator]]&amp;"\"</f>
        <v>#VALUE!</v>
      </c>
      <c r="BM259" s="63" t="e">
        <f ca="1">_05preva_view43[[#This Row],[Folder Path3]]&amp;_05preva_view43[[#This Row],[File Name]]</f>
        <v>#VALUE!</v>
      </c>
      <c r="BN259" s="104"/>
      <c r="CF259" s="5"/>
      <c r="CG259" s="5"/>
      <c r="CH259" s="3"/>
      <c r="CJ259" s="5"/>
      <c r="CN259" s="3"/>
      <c r="CO259" s="3"/>
      <c r="CP259" s="5"/>
      <c r="CR259" s="3"/>
      <c r="DN259" s="5"/>
      <c r="DP259" s="3"/>
      <c r="EB259" s="7"/>
      <c r="EC259" s="7"/>
      <c r="EF259" s="4"/>
      <c r="EG259" s="4"/>
      <c r="EQ259" s="2"/>
      <c r="ER259" s="2"/>
    </row>
    <row r="260" spans="1:148">
      <c r="A260" s="227">
        <v>3364</v>
      </c>
      <c r="B260" s="228" t="s">
        <v>743</v>
      </c>
      <c r="C260" s="228" t="s">
        <v>278</v>
      </c>
      <c r="D260" s="228" t="s">
        <v>127</v>
      </c>
      <c r="E260" s="228" t="s">
        <v>744</v>
      </c>
      <c r="F260" s="228" t="s">
        <v>35</v>
      </c>
      <c r="G260" s="228" t="s">
        <v>1292</v>
      </c>
      <c r="H260" s="228" t="s">
        <v>1285</v>
      </c>
      <c r="I260" s="228" t="s">
        <v>693</v>
      </c>
      <c r="J260" s="228" t="s">
        <v>727</v>
      </c>
      <c r="K260" s="229">
        <v>43388</v>
      </c>
      <c r="L260" s="230"/>
      <c r="M260" s="230">
        <v>3.88</v>
      </c>
      <c r="N260" s="228">
        <v>7.4580000000000002</v>
      </c>
      <c r="O260" s="228" t="s">
        <v>687</v>
      </c>
      <c r="P260" s="231" t="s">
        <v>508</v>
      </c>
      <c r="Q260" s="231" t="s">
        <v>509</v>
      </c>
      <c r="R260" s="228" t="s">
        <v>24</v>
      </c>
      <c r="S260" s="228"/>
      <c r="T260" s="232" t="s">
        <v>615</v>
      </c>
      <c r="U260" s="228"/>
      <c r="V260" s="232" t="s">
        <v>615</v>
      </c>
      <c r="W260" s="228"/>
      <c r="X260" s="232" t="s">
        <v>120</v>
      </c>
      <c r="Y260" s="228" t="s">
        <v>745</v>
      </c>
      <c r="Z260" s="233" t="s">
        <v>120</v>
      </c>
      <c r="AA260" s="234"/>
      <c r="AB260" s="234"/>
      <c r="AC260" s="235" t="s">
        <v>123</v>
      </c>
      <c r="AD260" s="228" t="s">
        <v>746</v>
      </c>
      <c r="AE260" s="232" t="s">
        <v>615</v>
      </c>
      <c r="AF260" s="229"/>
      <c r="AG260" s="236"/>
      <c r="AH260" s="236"/>
      <c r="AI260" s="228"/>
      <c r="AJ260" s="232" t="s">
        <v>615</v>
      </c>
      <c r="AK260" s="228"/>
      <c r="AL260" s="228"/>
      <c r="AM260" s="232"/>
      <c r="AN260" s="228"/>
      <c r="AO260" s="228"/>
      <c r="AP260" s="237"/>
      <c r="AQ260" s="228"/>
      <c r="AR260" s="232"/>
      <c r="AS260" s="228"/>
      <c r="AT260" s="229"/>
      <c r="AU260" s="229"/>
      <c r="AV260" s="229"/>
      <c r="AW260" s="229"/>
      <c r="AX260" s="229"/>
      <c r="AY260" s="229"/>
      <c r="AZ260" s="238">
        <v>43388</v>
      </c>
      <c r="BA260" s="1" t="s">
        <v>7684</v>
      </c>
      <c r="BB260">
        <v>130</v>
      </c>
      <c r="BC260">
        <v>45</v>
      </c>
      <c r="BD260">
        <v>3087</v>
      </c>
      <c r="BE26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0" s="240">
        <f>COUNTIFS(_05preva_view43[Site ID],_05preva_view43[[#This Row],[Site ID]],_05preva_view43[Prevalidation Status],"Under Prevalidation")</f>
        <v>0</v>
      </c>
      <c r="BG26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0" s="242" t="str">
        <f>CONCATENATE(_05preva_view43[[#This Row],[Site ID]]," (",_05preva_view43[[#This Row],[tenant id]],") Application",IF(_05preva_view43[[#This Row],[Colo Rev]]&gt;0," Rev "&amp;_05preva_view43[[#This Row],[Colo Rev]],""),".xlsx")</f>
        <v>1-01-15010-002 (SHN00092) Application Rev 3.xlsx</v>
      </c>
      <c r="BI260" s="64" t="e">
        <f t="shared" ca="1" si="4"/>
        <v>#VALUE!</v>
      </c>
      <c r="BJ260" s="104" t="e">
        <f ca="1">LEFT(CELL("filename",A245),_05preva_view43[[#This Row],[Find Process &amp; Database]]-1)</f>
        <v>#VALUE!</v>
      </c>
      <c r="BK260" s="104" t="e">
        <f ca="1">_05preva_view43[Folder Path1]&amp;"Process &amp; Database\Documentation\Colo Applications"</f>
        <v>#VALUE!</v>
      </c>
      <c r="BL260" s="104" t="e">
        <f ca="1">_05preva_view43[Folder Path2]&amp;"\Colo App "&amp;_05preva_view43[[#This Row],[Operator]]&amp;"\"</f>
        <v>#VALUE!</v>
      </c>
      <c r="BM260" s="63" t="e">
        <f ca="1">_05preva_view43[[#This Row],[Folder Path3]]&amp;_05preva_view43[[#This Row],[File Name]]</f>
        <v>#VALUE!</v>
      </c>
      <c r="BN260" s="104"/>
      <c r="CF260" s="5"/>
      <c r="CG260" s="5"/>
      <c r="CH260" s="3"/>
      <c r="CJ260" s="5"/>
      <c r="CN260" s="3"/>
      <c r="CO260" s="3"/>
      <c r="CP260" s="5"/>
      <c r="CR260" s="3"/>
      <c r="DN260" s="5"/>
      <c r="DP260" s="3"/>
      <c r="EB260" s="7"/>
      <c r="EC260" s="7"/>
      <c r="EF260" s="4"/>
      <c r="EG260" s="4"/>
      <c r="EQ260" s="2"/>
      <c r="ER260" s="2"/>
    </row>
    <row r="261" spans="1:148">
      <c r="A261" s="227">
        <v>3365</v>
      </c>
      <c r="B261" s="228" t="s">
        <v>747</v>
      </c>
      <c r="C261" s="228" t="s">
        <v>278</v>
      </c>
      <c r="D261" s="228" t="s">
        <v>117</v>
      </c>
      <c r="E261" s="228" t="s">
        <v>748</v>
      </c>
      <c r="F261" s="228" t="s">
        <v>35</v>
      </c>
      <c r="G261" s="228" t="s">
        <v>1292</v>
      </c>
      <c r="H261" s="228" t="s">
        <v>1285</v>
      </c>
      <c r="I261" s="228" t="s">
        <v>693</v>
      </c>
      <c r="J261" s="228" t="s">
        <v>686</v>
      </c>
      <c r="K261" s="229">
        <v>43388</v>
      </c>
      <c r="L261" s="230"/>
      <c r="M261" s="230">
        <v>3.3</v>
      </c>
      <c r="N261" s="228">
        <v>2.7519999999999998</v>
      </c>
      <c r="O261" s="228" t="s">
        <v>687</v>
      </c>
      <c r="P261" s="231" t="s">
        <v>749</v>
      </c>
      <c r="Q261" s="231" t="s">
        <v>750</v>
      </c>
      <c r="R261" s="228" t="s">
        <v>24</v>
      </c>
      <c r="S261" s="228"/>
      <c r="T261" s="232" t="s">
        <v>615</v>
      </c>
      <c r="U261" s="228"/>
      <c r="V261" s="232" t="s">
        <v>615</v>
      </c>
      <c r="W261" s="228"/>
      <c r="X261" s="232" t="s">
        <v>120</v>
      </c>
      <c r="Y261" s="228" t="s">
        <v>751</v>
      </c>
      <c r="Z261" s="233" t="s">
        <v>120</v>
      </c>
      <c r="AA261" s="234"/>
      <c r="AB261" s="234"/>
      <c r="AC261" s="235" t="s">
        <v>123</v>
      </c>
      <c r="AD261" s="228" t="s">
        <v>752</v>
      </c>
      <c r="AE261" s="232" t="s">
        <v>615</v>
      </c>
      <c r="AF261" s="229"/>
      <c r="AG261" s="236"/>
      <c r="AH261" s="236"/>
      <c r="AI261" s="228"/>
      <c r="AJ261" s="232" t="s">
        <v>615</v>
      </c>
      <c r="AK261" s="228"/>
      <c r="AL261" s="228"/>
      <c r="AM261" s="232"/>
      <c r="AN261" s="228"/>
      <c r="AO261" s="228"/>
      <c r="AP261" s="237"/>
      <c r="AQ261" s="228"/>
      <c r="AR261" s="232"/>
      <c r="AS261" s="228"/>
      <c r="AT261" s="229"/>
      <c r="AU261" s="229"/>
      <c r="AV261" s="229"/>
      <c r="AW261" s="229"/>
      <c r="AX261" s="229"/>
      <c r="AY261" s="229"/>
      <c r="AZ261" s="238">
        <v>43388</v>
      </c>
      <c r="BA261" s="1" t="s">
        <v>7684</v>
      </c>
      <c r="BB261">
        <v>130</v>
      </c>
      <c r="BC261">
        <v>45</v>
      </c>
      <c r="BD261">
        <v>3552</v>
      </c>
      <c r="BE26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1" s="240">
        <f>COUNTIFS(_05preva_view43[Site ID],_05preva_view43[[#This Row],[Site ID]],_05preva_view43[Prevalidation Status],"Under Prevalidation")</f>
        <v>0</v>
      </c>
      <c r="BG26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1" s="242" t="str">
        <f>CONCATENATE(_05preva_view43[[#This Row],[Site ID]]," (",_05preva_view43[[#This Row],[tenant id]],") Application",IF(_05preva_view43[[#This Row],[Colo Rev]]&gt;0," Rev "&amp;_05preva_view43[[#This Row],[Colo Rev]],""),".xlsx")</f>
        <v>1-01-08002-005 (BGW00115) Application Rev 2.xlsx</v>
      </c>
      <c r="BI261" s="64" t="e">
        <f t="shared" ca="1" si="4"/>
        <v>#VALUE!</v>
      </c>
      <c r="BJ261" s="104" t="e">
        <f ca="1">LEFT(CELL("filename",A246),_05preva_view43[[#This Row],[Find Process &amp; Database]]-1)</f>
        <v>#VALUE!</v>
      </c>
      <c r="BK261" s="104" t="e">
        <f ca="1">_05preva_view43[Folder Path1]&amp;"Process &amp; Database\Documentation\Colo Applications"</f>
        <v>#VALUE!</v>
      </c>
      <c r="BL261" s="104" t="e">
        <f ca="1">_05preva_view43[Folder Path2]&amp;"\Colo App "&amp;_05preva_view43[[#This Row],[Operator]]&amp;"\"</f>
        <v>#VALUE!</v>
      </c>
      <c r="BM261" s="63" t="e">
        <f ca="1">_05preva_view43[[#This Row],[Folder Path3]]&amp;_05preva_view43[[#This Row],[File Name]]</f>
        <v>#VALUE!</v>
      </c>
      <c r="BN261" s="104"/>
      <c r="CF261" s="5"/>
      <c r="CG261" s="5"/>
      <c r="CH261" s="3"/>
      <c r="CJ261" s="5"/>
      <c r="CN261" s="3"/>
      <c r="CO261" s="3"/>
      <c r="CP261" s="5"/>
      <c r="CR261" s="3"/>
      <c r="DN261" s="5"/>
      <c r="DP261" s="3"/>
      <c r="EB261" s="7"/>
      <c r="EC261" s="7"/>
      <c r="EF261" s="4"/>
      <c r="EG261" s="4"/>
      <c r="EQ261" s="2"/>
      <c r="ER261" s="2"/>
    </row>
    <row r="262" spans="1:148">
      <c r="A262" s="227">
        <v>3366</v>
      </c>
      <c r="B262" s="228" t="s">
        <v>753</v>
      </c>
      <c r="C262" s="228" t="s">
        <v>278</v>
      </c>
      <c r="D262" s="228" t="s">
        <v>153</v>
      </c>
      <c r="E262" s="228" t="s">
        <v>754</v>
      </c>
      <c r="F262" s="228" t="s">
        <v>35</v>
      </c>
      <c r="G262" s="228" t="s">
        <v>1292</v>
      </c>
      <c r="H262" s="228" t="s">
        <v>1285</v>
      </c>
      <c r="I262" s="228" t="s">
        <v>693</v>
      </c>
      <c r="J262" s="228" t="s">
        <v>686</v>
      </c>
      <c r="K262" s="229">
        <v>43388</v>
      </c>
      <c r="L262" s="230"/>
      <c r="M262" s="230">
        <v>4.8</v>
      </c>
      <c r="N262" s="228">
        <v>4.4539999999999997</v>
      </c>
      <c r="O262" s="228" t="s">
        <v>687</v>
      </c>
      <c r="P262" s="231" t="s">
        <v>755</v>
      </c>
      <c r="Q262" s="231" t="s">
        <v>756</v>
      </c>
      <c r="R262" s="228" t="s">
        <v>24</v>
      </c>
      <c r="S262" s="228"/>
      <c r="T262" s="232" t="s">
        <v>615</v>
      </c>
      <c r="U262" s="228"/>
      <c r="V262" s="232" t="s">
        <v>615</v>
      </c>
      <c r="W262" s="228"/>
      <c r="X262" s="232" t="s">
        <v>120</v>
      </c>
      <c r="Y262" s="228" t="s">
        <v>757</v>
      </c>
      <c r="Z262" s="233" t="s">
        <v>120</v>
      </c>
      <c r="AA262" s="234"/>
      <c r="AB262" s="234"/>
      <c r="AC262" s="235" t="s">
        <v>123</v>
      </c>
      <c r="AD262" s="228" t="s">
        <v>758</v>
      </c>
      <c r="AE262" s="232" t="s">
        <v>615</v>
      </c>
      <c r="AF262" s="229"/>
      <c r="AG262" s="236"/>
      <c r="AH262" s="236"/>
      <c r="AI262" s="228"/>
      <c r="AJ262" s="232" t="s">
        <v>615</v>
      </c>
      <c r="AK262" s="228"/>
      <c r="AL262" s="228"/>
      <c r="AM262" s="232"/>
      <c r="AN262" s="228"/>
      <c r="AO262" s="228"/>
      <c r="AP262" s="237"/>
      <c r="AQ262" s="228"/>
      <c r="AR262" s="232"/>
      <c r="AS262" s="228"/>
      <c r="AT262" s="229"/>
      <c r="AU262" s="229"/>
      <c r="AV262" s="229"/>
      <c r="AW262" s="229"/>
      <c r="AX262" s="229"/>
      <c r="AY262" s="229"/>
      <c r="AZ262" s="238">
        <v>43388</v>
      </c>
      <c r="BA262" s="1" t="s">
        <v>7684</v>
      </c>
      <c r="BB262">
        <v>160</v>
      </c>
      <c r="BC262">
        <v>60</v>
      </c>
      <c r="BD262">
        <v>3069</v>
      </c>
      <c r="BE26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2" s="240">
        <f>COUNTIFS(_05preva_view43[Site ID],_05preva_view43[[#This Row],[Site ID]],_05preva_view43[Prevalidation Status],"Under Prevalidation")</f>
        <v>0</v>
      </c>
      <c r="BG26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2" s="242" t="str">
        <f>CONCATENATE(_05preva_view43[[#This Row],[Site ID]]," (",_05preva_view43[[#This Row],[tenant id]],") Application",IF(_05preva_view43[[#This Row],[Colo Rev]]&gt;0," Rev "&amp;_05preva_view43[[#This Row],[Colo Rev]],""),".xlsx")</f>
        <v>1-01-11009-003 (MON00160) Application Rev 2.xlsx</v>
      </c>
      <c r="BI262" s="64" t="e">
        <f t="shared" ca="1" si="4"/>
        <v>#VALUE!</v>
      </c>
      <c r="BJ262" s="104" t="e">
        <f ca="1">LEFT(CELL("filename",A247),_05preva_view43[[#This Row],[Find Process &amp; Database]]-1)</f>
        <v>#VALUE!</v>
      </c>
      <c r="BK262" s="104" t="e">
        <f ca="1">_05preva_view43[Folder Path1]&amp;"Process &amp; Database\Documentation\Colo Applications"</f>
        <v>#VALUE!</v>
      </c>
      <c r="BL262" s="104" t="e">
        <f ca="1">_05preva_view43[Folder Path2]&amp;"\Colo App "&amp;_05preva_view43[[#This Row],[Operator]]&amp;"\"</f>
        <v>#VALUE!</v>
      </c>
      <c r="BM262" s="63" t="e">
        <f ca="1">_05preva_view43[[#This Row],[Folder Path3]]&amp;_05preva_view43[[#This Row],[File Name]]</f>
        <v>#VALUE!</v>
      </c>
      <c r="BN262" s="104"/>
      <c r="CF262" s="5"/>
      <c r="CG262" s="5"/>
      <c r="CH262" s="3"/>
      <c r="CJ262" s="5"/>
      <c r="CN262" s="3"/>
      <c r="CO262" s="3"/>
      <c r="CP262" s="5"/>
      <c r="CR262" s="3"/>
      <c r="DN262" s="5"/>
      <c r="DP262" s="3"/>
      <c r="EB262" s="7"/>
      <c r="EC262" s="7"/>
      <c r="EF262" s="4"/>
      <c r="EG262" s="4"/>
      <c r="EQ262" s="2"/>
      <c r="ER262" s="2"/>
    </row>
    <row r="263" spans="1:148">
      <c r="A263" s="227">
        <v>3367</v>
      </c>
      <c r="B263" s="228" t="s">
        <v>759</v>
      </c>
      <c r="C263" s="228" t="s">
        <v>278</v>
      </c>
      <c r="D263" s="228" t="s">
        <v>117</v>
      </c>
      <c r="E263" s="228" t="s">
        <v>760</v>
      </c>
      <c r="F263" s="228" t="s">
        <v>35</v>
      </c>
      <c r="G263" s="228" t="s">
        <v>1292</v>
      </c>
      <c r="H263" s="228" t="s">
        <v>1285</v>
      </c>
      <c r="I263" s="228" t="s">
        <v>693</v>
      </c>
      <c r="J263" s="228" t="s">
        <v>694</v>
      </c>
      <c r="K263" s="229">
        <v>43388</v>
      </c>
      <c r="L263" s="230"/>
      <c r="M263" s="230">
        <v>3.3</v>
      </c>
      <c r="N263" s="228">
        <v>3.9460000000000002</v>
      </c>
      <c r="O263" s="228" t="s">
        <v>687</v>
      </c>
      <c r="P263" s="231" t="s">
        <v>695</v>
      </c>
      <c r="Q263" s="231" t="s">
        <v>696</v>
      </c>
      <c r="R263" s="228" t="s">
        <v>24</v>
      </c>
      <c r="S263" s="228"/>
      <c r="T263" s="232" t="s">
        <v>615</v>
      </c>
      <c r="U263" s="228"/>
      <c r="V263" s="232" t="s">
        <v>615</v>
      </c>
      <c r="W263" s="228"/>
      <c r="X263" s="232" t="s">
        <v>120</v>
      </c>
      <c r="Y263" s="228" t="s">
        <v>761</v>
      </c>
      <c r="Z263" s="233" t="s">
        <v>120</v>
      </c>
      <c r="AA263" s="234"/>
      <c r="AB263" s="234"/>
      <c r="AC263" s="235" t="s">
        <v>123</v>
      </c>
      <c r="AD263" s="228" t="s">
        <v>762</v>
      </c>
      <c r="AE263" s="232" t="s">
        <v>615</v>
      </c>
      <c r="AF263" s="229"/>
      <c r="AG263" s="236"/>
      <c r="AH263" s="236"/>
      <c r="AI263" s="228"/>
      <c r="AJ263" s="232" t="s">
        <v>615</v>
      </c>
      <c r="AK263" s="228"/>
      <c r="AL263" s="228"/>
      <c r="AM263" s="232"/>
      <c r="AN263" s="228"/>
      <c r="AO263" s="228"/>
      <c r="AP263" s="237"/>
      <c r="AQ263" s="228"/>
      <c r="AR263" s="232"/>
      <c r="AS263" s="228"/>
      <c r="AT263" s="229"/>
      <c r="AU263" s="229"/>
      <c r="AV263" s="229"/>
      <c r="AW263" s="229"/>
      <c r="AX263" s="229"/>
      <c r="AY263" s="229"/>
      <c r="AZ263" s="238">
        <v>43388</v>
      </c>
      <c r="BA263" s="1" t="s">
        <v>7684</v>
      </c>
      <c r="BB263">
        <v>130</v>
      </c>
      <c r="BC263">
        <v>60</v>
      </c>
      <c r="BD263">
        <v>2666</v>
      </c>
      <c r="BE26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3" s="240">
        <f>COUNTIFS(_05preva_view43[Site ID],_05preva_view43[[#This Row],[Site ID]],_05preva_view43[Prevalidation Status],"Under Prevalidation")</f>
        <v>0</v>
      </c>
      <c r="BG26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3" s="242" t="str">
        <f>CONCATENATE(_05preva_view43[[#This Row],[Site ID]]," (",_05preva_view43[[#This Row],[tenant id]],") Application",IF(_05preva_view43[[#This Row],[Colo Rev]]&gt;0," Rev "&amp;_05preva_view43[[#This Row],[Colo Rev]],""),".xlsx")</f>
        <v>1-01-14005-005 (SHS00349) Application Rev 4.xlsx</v>
      </c>
      <c r="BI263" s="64" t="e">
        <f t="shared" ca="1" si="4"/>
        <v>#VALUE!</v>
      </c>
      <c r="BJ263" s="104" t="e">
        <f ca="1">LEFT(CELL("filename",A248),_05preva_view43[[#This Row],[Find Process &amp; Database]]-1)</f>
        <v>#VALUE!</v>
      </c>
      <c r="BK263" s="104" t="e">
        <f ca="1">_05preva_view43[Folder Path1]&amp;"Process &amp; Database\Documentation\Colo Applications"</f>
        <v>#VALUE!</v>
      </c>
      <c r="BL263" s="104" t="e">
        <f ca="1">_05preva_view43[Folder Path2]&amp;"\Colo App "&amp;_05preva_view43[[#This Row],[Operator]]&amp;"\"</f>
        <v>#VALUE!</v>
      </c>
      <c r="BM263" s="63" t="e">
        <f ca="1">_05preva_view43[[#This Row],[Folder Path3]]&amp;_05preva_view43[[#This Row],[File Name]]</f>
        <v>#VALUE!</v>
      </c>
      <c r="BN263" s="104"/>
      <c r="CF263" s="5"/>
      <c r="CG263" s="5"/>
      <c r="CH263" s="3"/>
      <c r="CJ263" s="5"/>
      <c r="CN263" s="3"/>
      <c r="CO263" s="3"/>
      <c r="CP263" s="5"/>
      <c r="CR263" s="3"/>
      <c r="DN263" s="5"/>
      <c r="DP263" s="3"/>
      <c r="EB263" s="7"/>
      <c r="EC263" s="7"/>
      <c r="EF263" s="4"/>
      <c r="EG263" s="4"/>
      <c r="EQ263" s="2"/>
      <c r="ER263" s="2"/>
    </row>
    <row r="264" spans="1:148">
      <c r="A264" s="227">
        <v>3368</v>
      </c>
      <c r="B264" s="228" t="s">
        <v>763</v>
      </c>
      <c r="C264" s="228" t="s">
        <v>278</v>
      </c>
      <c r="D264" s="228" t="s">
        <v>153</v>
      </c>
      <c r="E264" s="228" t="s">
        <v>764</v>
      </c>
      <c r="F264" s="228" t="s">
        <v>35</v>
      </c>
      <c r="G264" s="228" t="s">
        <v>1292</v>
      </c>
      <c r="H264" s="228" t="s">
        <v>1285</v>
      </c>
      <c r="I264" s="228" t="s">
        <v>693</v>
      </c>
      <c r="J264" s="228" t="s">
        <v>686</v>
      </c>
      <c r="K264" s="229">
        <v>43388</v>
      </c>
      <c r="L264" s="230"/>
      <c r="M264" s="230">
        <v>2.1</v>
      </c>
      <c r="N264" s="228">
        <v>3.5750000000000002</v>
      </c>
      <c r="O264" s="228" t="s">
        <v>687</v>
      </c>
      <c r="P264" s="231" t="s">
        <v>765</v>
      </c>
      <c r="Q264" s="231" t="s">
        <v>766</v>
      </c>
      <c r="R264" s="228" t="s">
        <v>24</v>
      </c>
      <c r="S264" s="228"/>
      <c r="T264" s="232" t="s">
        <v>615</v>
      </c>
      <c r="U264" s="228"/>
      <c r="V264" s="232" t="s">
        <v>615</v>
      </c>
      <c r="W264" s="228"/>
      <c r="X264" s="232" t="s">
        <v>120</v>
      </c>
      <c r="Y264" s="228" t="s">
        <v>767</v>
      </c>
      <c r="Z264" s="233" t="s">
        <v>120</v>
      </c>
      <c r="AA264" s="234"/>
      <c r="AB264" s="234"/>
      <c r="AC264" s="235" t="s">
        <v>123</v>
      </c>
      <c r="AD264" s="228" t="s">
        <v>768</v>
      </c>
      <c r="AE264" s="232" t="s">
        <v>615</v>
      </c>
      <c r="AF264" s="229"/>
      <c r="AG264" s="236"/>
      <c r="AH264" s="236"/>
      <c r="AI264" s="228"/>
      <c r="AJ264" s="232" t="s">
        <v>615</v>
      </c>
      <c r="AK264" s="228"/>
      <c r="AL264" s="228"/>
      <c r="AM264" s="232"/>
      <c r="AN264" s="228"/>
      <c r="AO264" s="228"/>
      <c r="AP264" s="237"/>
      <c r="AQ264" s="228"/>
      <c r="AR264" s="232"/>
      <c r="AS264" s="228"/>
      <c r="AT264" s="229"/>
      <c r="AU264" s="229"/>
      <c r="AV264" s="229"/>
      <c r="AW264" s="229"/>
      <c r="AX264" s="229"/>
      <c r="AY264" s="229"/>
      <c r="AZ264" s="238">
        <v>43388</v>
      </c>
      <c r="BA264" s="1" t="s">
        <v>7684</v>
      </c>
      <c r="BB264">
        <v>195</v>
      </c>
      <c r="BC264">
        <v>60</v>
      </c>
      <c r="BD264">
        <v>2591</v>
      </c>
      <c r="BE26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4" s="240">
        <f>COUNTIFS(_05preva_view43[Site ID],_05preva_view43[[#This Row],[Site ID]],_05preva_view43[Prevalidation Status],"Under Prevalidation")</f>
        <v>0</v>
      </c>
      <c r="BG26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4" s="242" t="str">
        <f>CONCATENATE(_05preva_view43[[#This Row],[Site ID]]," (",_05preva_view43[[#This Row],[tenant id]],") Application",IF(_05preva_view43[[#This Row],[Colo Rev]]&gt;0," Rev "&amp;_05preva_view43[[#This Row],[Colo Rev]],""),".xlsx")</f>
        <v>1-01-17016-004 (AWD00498) Application Rev 2.xlsx</v>
      </c>
      <c r="BI264" s="64" t="e">
        <f t="shared" ca="1" si="4"/>
        <v>#VALUE!</v>
      </c>
      <c r="BJ264" s="104" t="e">
        <f ca="1">LEFT(CELL("filename",A249),_05preva_view43[[#This Row],[Find Process &amp; Database]]-1)</f>
        <v>#VALUE!</v>
      </c>
      <c r="BK264" s="104" t="e">
        <f ca="1">_05preva_view43[Folder Path1]&amp;"Process &amp; Database\Documentation\Colo Applications"</f>
        <v>#VALUE!</v>
      </c>
      <c r="BL264" s="104" t="e">
        <f ca="1">_05preva_view43[Folder Path2]&amp;"\Colo App "&amp;_05preva_view43[[#This Row],[Operator]]&amp;"\"</f>
        <v>#VALUE!</v>
      </c>
      <c r="BM264" s="63" t="e">
        <f ca="1">_05preva_view43[[#This Row],[Folder Path3]]&amp;_05preva_view43[[#This Row],[File Name]]</f>
        <v>#VALUE!</v>
      </c>
      <c r="BN264" s="104"/>
      <c r="CF264" s="5"/>
      <c r="CG264" s="5"/>
      <c r="CH264" s="3"/>
      <c r="CJ264" s="5"/>
      <c r="CN264" s="3"/>
      <c r="CO264" s="3"/>
      <c r="CP264" s="5"/>
      <c r="CR264" s="3"/>
      <c r="DN264" s="5"/>
      <c r="DP264" s="3"/>
      <c r="EB264" s="7"/>
      <c r="EC264" s="7"/>
      <c r="EF264" s="4"/>
      <c r="EG264" s="4"/>
      <c r="EQ264" s="2"/>
      <c r="ER264" s="2"/>
    </row>
    <row r="265" spans="1:148">
      <c r="A265" s="227">
        <v>3369</v>
      </c>
      <c r="B265" s="228" t="s">
        <v>769</v>
      </c>
      <c r="C265" s="228" t="s">
        <v>278</v>
      </c>
      <c r="D265" s="228" t="s">
        <v>153</v>
      </c>
      <c r="E265" s="228" t="s">
        <v>770</v>
      </c>
      <c r="F265" s="228" t="s">
        <v>35</v>
      </c>
      <c r="G265" s="228" t="s">
        <v>1292</v>
      </c>
      <c r="H265" s="228" t="s">
        <v>1285</v>
      </c>
      <c r="I265" s="228" t="s">
        <v>693</v>
      </c>
      <c r="J265" s="228" t="s">
        <v>686</v>
      </c>
      <c r="K265" s="229">
        <v>43388</v>
      </c>
      <c r="L265" s="230"/>
      <c r="M265" s="230">
        <v>2.4</v>
      </c>
      <c r="N265" s="228">
        <v>3.5150000000000001</v>
      </c>
      <c r="O265" s="228" t="s">
        <v>687</v>
      </c>
      <c r="P265" s="231" t="s">
        <v>508</v>
      </c>
      <c r="Q265" s="231" t="s">
        <v>509</v>
      </c>
      <c r="R265" s="228" t="s">
        <v>24</v>
      </c>
      <c r="S265" s="228"/>
      <c r="T265" s="232" t="s">
        <v>615</v>
      </c>
      <c r="U265" s="228"/>
      <c r="V265" s="232" t="s">
        <v>615</v>
      </c>
      <c r="W265" s="228"/>
      <c r="X265" s="232" t="s">
        <v>120</v>
      </c>
      <c r="Y265" s="228" t="s">
        <v>771</v>
      </c>
      <c r="Z265" s="233" t="s">
        <v>120</v>
      </c>
      <c r="AA265" s="234"/>
      <c r="AB265" s="234"/>
      <c r="AC265" s="235" t="s">
        <v>123</v>
      </c>
      <c r="AD265" s="228" t="s">
        <v>772</v>
      </c>
      <c r="AE265" s="232" t="s">
        <v>615</v>
      </c>
      <c r="AF265" s="229"/>
      <c r="AG265" s="236"/>
      <c r="AH265" s="236"/>
      <c r="AI265" s="228"/>
      <c r="AJ265" s="232" t="s">
        <v>615</v>
      </c>
      <c r="AK265" s="228"/>
      <c r="AL265" s="228"/>
      <c r="AM265" s="232"/>
      <c r="AN265" s="228"/>
      <c r="AO265" s="228"/>
      <c r="AP265" s="237"/>
      <c r="AQ265" s="228"/>
      <c r="AR265" s="232"/>
      <c r="AS265" s="228"/>
      <c r="AT265" s="229"/>
      <c r="AU265" s="229"/>
      <c r="AV265" s="229"/>
      <c r="AW265" s="229"/>
      <c r="AX265" s="229"/>
      <c r="AY265" s="229"/>
      <c r="AZ265" s="238">
        <v>43388</v>
      </c>
      <c r="BA265" s="1" t="s">
        <v>7684</v>
      </c>
      <c r="BB265">
        <v>160</v>
      </c>
      <c r="BC265">
        <v>45</v>
      </c>
      <c r="BD265">
        <v>2637</v>
      </c>
      <c r="BE26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5" s="240">
        <f>COUNTIFS(_05preva_view43[Site ID],_05preva_view43[[#This Row],[Site ID]],_05preva_view43[Prevalidation Status],"Under Prevalidation")</f>
        <v>0</v>
      </c>
      <c r="BG26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5" s="242" t="str">
        <f>CONCATENATE(_05preva_view43[[#This Row],[Site ID]]," (",_05preva_view43[[#This Row],[tenant id]],") Application",IF(_05preva_view43[[#This Row],[Colo Rev]]&gt;0," Rev "&amp;_05preva_view43[[#This Row],[Colo Rev]],""),".xlsx")</f>
        <v>1-01-13004-002 (YGN00555) Application Rev 2.xlsx</v>
      </c>
      <c r="BI265" s="64" t="e">
        <f t="shared" ca="1" si="4"/>
        <v>#VALUE!</v>
      </c>
      <c r="BJ265" s="104" t="e">
        <f ca="1">LEFT(CELL("filename",A250),_05preva_view43[[#This Row],[Find Process &amp; Database]]-1)</f>
        <v>#VALUE!</v>
      </c>
      <c r="BK265" s="104" t="e">
        <f ca="1">_05preva_view43[Folder Path1]&amp;"Process &amp; Database\Documentation\Colo Applications"</f>
        <v>#VALUE!</v>
      </c>
      <c r="BL265" s="104" t="e">
        <f ca="1">_05preva_view43[Folder Path2]&amp;"\Colo App "&amp;_05preva_view43[[#This Row],[Operator]]&amp;"\"</f>
        <v>#VALUE!</v>
      </c>
      <c r="BM265" s="63" t="e">
        <f ca="1">_05preva_view43[[#This Row],[Folder Path3]]&amp;_05preva_view43[[#This Row],[File Name]]</f>
        <v>#VALUE!</v>
      </c>
      <c r="BN265" s="104"/>
      <c r="CF265" s="5"/>
      <c r="CG265" s="5"/>
      <c r="CH265" s="3"/>
      <c r="CJ265" s="5"/>
      <c r="CN265" s="3"/>
      <c r="CO265" s="3"/>
      <c r="CP265" s="5"/>
      <c r="CR265" s="3"/>
      <c r="DN265" s="5"/>
      <c r="DP265" s="3"/>
      <c r="EB265" s="7"/>
      <c r="EC265" s="7"/>
      <c r="EF265" s="4"/>
      <c r="EG265" s="4"/>
      <c r="EQ265" s="2"/>
      <c r="ER265" s="2"/>
    </row>
    <row r="266" spans="1:148">
      <c r="A266" s="227">
        <v>3370</v>
      </c>
      <c r="B266" s="228" t="s">
        <v>773</v>
      </c>
      <c r="C266" s="228" t="s">
        <v>278</v>
      </c>
      <c r="D266" s="228" t="s">
        <v>153</v>
      </c>
      <c r="E266" s="228" t="s">
        <v>774</v>
      </c>
      <c r="F266" s="228" t="s">
        <v>35</v>
      </c>
      <c r="G266" s="228" t="s">
        <v>1292</v>
      </c>
      <c r="H266" s="228" t="s">
        <v>1285</v>
      </c>
      <c r="I266" s="228" t="s">
        <v>775</v>
      </c>
      <c r="J266" s="228" t="s">
        <v>686</v>
      </c>
      <c r="K266" s="229">
        <v>43388</v>
      </c>
      <c r="L266" s="230"/>
      <c r="M266" s="230">
        <v>0.9</v>
      </c>
      <c r="N266" s="228">
        <v>2.887</v>
      </c>
      <c r="O266" s="228" t="s">
        <v>687</v>
      </c>
      <c r="P266" s="231" t="s">
        <v>765</v>
      </c>
      <c r="Q266" s="231" t="s">
        <v>766</v>
      </c>
      <c r="R266" s="228" t="s">
        <v>24</v>
      </c>
      <c r="S266" s="228"/>
      <c r="T266" s="232" t="s">
        <v>615</v>
      </c>
      <c r="U266" s="228"/>
      <c r="V266" s="232" t="s">
        <v>615</v>
      </c>
      <c r="W266" s="228"/>
      <c r="X266" s="232" t="s">
        <v>120</v>
      </c>
      <c r="Y266" s="228" t="s">
        <v>776</v>
      </c>
      <c r="Z266" s="233" t="s">
        <v>120</v>
      </c>
      <c r="AA266" s="234"/>
      <c r="AB266" s="234"/>
      <c r="AC266" s="235" t="s">
        <v>123</v>
      </c>
      <c r="AD266" s="228" t="s">
        <v>777</v>
      </c>
      <c r="AE266" s="232" t="s">
        <v>615</v>
      </c>
      <c r="AF266" s="229"/>
      <c r="AG266" s="236"/>
      <c r="AH266" s="236"/>
      <c r="AI266" s="228"/>
      <c r="AJ266" s="232" t="s">
        <v>615</v>
      </c>
      <c r="AK266" s="228"/>
      <c r="AL266" s="228"/>
      <c r="AM266" s="232"/>
      <c r="AN266" s="228"/>
      <c r="AO266" s="228"/>
      <c r="AP266" s="237"/>
      <c r="AQ266" s="228"/>
      <c r="AR266" s="232"/>
      <c r="AS266" s="228"/>
      <c r="AT266" s="229"/>
      <c r="AU266" s="229"/>
      <c r="AV266" s="229"/>
      <c r="AW266" s="229"/>
      <c r="AX266" s="229"/>
      <c r="AY266" s="229"/>
      <c r="AZ266" s="238">
        <v>43388</v>
      </c>
      <c r="BA266" s="1" t="s">
        <v>7684</v>
      </c>
      <c r="BB266">
        <v>195</v>
      </c>
      <c r="BC266">
        <v>60</v>
      </c>
      <c r="BD266">
        <v>2724</v>
      </c>
      <c r="BE26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6" s="240">
        <f>COUNTIFS(_05preva_view43[Site ID],_05preva_view43[[#This Row],[Site ID]],_05preva_view43[Prevalidation Status],"Under Prevalidation")</f>
        <v>0</v>
      </c>
      <c r="BG26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6" s="242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2.xlsx</v>
      </c>
      <c r="BI266" s="64" t="e">
        <f t="shared" ca="1" si="4"/>
        <v>#VALUE!</v>
      </c>
      <c r="BJ266" s="104" t="e">
        <f ca="1">LEFT(CELL("filename",A251),_05preva_view43[[#This Row],[Find Process &amp; Database]]-1)</f>
        <v>#VALUE!</v>
      </c>
      <c r="BK266" s="104" t="e">
        <f ca="1">_05preva_view43[Folder Path1]&amp;"Process &amp; Database\Documentation\Colo Applications"</f>
        <v>#VALUE!</v>
      </c>
      <c r="BL266" s="104" t="e">
        <f ca="1">_05preva_view43[Folder Path2]&amp;"\Colo App "&amp;_05preva_view43[[#This Row],[Operator]]&amp;"\"</f>
        <v>#VALUE!</v>
      </c>
      <c r="BM266" s="63" t="e">
        <f ca="1">_05preva_view43[[#This Row],[Folder Path3]]&amp;_05preva_view43[[#This Row],[File Name]]</f>
        <v>#VALUE!</v>
      </c>
      <c r="BN266" s="104"/>
      <c r="CF266" s="5"/>
      <c r="CG266" s="5"/>
      <c r="CH266" s="3"/>
      <c r="CJ266" s="5"/>
      <c r="CN266" s="3"/>
      <c r="CO266" s="3"/>
      <c r="CP266" s="5"/>
      <c r="CR266" s="3"/>
      <c r="DN266" s="5"/>
      <c r="DP266" s="3"/>
      <c r="EB266" s="7"/>
      <c r="EC266" s="7"/>
      <c r="EF266" s="4"/>
      <c r="EG266" s="4"/>
      <c r="EQ266" s="2"/>
      <c r="ER266" s="2"/>
    </row>
    <row r="267" spans="1:148">
      <c r="A267" s="227">
        <v>3371</v>
      </c>
      <c r="B267" s="228" t="s">
        <v>778</v>
      </c>
      <c r="C267" s="228" t="s">
        <v>278</v>
      </c>
      <c r="D267" s="228" t="s">
        <v>153</v>
      </c>
      <c r="E267" s="228" t="s">
        <v>779</v>
      </c>
      <c r="F267" s="228" t="s">
        <v>35</v>
      </c>
      <c r="G267" s="228" t="s">
        <v>1292</v>
      </c>
      <c r="H267" s="228" t="s">
        <v>1285</v>
      </c>
      <c r="I267" s="228" t="s">
        <v>775</v>
      </c>
      <c r="J267" s="228" t="s">
        <v>686</v>
      </c>
      <c r="K267" s="229">
        <v>43388</v>
      </c>
      <c r="L267" s="230"/>
      <c r="M267" s="230">
        <v>1.5</v>
      </c>
      <c r="N267" s="228">
        <v>2.9119999999999999</v>
      </c>
      <c r="O267" s="228" t="s">
        <v>687</v>
      </c>
      <c r="P267" s="231" t="s">
        <v>533</v>
      </c>
      <c r="Q267" s="231" t="s">
        <v>780</v>
      </c>
      <c r="R267" s="228" t="s">
        <v>24</v>
      </c>
      <c r="S267" s="228"/>
      <c r="T267" s="232" t="s">
        <v>615</v>
      </c>
      <c r="U267" s="228"/>
      <c r="V267" s="232" t="s">
        <v>615</v>
      </c>
      <c r="W267" s="228"/>
      <c r="X267" s="232" t="s">
        <v>120</v>
      </c>
      <c r="Y267" s="228" t="s">
        <v>781</v>
      </c>
      <c r="Z267" s="233" t="s">
        <v>120</v>
      </c>
      <c r="AA267" s="234"/>
      <c r="AB267" s="234"/>
      <c r="AC267" s="235" t="s">
        <v>123</v>
      </c>
      <c r="AD267" s="228" t="s">
        <v>782</v>
      </c>
      <c r="AE267" s="232" t="s">
        <v>615</v>
      </c>
      <c r="AF267" s="229"/>
      <c r="AG267" s="236"/>
      <c r="AH267" s="236"/>
      <c r="AI267" s="228"/>
      <c r="AJ267" s="232" t="s">
        <v>615</v>
      </c>
      <c r="AK267" s="228"/>
      <c r="AL267" s="228"/>
      <c r="AM267" s="232"/>
      <c r="AN267" s="228"/>
      <c r="AO267" s="228"/>
      <c r="AP267" s="237"/>
      <c r="AQ267" s="228"/>
      <c r="AR267" s="232"/>
      <c r="AS267" s="228"/>
      <c r="AT267" s="229"/>
      <c r="AU267" s="229"/>
      <c r="AV267" s="229"/>
      <c r="AW267" s="229"/>
      <c r="AX267" s="229"/>
      <c r="AY267" s="229"/>
      <c r="AZ267" s="238">
        <v>43388</v>
      </c>
      <c r="BA267" s="1" t="s">
        <v>7684</v>
      </c>
      <c r="BB267">
        <v>195</v>
      </c>
      <c r="BC267">
        <v>45</v>
      </c>
      <c r="BD267">
        <v>3696</v>
      </c>
      <c r="BE26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7" s="240">
        <f>COUNTIFS(_05preva_view43[Site ID],_05preva_view43[[#This Row],[Site ID]],_05preva_view43[Prevalidation Status],"Under Prevalidation")</f>
        <v>0</v>
      </c>
      <c r="BG26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7" s="242" t="str">
        <f>CONCATENATE(_05preva_view43[[#This Row],[Site ID]]," (",_05preva_view43[[#This Row],[tenant id]],") Application",IF(_05preva_view43[[#This Row],[Colo Rev]]&gt;0," Rev "&amp;_05preva_view43[[#This Row],[Colo Rev]],""),".xlsx")</f>
        <v>1-01-17008-022 (AWD00548) Application Rev 2.xlsx</v>
      </c>
      <c r="BI267" s="64" t="e">
        <f t="shared" ca="1" si="4"/>
        <v>#VALUE!</v>
      </c>
      <c r="BJ267" s="104" t="e">
        <f ca="1">LEFT(CELL("filename",A252),_05preva_view43[[#This Row],[Find Process &amp; Database]]-1)</f>
        <v>#VALUE!</v>
      </c>
      <c r="BK267" s="104" t="e">
        <f ca="1">_05preva_view43[Folder Path1]&amp;"Process &amp; Database\Documentation\Colo Applications"</f>
        <v>#VALUE!</v>
      </c>
      <c r="BL267" s="104" t="e">
        <f ca="1">_05preva_view43[Folder Path2]&amp;"\Colo App "&amp;_05preva_view43[[#This Row],[Operator]]&amp;"\"</f>
        <v>#VALUE!</v>
      </c>
      <c r="BM267" s="63" t="e">
        <f ca="1">_05preva_view43[[#This Row],[Folder Path3]]&amp;_05preva_view43[[#This Row],[File Name]]</f>
        <v>#VALUE!</v>
      </c>
      <c r="BN267" s="104"/>
      <c r="CF267" s="5"/>
      <c r="CG267" s="5"/>
      <c r="CH267" s="3"/>
      <c r="CJ267" s="5"/>
      <c r="CN267" s="3"/>
      <c r="CO267" s="3"/>
      <c r="CP267" s="5"/>
      <c r="CR267" s="3"/>
      <c r="DN267" s="5"/>
      <c r="DP267" s="3"/>
      <c r="EB267" s="7"/>
      <c r="EC267" s="7"/>
      <c r="EF267" s="4"/>
      <c r="EG267" s="4"/>
      <c r="EQ267" s="2"/>
      <c r="ER267" s="2"/>
    </row>
    <row r="268" spans="1:148">
      <c r="A268" s="227">
        <v>3348</v>
      </c>
      <c r="B268" s="228" t="s">
        <v>665</v>
      </c>
      <c r="C268" s="228" t="s">
        <v>116</v>
      </c>
      <c r="D268" s="228" t="s">
        <v>127</v>
      </c>
      <c r="E268" s="228" t="s">
        <v>666</v>
      </c>
      <c r="F268" s="228" t="s">
        <v>35</v>
      </c>
      <c r="G268" s="228" t="s">
        <v>1287</v>
      </c>
      <c r="H268" s="228" t="s">
        <v>1285</v>
      </c>
      <c r="I268" s="228" t="s">
        <v>667</v>
      </c>
      <c r="J268" s="228" t="s">
        <v>668</v>
      </c>
      <c r="K268" s="229">
        <v>43384</v>
      </c>
      <c r="L268" s="230"/>
      <c r="M268" s="230">
        <v>1.4</v>
      </c>
      <c r="N268" s="228">
        <v>5</v>
      </c>
      <c r="O268" s="228" t="s">
        <v>119</v>
      </c>
      <c r="P268" s="231" t="s">
        <v>655</v>
      </c>
      <c r="Q268" s="231" t="s">
        <v>669</v>
      </c>
      <c r="R268" s="228" t="s">
        <v>24</v>
      </c>
      <c r="S268" s="228"/>
      <c r="T268" s="232" t="s">
        <v>615</v>
      </c>
      <c r="U268" s="228"/>
      <c r="V268" s="232" t="s">
        <v>141</v>
      </c>
      <c r="W268" s="228" t="s">
        <v>672</v>
      </c>
      <c r="X268" s="232" t="s">
        <v>120</v>
      </c>
      <c r="Y268" s="228" t="s">
        <v>670</v>
      </c>
      <c r="Z268" s="233" t="s">
        <v>120</v>
      </c>
      <c r="AA268" s="234"/>
      <c r="AB268" s="234"/>
      <c r="AC268" s="235"/>
      <c r="AD268" s="228"/>
      <c r="AE268" s="232" t="s">
        <v>615</v>
      </c>
      <c r="AF268" s="229"/>
      <c r="AG268" s="236"/>
      <c r="AH268" s="236"/>
      <c r="AI268" s="228" t="s">
        <v>671</v>
      </c>
      <c r="AJ268" s="232" t="s">
        <v>615</v>
      </c>
      <c r="AK268" s="228"/>
      <c r="AL268" s="228"/>
      <c r="AM268" s="232"/>
      <c r="AN268" s="228"/>
      <c r="AO268" s="228"/>
      <c r="AP268" s="237"/>
      <c r="AQ268" s="228"/>
      <c r="AR268" s="232"/>
      <c r="AS268" s="228"/>
      <c r="AT268" s="229"/>
      <c r="AU268" s="229"/>
      <c r="AV268" s="229"/>
      <c r="AW268" s="229"/>
      <c r="AX268" s="229"/>
      <c r="AY268" s="229"/>
      <c r="AZ268" s="238">
        <v>43384</v>
      </c>
      <c r="BA268" s="1" t="s">
        <v>7684</v>
      </c>
      <c r="BB268">
        <v>130</v>
      </c>
      <c r="BC268">
        <v>50</v>
      </c>
      <c r="BD268">
        <v>683</v>
      </c>
      <c r="BE26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8" s="240">
        <f>COUNTIFS(_05preva_view43[Site ID],_05preva_view43[[#This Row],[Site ID]],_05preva_view43[Prevalidation Status],"Under Prevalidation")</f>
        <v>0</v>
      </c>
      <c r="BG26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8" s="24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1.xlsx</v>
      </c>
      <c r="BI268" s="64" t="e">
        <f t="shared" ca="1" si="4"/>
        <v>#VALUE!</v>
      </c>
      <c r="BJ268" s="104" t="e">
        <f ca="1">LEFT(CELL("filename",A253),_05preva_view43[[#This Row],[Find Process &amp; Database]]-1)</f>
        <v>#VALUE!</v>
      </c>
      <c r="BK268" s="104" t="e">
        <f ca="1">_05preva_view43[Folder Path1]&amp;"Process &amp; Database\Documentation\Colo Applications"</f>
        <v>#VALUE!</v>
      </c>
      <c r="BL268" s="104" t="e">
        <f ca="1">_05preva_view43[Folder Path2]&amp;"\Colo App "&amp;_05preva_view43[[#This Row],[Operator]]&amp;"\"</f>
        <v>#VALUE!</v>
      </c>
      <c r="BM268" s="63" t="e">
        <f ca="1">_05preva_view43[[#This Row],[Folder Path3]]&amp;_05preva_view43[[#This Row],[File Name]]</f>
        <v>#VALUE!</v>
      </c>
      <c r="BN268" s="104"/>
      <c r="CF268" s="5"/>
      <c r="CG268" s="5"/>
      <c r="CH268" s="3"/>
      <c r="CJ268" s="5"/>
      <c r="CN268" s="3"/>
      <c r="CO268" s="3"/>
      <c r="CP268" s="5"/>
      <c r="CR268" s="3"/>
      <c r="DN268" s="5"/>
      <c r="DP268" s="3"/>
      <c r="EB268" s="7"/>
      <c r="EC268" s="7"/>
      <c r="EF268" s="4"/>
      <c r="EG268" s="4"/>
      <c r="EQ268" s="2"/>
      <c r="ER268" s="2"/>
    </row>
    <row r="269" spans="1:148">
      <c r="A269" s="227">
        <v>3349</v>
      </c>
      <c r="B269" s="228" t="s">
        <v>673</v>
      </c>
      <c r="C269" s="228" t="s">
        <v>116</v>
      </c>
      <c r="D269" s="228" t="s">
        <v>153</v>
      </c>
      <c r="E269" s="228" t="s">
        <v>674</v>
      </c>
      <c r="F269" s="228" t="s">
        <v>35</v>
      </c>
      <c r="G269" s="228" t="s">
        <v>675</v>
      </c>
      <c r="H269" s="228" t="s">
        <v>676</v>
      </c>
      <c r="I269" s="228" t="s">
        <v>667</v>
      </c>
      <c r="J269" s="228" t="s">
        <v>677</v>
      </c>
      <c r="K269" s="229">
        <v>43384</v>
      </c>
      <c r="L269" s="230"/>
      <c r="M269" s="230">
        <v>2.1</v>
      </c>
      <c r="N269" s="228">
        <v>5</v>
      </c>
      <c r="O269" s="228" t="s">
        <v>119</v>
      </c>
      <c r="P269" s="231" t="s">
        <v>247</v>
      </c>
      <c r="Q269" s="231" t="s">
        <v>227</v>
      </c>
      <c r="R269" s="228" t="s">
        <v>24</v>
      </c>
      <c r="S269" s="228"/>
      <c r="T269" s="232" t="s">
        <v>615</v>
      </c>
      <c r="U269" s="228"/>
      <c r="V269" s="232" t="s">
        <v>141</v>
      </c>
      <c r="W269" s="228" t="s">
        <v>680</v>
      </c>
      <c r="X269" s="232" t="s">
        <v>120</v>
      </c>
      <c r="Y269" s="228" t="s">
        <v>678</v>
      </c>
      <c r="Z269" s="233"/>
      <c r="AA269" s="234"/>
      <c r="AB269" s="234"/>
      <c r="AC269" s="235"/>
      <c r="AD269" s="228"/>
      <c r="AE269" s="232" t="s">
        <v>120</v>
      </c>
      <c r="AF269" s="229" t="s">
        <v>515</v>
      </c>
      <c r="AG269" s="236"/>
      <c r="AH269" s="236"/>
      <c r="AI269" s="228" t="s">
        <v>679</v>
      </c>
      <c r="AJ269" s="232" t="s">
        <v>615</v>
      </c>
      <c r="AK269" s="228"/>
      <c r="AL269" s="228"/>
      <c r="AM269" s="232"/>
      <c r="AN269" s="228"/>
      <c r="AO269" s="228"/>
      <c r="AP269" s="237"/>
      <c r="AQ269" s="228"/>
      <c r="AR269" s="232"/>
      <c r="AS269" s="228"/>
      <c r="AT269" s="229"/>
      <c r="AU269" s="229">
        <v>43453.379108564797</v>
      </c>
      <c r="AV269" s="229"/>
      <c r="AW269" s="229"/>
      <c r="AX269" s="229"/>
      <c r="AY269" s="229"/>
      <c r="AZ269" s="238">
        <v>43384</v>
      </c>
      <c r="BA269" s="1" t="s">
        <v>7684</v>
      </c>
      <c r="BB269">
        <v>195</v>
      </c>
      <c r="BC269">
        <v>40</v>
      </c>
      <c r="BD269">
        <v>109</v>
      </c>
      <c r="BE26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69" s="240">
        <f>COUNTIFS(_05preva_view43[Site ID],_05preva_view43[[#This Row],[Site ID]],_05preva_view43[Prevalidation Status],"Under Prevalidation")</f>
        <v>0</v>
      </c>
      <c r="BG26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69" s="242" t="str">
        <f>CONCATENATE(_05preva_view43[[#This Row],[Site ID]]," (",_05preva_view43[[#This Row],[tenant id]],") Application",IF(_05preva_view43[[#This Row],[Colo Rev]]&gt;0," Rev "&amp;_05preva_view43[[#This Row],[Colo Rev]],""),".xlsx")</f>
        <v>AYYN_0609 (BGE00472) Application Rev 0.xlsx</v>
      </c>
      <c r="BI269" s="64" t="e">
        <f t="shared" ca="1" si="4"/>
        <v>#VALUE!</v>
      </c>
      <c r="BJ269" s="104" t="e">
        <f ca="1">LEFT(CELL("filename",A254),_05preva_view43[[#This Row],[Find Process &amp; Database]]-1)</f>
        <v>#VALUE!</v>
      </c>
      <c r="BK269" s="104" t="e">
        <f ca="1">_05preva_view43[Folder Path1]&amp;"Process &amp; Database\Documentation\Colo Applications"</f>
        <v>#VALUE!</v>
      </c>
      <c r="BL269" s="104" t="e">
        <f ca="1">_05preva_view43[Folder Path2]&amp;"\Colo App "&amp;_05preva_view43[[#This Row],[Operator]]&amp;"\"</f>
        <v>#VALUE!</v>
      </c>
      <c r="BM269" s="63" t="e">
        <f ca="1">_05preva_view43[[#This Row],[Folder Path3]]&amp;_05preva_view43[[#This Row],[File Name]]</f>
        <v>#VALUE!</v>
      </c>
      <c r="BN269" s="104"/>
      <c r="CF269" s="5"/>
      <c r="CG269" s="5"/>
      <c r="CH269" s="3"/>
      <c r="CJ269" s="5"/>
      <c r="CN269" s="3"/>
      <c r="CO269" s="3"/>
      <c r="CP269" s="5"/>
      <c r="CR269" s="3"/>
      <c r="DN269" s="5"/>
      <c r="DP269" s="3"/>
      <c r="EB269" s="7"/>
      <c r="EC269" s="7"/>
      <c r="EF269" s="4"/>
      <c r="EG269" s="4"/>
      <c r="EQ269" s="2"/>
      <c r="ER269" s="2"/>
    </row>
    <row r="270" spans="1:148">
      <c r="A270" s="227">
        <v>3351</v>
      </c>
      <c r="B270" s="228" t="s">
        <v>213</v>
      </c>
      <c r="C270" s="228" t="s">
        <v>116</v>
      </c>
      <c r="D270" s="228" t="s">
        <v>153</v>
      </c>
      <c r="E270" s="228" t="s">
        <v>681</v>
      </c>
      <c r="F270" s="228" t="s">
        <v>35</v>
      </c>
      <c r="G270" s="228" t="s">
        <v>1287</v>
      </c>
      <c r="H270" s="228" t="s">
        <v>1285</v>
      </c>
      <c r="I270" s="228" t="s">
        <v>667</v>
      </c>
      <c r="J270" s="228" t="s">
        <v>677</v>
      </c>
      <c r="K270" s="229">
        <v>43384</v>
      </c>
      <c r="L270" s="230"/>
      <c r="M270" s="230">
        <v>2.1</v>
      </c>
      <c r="N270" s="228"/>
      <c r="O270" s="228" t="s">
        <v>119</v>
      </c>
      <c r="P270" s="231" t="s">
        <v>247</v>
      </c>
      <c r="Q270" s="231" t="s">
        <v>227</v>
      </c>
      <c r="R270" s="228" t="s">
        <v>24</v>
      </c>
      <c r="S270" s="228"/>
      <c r="T270" s="232" t="s">
        <v>615</v>
      </c>
      <c r="U270" s="228"/>
      <c r="V270" s="232" t="s">
        <v>120</v>
      </c>
      <c r="W270" s="228"/>
      <c r="X270" s="232" t="s">
        <v>120</v>
      </c>
      <c r="Y270" s="228" t="s">
        <v>682</v>
      </c>
      <c r="Z270" s="233"/>
      <c r="AA270" s="234"/>
      <c r="AB270" s="234"/>
      <c r="AC270" s="235"/>
      <c r="AD270" s="228"/>
      <c r="AE270" s="232" t="s">
        <v>120</v>
      </c>
      <c r="AF270" s="229" t="s">
        <v>639</v>
      </c>
      <c r="AG270" s="236"/>
      <c r="AH270" s="236"/>
      <c r="AI270" s="228"/>
      <c r="AJ270" s="232" t="s">
        <v>615</v>
      </c>
      <c r="AK270" s="228"/>
      <c r="AL270" s="228"/>
      <c r="AM270" s="232"/>
      <c r="AN270" s="228"/>
      <c r="AO270" s="228"/>
      <c r="AP270" s="237"/>
      <c r="AQ270" s="228"/>
      <c r="AR270" s="232"/>
      <c r="AS270" s="228"/>
      <c r="AT270" s="229"/>
      <c r="AU270" s="229">
        <v>43453.379109722198</v>
      </c>
      <c r="AV270" s="229"/>
      <c r="AW270" s="229"/>
      <c r="AX270" s="229"/>
      <c r="AY270" s="229"/>
      <c r="AZ270" s="238">
        <v>43384</v>
      </c>
      <c r="BA270" s="1" t="s">
        <v>7691</v>
      </c>
      <c r="BB270"/>
      <c r="BC270">
        <v>6</v>
      </c>
      <c r="BD270">
        <v>1221</v>
      </c>
      <c r="BE27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70" s="240">
        <f>COUNTIFS(_05preva_view43[Site ID],_05preva_view43[[#This Row],[Site ID]],_05preva_view43[Prevalidation Status],"Under Prevalidation")</f>
        <v>0</v>
      </c>
      <c r="BG27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0" s="242" t="str">
        <f>CONCATENATE(_05preva_view43[[#This Row],[Site ID]]," (",_05preva_view43[[#This Row],[tenant id]],") Application",IF(_05preva_view43[[#This Row],[Colo Rev]]&gt;0," Rev "&amp;_05preva_view43[[#This Row],[Colo Rev]],""),".xlsx")</f>
        <v>AYYN_0529 (YGN00500) Application Rev 0.xlsx</v>
      </c>
      <c r="BI270" s="64" t="e">
        <f t="shared" ca="1" si="4"/>
        <v>#VALUE!</v>
      </c>
      <c r="BJ270" s="104" t="e">
        <f ca="1">LEFT(CELL("filename",A255),_05preva_view43[[#This Row],[Find Process &amp; Database]]-1)</f>
        <v>#VALUE!</v>
      </c>
      <c r="BK270" s="104" t="e">
        <f ca="1">_05preva_view43[Folder Path1]&amp;"Process &amp; Database\Documentation\Colo Applications"</f>
        <v>#VALUE!</v>
      </c>
      <c r="BL270" s="104" t="e">
        <f ca="1">_05preva_view43[Folder Path2]&amp;"\Colo App "&amp;_05preva_view43[[#This Row],[Operator]]&amp;"\"</f>
        <v>#VALUE!</v>
      </c>
      <c r="BM270" s="63" t="e">
        <f ca="1">_05preva_view43[[#This Row],[Folder Path3]]&amp;_05preva_view43[[#This Row],[File Name]]</f>
        <v>#VALUE!</v>
      </c>
      <c r="BN270" s="104"/>
      <c r="CF270" s="5"/>
      <c r="CG270" s="5"/>
      <c r="CH270" s="3"/>
      <c r="CJ270" s="5"/>
      <c r="CN270" s="3"/>
      <c r="CO270" s="3"/>
      <c r="CP270" s="5"/>
      <c r="CR270" s="3"/>
      <c r="DN270" s="5"/>
      <c r="DP270" s="3"/>
      <c r="EB270" s="7"/>
      <c r="EC270" s="7"/>
      <c r="EF270" s="4"/>
      <c r="EG270" s="4"/>
      <c r="EQ270" s="2"/>
      <c r="ER270" s="2"/>
    </row>
    <row r="271" spans="1:148">
      <c r="A271" s="227">
        <v>648</v>
      </c>
      <c r="B271" s="228" t="s">
        <v>645</v>
      </c>
      <c r="C271" s="228" t="s">
        <v>116</v>
      </c>
      <c r="D271" s="228" t="s">
        <v>153</v>
      </c>
      <c r="E271" s="228" t="s">
        <v>646</v>
      </c>
      <c r="F271" s="228" t="s">
        <v>40</v>
      </c>
      <c r="G271" s="228" t="s">
        <v>1289</v>
      </c>
      <c r="H271" s="228" t="s">
        <v>1285</v>
      </c>
      <c r="I271" s="228" t="s">
        <v>118</v>
      </c>
      <c r="J271" s="228"/>
      <c r="K271" s="229">
        <v>43350</v>
      </c>
      <c r="L271" s="230"/>
      <c r="M271" s="230">
        <v>3</v>
      </c>
      <c r="N271" s="228">
        <v>6</v>
      </c>
      <c r="O271" s="228" t="s">
        <v>119</v>
      </c>
      <c r="P271" s="231" t="s">
        <v>281</v>
      </c>
      <c r="Q271" s="231" t="s">
        <v>647</v>
      </c>
      <c r="R271" s="228" t="s">
        <v>24</v>
      </c>
      <c r="S271" s="228"/>
      <c r="T271" s="232" t="s">
        <v>120</v>
      </c>
      <c r="U271" s="228" t="s">
        <v>644</v>
      </c>
      <c r="V271" s="232" t="s">
        <v>120</v>
      </c>
      <c r="W271" s="228"/>
      <c r="X271" s="232" t="s">
        <v>120</v>
      </c>
      <c r="Y271" s="228"/>
      <c r="Z271" s="233" t="s">
        <v>615</v>
      </c>
      <c r="AA271" s="234"/>
      <c r="AB271" s="234"/>
      <c r="AC271" s="235" t="s">
        <v>123</v>
      </c>
      <c r="AD271" s="228"/>
      <c r="AE271" s="232" t="s">
        <v>120</v>
      </c>
      <c r="AF271" s="229" t="s">
        <v>639</v>
      </c>
      <c r="AG271" s="236"/>
      <c r="AH271" s="236"/>
      <c r="AI271" s="228" t="s">
        <v>648</v>
      </c>
      <c r="AJ271" s="232" t="s">
        <v>120</v>
      </c>
      <c r="AK271" s="228" t="s">
        <v>123</v>
      </c>
      <c r="AL271" s="228"/>
      <c r="AM271" s="232"/>
      <c r="AN271" s="228"/>
      <c r="AO271" s="228"/>
      <c r="AP271" s="237"/>
      <c r="AQ271" s="228"/>
      <c r="AR271" s="232"/>
      <c r="AS271" s="228"/>
      <c r="AT271" s="229">
        <v>43417.622355671301</v>
      </c>
      <c r="AU271" s="229">
        <v>43417.673049305602</v>
      </c>
      <c r="AV271" s="229"/>
      <c r="AW271" s="229">
        <v>43417.7298373843</v>
      </c>
      <c r="AX271" s="229">
        <v>43417.688155439799</v>
      </c>
      <c r="AY271" s="229">
        <v>43417.684582291702</v>
      </c>
      <c r="AZ271" s="238">
        <v>43350</v>
      </c>
      <c r="BA271" s="1" t="s">
        <v>7684</v>
      </c>
      <c r="BB271">
        <v>195</v>
      </c>
      <c r="BC271">
        <v>35</v>
      </c>
      <c r="BD271">
        <v>415</v>
      </c>
      <c r="BE27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71" s="240">
        <f>COUNTIFS(_05preva_view43[Site ID],_05preva_view43[[#This Row],[Site ID]],_05preva_view43[Prevalidation Status],"Under Prevalidation")</f>
        <v>0</v>
      </c>
      <c r="BG27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1" s="242" t="str">
        <f>CONCATENATE(_05preva_view43[[#This Row],[Site ID]]," (",_05preva_view43[[#This Row],[tenant id]],") Application",IF(_05preva_view43[[#This Row],[Colo Rev]]&gt;0," Rev "&amp;_05preva_view43[[#This Row],[Colo Rev]],""),".xlsx")</f>
        <v>ACAY_0154 (AYW5603) Application.xlsx</v>
      </c>
      <c r="BI271" s="64" t="e">
        <f t="shared" ca="1" si="4"/>
        <v>#VALUE!</v>
      </c>
      <c r="BJ271" s="104" t="e">
        <f ca="1">LEFT(CELL("filename",A256),_05preva_view43[[#This Row],[Find Process &amp; Database]]-1)</f>
        <v>#VALUE!</v>
      </c>
      <c r="BK271" s="104" t="e">
        <f ca="1">_05preva_view43[Folder Path1]&amp;"Process &amp; Database\Documentation\Colo Applications"</f>
        <v>#VALUE!</v>
      </c>
      <c r="BL271" s="104" t="e">
        <f ca="1">_05preva_view43[Folder Path2]&amp;"\Colo App "&amp;_05preva_view43[[#This Row],[Operator]]&amp;"\"</f>
        <v>#VALUE!</v>
      </c>
      <c r="BM271" s="63" t="e">
        <f ca="1">_05preva_view43[[#This Row],[Folder Path3]]&amp;_05preva_view43[[#This Row],[File Name]]</f>
        <v>#VALUE!</v>
      </c>
      <c r="BN271" s="104"/>
      <c r="CF271" s="5"/>
      <c r="CG271" s="5"/>
      <c r="CH271" s="3"/>
      <c r="CJ271" s="5"/>
      <c r="CN271" s="3"/>
      <c r="CO271" s="3"/>
      <c r="CP271" s="5"/>
      <c r="CR271" s="3"/>
      <c r="DN271" s="5"/>
      <c r="DP271" s="3"/>
      <c r="EB271" s="7"/>
      <c r="EC271" s="7"/>
      <c r="EF271" s="4"/>
      <c r="EG271" s="4"/>
      <c r="EQ271" s="2"/>
      <c r="ER271" s="2"/>
    </row>
    <row r="272" spans="1:148">
      <c r="A272" s="227">
        <v>649</v>
      </c>
      <c r="B272" s="228" t="s">
        <v>649</v>
      </c>
      <c r="C272" s="228" t="s">
        <v>116</v>
      </c>
      <c r="D272" s="228" t="s">
        <v>153</v>
      </c>
      <c r="E272" s="228" t="s">
        <v>650</v>
      </c>
      <c r="F272" s="228" t="s">
        <v>40</v>
      </c>
      <c r="G272" s="228" t="s">
        <v>1289</v>
      </c>
      <c r="H272" s="228" t="s">
        <v>1285</v>
      </c>
      <c r="I272" s="228" t="s">
        <v>118</v>
      </c>
      <c r="J272" s="228"/>
      <c r="K272" s="229">
        <v>43350</v>
      </c>
      <c r="L272" s="230"/>
      <c r="M272" s="230">
        <v>3</v>
      </c>
      <c r="N272" s="228">
        <v>6</v>
      </c>
      <c r="O272" s="228" t="s">
        <v>119</v>
      </c>
      <c r="P272" s="231" t="s">
        <v>281</v>
      </c>
      <c r="Q272" s="231" t="s">
        <v>647</v>
      </c>
      <c r="R272" s="228" t="s">
        <v>24</v>
      </c>
      <c r="S272" s="228"/>
      <c r="T272" s="232" t="s">
        <v>120</v>
      </c>
      <c r="U272" s="228" t="s">
        <v>644</v>
      </c>
      <c r="V272" s="232" t="s">
        <v>120</v>
      </c>
      <c r="W272" s="228"/>
      <c r="X272" s="232" t="s">
        <v>120</v>
      </c>
      <c r="Y272" s="228"/>
      <c r="Z272" s="233" t="s">
        <v>615</v>
      </c>
      <c r="AA272" s="234"/>
      <c r="AB272" s="234"/>
      <c r="AC272" s="235" t="s">
        <v>123</v>
      </c>
      <c r="AD272" s="228"/>
      <c r="AE272" s="232" t="s">
        <v>120</v>
      </c>
      <c r="AF272" s="229" t="s">
        <v>515</v>
      </c>
      <c r="AG272" s="236"/>
      <c r="AH272" s="236"/>
      <c r="AI272" s="228" t="s">
        <v>651</v>
      </c>
      <c r="AJ272" s="232" t="s">
        <v>120</v>
      </c>
      <c r="AK272" s="228" t="s">
        <v>123</v>
      </c>
      <c r="AL272" s="228"/>
      <c r="AM272" s="232"/>
      <c r="AN272" s="228"/>
      <c r="AO272" s="228"/>
      <c r="AP272" s="237"/>
      <c r="AQ272" s="228"/>
      <c r="AR272" s="232"/>
      <c r="AS272" s="228"/>
      <c r="AT272" s="229">
        <v>43417.622356828702</v>
      </c>
      <c r="AU272" s="229">
        <v>43417.673049999998</v>
      </c>
      <c r="AV272" s="229"/>
      <c r="AW272" s="229">
        <v>43417.729837847197</v>
      </c>
      <c r="AX272" s="229">
        <v>43417.688155787</v>
      </c>
      <c r="AY272" s="229">
        <v>43417.684582870403</v>
      </c>
      <c r="AZ272" s="238">
        <v>43350</v>
      </c>
      <c r="BA272" s="1" t="s">
        <v>7684</v>
      </c>
      <c r="BB272">
        <v>195</v>
      </c>
      <c r="BC272">
        <v>35</v>
      </c>
      <c r="BD272">
        <v>838</v>
      </c>
      <c r="BE27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72" s="240">
        <f>COUNTIFS(_05preva_view43[Site ID],_05preva_view43[[#This Row],[Site ID]],_05preva_view43[Prevalidation Status],"Under Prevalidation")</f>
        <v>0</v>
      </c>
      <c r="BG27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2" s="242" t="str">
        <f>CONCATENATE(_05preva_view43[[#This Row],[Site ID]]," (",_05preva_view43[[#This Row],[tenant id]],") Application",IF(_05preva_view43[[#This Row],[Colo Rev]]&gt;0," Rev "&amp;_05preva_view43[[#This Row],[Colo Rev]],""),".xlsx")</f>
        <v>ACAY_0056 (AYW5611) Application.xlsx</v>
      </c>
      <c r="BI272" s="64" t="e">
        <f t="shared" ref="BI272:BI335" ca="1" si="5">FIND("Process &amp; Database\",CELL("filename",$A$1))</f>
        <v>#VALUE!</v>
      </c>
      <c r="BJ272" s="104" t="e">
        <f ca="1">LEFT(CELL("filename",A257),_05preva_view43[[#This Row],[Find Process &amp; Database]]-1)</f>
        <v>#VALUE!</v>
      </c>
      <c r="BK272" s="104" t="e">
        <f ca="1">_05preva_view43[Folder Path1]&amp;"Process &amp; Database\Documentation\Colo Applications"</f>
        <v>#VALUE!</v>
      </c>
      <c r="BL272" s="104" t="e">
        <f ca="1">_05preva_view43[Folder Path2]&amp;"\Colo App "&amp;_05preva_view43[[#This Row],[Operator]]&amp;"\"</f>
        <v>#VALUE!</v>
      </c>
      <c r="BM272" s="63" t="e">
        <f ca="1">_05preva_view43[[#This Row],[Folder Path3]]&amp;_05preva_view43[[#This Row],[File Name]]</f>
        <v>#VALUE!</v>
      </c>
      <c r="BN272" s="104"/>
      <c r="CF272" s="5"/>
      <c r="CG272" s="5"/>
      <c r="CH272" s="3"/>
      <c r="CJ272" s="5"/>
      <c r="CN272" s="3"/>
      <c r="CO272" s="3"/>
      <c r="CP272" s="5"/>
      <c r="CR272" s="3"/>
      <c r="DN272" s="5"/>
      <c r="DP272" s="3"/>
      <c r="EB272" s="7"/>
      <c r="EC272" s="7"/>
      <c r="EF272" s="4"/>
      <c r="EG272" s="4"/>
      <c r="EQ272" s="2"/>
      <c r="ER272" s="2"/>
    </row>
    <row r="273" spans="1:148">
      <c r="A273" s="227">
        <v>652</v>
      </c>
      <c r="B273" s="228" t="s">
        <v>653</v>
      </c>
      <c r="C273" s="228" t="s">
        <v>116</v>
      </c>
      <c r="D273" s="228" t="s">
        <v>153</v>
      </c>
      <c r="E273" s="228" t="s">
        <v>654</v>
      </c>
      <c r="F273" s="228" t="s">
        <v>40</v>
      </c>
      <c r="G273" s="228" t="s">
        <v>1289</v>
      </c>
      <c r="H273" s="228" t="s">
        <v>1285</v>
      </c>
      <c r="I273" s="228" t="s">
        <v>118</v>
      </c>
      <c r="J273" s="228"/>
      <c r="K273" s="229">
        <v>43350</v>
      </c>
      <c r="L273" s="230"/>
      <c r="M273" s="230">
        <v>3</v>
      </c>
      <c r="N273" s="228">
        <v>6</v>
      </c>
      <c r="O273" s="228" t="s">
        <v>119</v>
      </c>
      <c r="P273" s="231" t="s">
        <v>652</v>
      </c>
      <c r="Q273" s="231" t="s">
        <v>655</v>
      </c>
      <c r="R273" s="228" t="s">
        <v>24</v>
      </c>
      <c r="S273" s="228"/>
      <c r="T273" s="232" t="s">
        <v>120</v>
      </c>
      <c r="U273" s="228" t="s">
        <v>656</v>
      </c>
      <c r="V273" s="232" t="s">
        <v>120</v>
      </c>
      <c r="W273" s="228"/>
      <c r="X273" s="232" t="s">
        <v>120</v>
      </c>
      <c r="Y273" s="228"/>
      <c r="Z273" s="233" t="s">
        <v>615</v>
      </c>
      <c r="AA273" s="234"/>
      <c r="AB273" s="234"/>
      <c r="AC273" s="235" t="s">
        <v>123</v>
      </c>
      <c r="AD273" s="228"/>
      <c r="AE273" s="232" t="s">
        <v>120</v>
      </c>
      <c r="AF273" s="229" t="s">
        <v>515</v>
      </c>
      <c r="AG273" s="236"/>
      <c r="AH273" s="236"/>
      <c r="AI273" s="228" t="s">
        <v>657</v>
      </c>
      <c r="AJ273" s="232" t="s">
        <v>120</v>
      </c>
      <c r="AK273" s="228" t="s">
        <v>123</v>
      </c>
      <c r="AL273" s="228" t="s">
        <v>398</v>
      </c>
      <c r="AM273" s="232"/>
      <c r="AN273" s="228"/>
      <c r="AO273" s="228"/>
      <c r="AP273" s="237"/>
      <c r="AQ273" s="228"/>
      <c r="AR273" s="232"/>
      <c r="AS273" s="228"/>
      <c r="AT273" s="229">
        <v>43417.622359027802</v>
      </c>
      <c r="AU273" s="229">
        <v>43417.673053819402</v>
      </c>
      <c r="AV273" s="229"/>
      <c r="AW273" s="229">
        <v>43417.729839930602</v>
      </c>
      <c r="AX273" s="229">
        <v>43417.6881587963</v>
      </c>
      <c r="AY273" s="229">
        <v>43417.684587268501</v>
      </c>
      <c r="AZ273" s="238">
        <v>43350</v>
      </c>
      <c r="BA273" s="1" t="s">
        <v>7684</v>
      </c>
      <c r="BB273">
        <v>160</v>
      </c>
      <c r="BC273">
        <v>45</v>
      </c>
      <c r="BD273">
        <v>807</v>
      </c>
      <c r="BE27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73" s="240">
        <f>COUNTIFS(_05preva_view43[Site ID],_05preva_view43[[#This Row],[Site ID]],_05preva_view43[Prevalidation Status],"Under Prevalidation")</f>
        <v>0</v>
      </c>
      <c r="BG27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3" s="242" t="str">
        <f>CONCATENATE(_05preva_view43[[#This Row],[Site ID]]," (",_05preva_view43[[#This Row],[tenant id]],") Application",IF(_05preva_view43[[#This Row],[Colo Rev]]&gt;0," Rev "&amp;_05preva_view43[[#This Row],[Colo Rev]],""),".xlsx")</f>
        <v>ASMO_0161 (MOW6321) Application.xlsx</v>
      </c>
      <c r="BI273" s="64" t="e">
        <f t="shared" ca="1" si="5"/>
        <v>#VALUE!</v>
      </c>
      <c r="BJ273" s="104" t="e">
        <f ca="1">LEFT(CELL("filename",A258),_05preva_view43[[#This Row],[Find Process &amp; Database]]-1)</f>
        <v>#VALUE!</v>
      </c>
      <c r="BK273" s="104" t="e">
        <f ca="1">_05preva_view43[Folder Path1]&amp;"Process &amp; Database\Documentation\Colo Applications"</f>
        <v>#VALUE!</v>
      </c>
      <c r="BL273" s="104" t="e">
        <f ca="1">_05preva_view43[Folder Path2]&amp;"\Colo App "&amp;_05preva_view43[[#This Row],[Operator]]&amp;"\"</f>
        <v>#VALUE!</v>
      </c>
      <c r="BM273" s="63" t="e">
        <f ca="1">_05preva_view43[[#This Row],[Folder Path3]]&amp;_05preva_view43[[#This Row],[File Name]]</f>
        <v>#VALUE!</v>
      </c>
      <c r="BN273" s="104"/>
      <c r="CF273" s="5"/>
      <c r="CG273" s="5"/>
      <c r="CH273" s="3"/>
      <c r="CJ273" s="5"/>
      <c r="CN273" s="3"/>
      <c r="CO273" s="3"/>
      <c r="CP273" s="5"/>
      <c r="CR273" s="3"/>
      <c r="DN273" s="5"/>
      <c r="DP273" s="3"/>
      <c r="EB273" s="7"/>
      <c r="EC273" s="7"/>
      <c r="EF273" s="4"/>
      <c r="EG273" s="4"/>
      <c r="EQ273" s="2"/>
      <c r="ER273" s="2"/>
    </row>
    <row r="274" spans="1:148">
      <c r="A274" s="227">
        <v>653</v>
      </c>
      <c r="B274" s="228" t="s">
        <v>658</v>
      </c>
      <c r="C274" s="228" t="s">
        <v>116</v>
      </c>
      <c r="D274" s="228" t="s">
        <v>117</v>
      </c>
      <c r="E274" s="228" t="s">
        <v>659</v>
      </c>
      <c r="F274" s="228" t="s">
        <v>40</v>
      </c>
      <c r="G274" s="228" t="s">
        <v>1289</v>
      </c>
      <c r="H274" s="228" t="s">
        <v>1285</v>
      </c>
      <c r="I274" s="228" t="s">
        <v>118</v>
      </c>
      <c r="J274" s="228"/>
      <c r="K274" s="229">
        <v>43350</v>
      </c>
      <c r="L274" s="230"/>
      <c r="M274" s="230">
        <v>3</v>
      </c>
      <c r="N274" s="228">
        <v>6</v>
      </c>
      <c r="O274" s="228" t="s">
        <v>119</v>
      </c>
      <c r="P274" s="231" t="s">
        <v>228</v>
      </c>
      <c r="Q274" s="231" t="s">
        <v>284</v>
      </c>
      <c r="R274" s="228" t="s">
        <v>24</v>
      </c>
      <c r="S274" s="228"/>
      <c r="T274" s="232" t="s">
        <v>120</v>
      </c>
      <c r="U274" s="228" t="s">
        <v>644</v>
      </c>
      <c r="V274" s="232" t="s">
        <v>120</v>
      </c>
      <c r="W274" s="228"/>
      <c r="X274" s="232" t="s">
        <v>120</v>
      </c>
      <c r="Y274" s="228"/>
      <c r="Z274" s="233" t="s">
        <v>615</v>
      </c>
      <c r="AA274" s="234"/>
      <c r="AB274" s="234"/>
      <c r="AC274" s="235" t="s">
        <v>123</v>
      </c>
      <c r="AD274" s="228"/>
      <c r="AE274" s="232" t="s">
        <v>120</v>
      </c>
      <c r="AF274" s="229" t="s">
        <v>515</v>
      </c>
      <c r="AG274" s="236"/>
      <c r="AH274" s="236"/>
      <c r="AI274" s="228" t="s">
        <v>660</v>
      </c>
      <c r="AJ274" s="232" t="s">
        <v>615</v>
      </c>
      <c r="AK274" s="228"/>
      <c r="AL274" s="228"/>
      <c r="AM274" s="232"/>
      <c r="AN274" s="228"/>
      <c r="AO274" s="228"/>
      <c r="AP274" s="237"/>
      <c r="AQ274" s="228"/>
      <c r="AR274" s="232"/>
      <c r="AS274" s="228"/>
      <c r="AT274" s="229">
        <v>43417.622359606503</v>
      </c>
      <c r="AU274" s="229">
        <v>43417.6730545139</v>
      </c>
      <c r="AV274" s="229"/>
      <c r="AW274" s="229"/>
      <c r="AX274" s="229">
        <v>43417.6881601852</v>
      </c>
      <c r="AY274" s="229">
        <v>43417.684589236102</v>
      </c>
      <c r="AZ274" s="238">
        <v>43350</v>
      </c>
      <c r="BA274" s="1" t="s">
        <v>7684</v>
      </c>
      <c r="BB274">
        <v>130</v>
      </c>
      <c r="BC274">
        <v>60</v>
      </c>
      <c r="BD274">
        <v>1354</v>
      </c>
      <c r="BE27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74" s="240">
        <f>COUNTIFS(_05preva_view43[Site ID],_05preva_view43[[#This Row],[Site ID]],_05preva_view43[Prevalidation Status],"Under Prevalidation")</f>
        <v>0</v>
      </c>
      <c r="BG27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4" s="242" t="str">
        <f>CONCATENATE(_05preva_view43[[#This Row],[Site ID]]," (",_05preva_view43[[#This Row],[tenant id]],") Application",IF(_05preva_view43[[#This Row],[Colo Rev]]&gt;0," Rev "&amp;_05preva_view43[[#This Row],[Colo Rev]],""),".xlsx")</f>
        <v>ACBA_0104 (BAW5607) Application.xlsx</v>
      </c>
      <c r="BI274" s="64" t="e">
        <f t="shared" ca="1" si="5"/>
        <v>#VALUE!</v>
      </c>
      <c r="BJ274" s="104" t="e">
        <f ca="1">LEFT(CELL("filename",A259),_05preva_view43[[#This Row],[Find Process &amp; Database]]-1)</f>
        <v>#VALUE!</v>
      </c>
      <c r="BK274" s="104" t="e">
        <f ca="1">_05preva_view43[Folder Path1]&amp;"Process &amp; Database\Documentation\Colo Applications"</f>
        <v>#VALUE!</v>
      </c>
      <c r="BL274" s="104" t="e">
        <f ca="1">_05preva_view43[Folder Path2]&amp;"\Colo App "&amp;_05preva_view43[[#This Row],[Operator]]&amp;"\"</f>
        <v>#VALUE!</v>
      </c>
      <c r="BM274" s="63" t="e">
        <f ca="1">_05preva_view43[[#This Row],[Folder Path3]]&amp;_05preva_view43[[#This Row],[File Name]]</f>
        <v>#VALUE!</v>
      </c>
      <c r="BN274" s="104"/>
      <c r="CF274" s="5"/>
      <c r="CG274" s="5"/>
      <c r="CH274" s="3"/>
      <c r="CJ274" s="5"/>
      <c r="CN274" s="3"/>
      <c r="CO274" s="3"/>
      <c r="CP274" s="5"/>
      <c r="CR274" s="3"/>
      <c r="DN274" s="5"/>
      <c r="DP274" s="3"/>
      <c r="EB274" s="7"/>
      <c r="EC274" s="7"/>
      <c r="EF274" s="4"/>
      <c r="EG274" s="4"/>
      <c r="EQ274" s="2"/>
      <c r="ER274" s="2"/>
    </row>
    <row r="275" spans="1:148">
      <c r="A275" s="227">
        <v>654</v>
      </c>
      <c r="B275" s="228" t="s">
        <v>661</v>
      </c>
      <c r="C275" s="228" t="s">
        <v>116</v>
      </c>
      <c r="D275" s="228" t="s">
        <v>117</v>
      </c>
      <c r="E275" s="228" t="s">
        <v>662</v>
      </c>
      <c r="F275" s="228" t="s">
        <v>40</v>
      </c>
      <c r="G275" s="228" t="s">
        <v>1289</v>
      </c>
      <c r="H275" s="228" t="s">
        <v>1285</v>
      </c>
      <c r="I275" s="228" t="s">
        <v>118</v>
      </c>
      <c r="J275" s="228"/>
      <c r="K275" s="229">
        <v>43350</v>
      </c>
      <c r="L275" s="230"/>
      <c r="M275" s="230">
        <v>3</v>
      </c>
      <c r="N275" s="228">
        <v>6</v>
      </c>
      <c r="O275" s="228" t="s">
        <v>119</v>
      </c>
      <c r="P275" s="231" t="s">
        <v>281</v>
      </c>
      <c r="Q275" s="231" t="s">
        <v>647</v>
      </c>
      <c r="R275" s="228" t="s">
        <v>24</v>
      </c>
      <c r="S275" s="228"/>
      <c r="T275" s="232" t="s">
        <v>120</v>
      </c>
      <c r="U275" s="228" t="s">
        <v>644</v>
      </c>
      <c r="V275" s="232" t="s">
        <v>120</v>
      </c>
      <c r="W275" s="228"/>
      <c r="X275" s="232" t="s">
        <v>120</v>
      </c>
      <c r="Y275" s="228"/>
      <c r="Z275" s="233" t="s">
        <v>615</v>
      </c>
      <c r="AA275" s="234"/>
      <c r="AB275" s="234"/>
      <c r="AC275" s="235" t="s">
        <v>123</v>
      </c>
      <c r="AD275" s="228"/>
      <c r="AE275" s="232" t="s">
        <v>120</v>
      </c>
      <c r="AF275" s="229" t="s">
        <v>663</v>
      </c>
      <c r="AG275" s="236"/>
      <c r="AH275" s="236"/>
      <c r="AI275" s="228" t="s">
        <v>664</v>
      </c>
      <c r="AJ275" s="232" t="s">
        <v>615</v>
      </c>
      <c r="AK275" s="228"/>
      <c r="AL275" s="228"/>
      <c r="AM275" s="232"/>
      <c r="AN275" s="228"/>
      <c r="AO275" s="228"/>
      <c r="AP275" s="237"/>
      <c r="AQ275" s="228"/>
      <c r="AR275" s="232"/>
      <c r="AS275" s="228"/>
      <c r="AT275" s="229">
        <v>43417.622361226902</v>
      </c>
      <c r="AU275" s="229">
        <v>43417.673056597203</v>
      </c>
      <c r="AV275" s="229"/>
      <c r="AW275" s="229"/>
      <c r="AX275" s="229">
        <v>43417.688161689803</v>
      </c>
      <c r="AY275" s="229">
        <v>43417.684589583303</v>
      </c>
      <c r="AZ275" s="238">
        <v>43350</v>
      </c>
      <c r="BA275" s="1" t="s">
        <v>7684</v>
      </c>
      <c r="BB275"/>
      <c r="BC275">
        <v>60</v>
      </c>
      <c r="BD275">
        <v>1305</v>
      </c>
      <c r="BE27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75" s="240">
        <f>COUNTIFS(_05preva_view43[Site ID],_05preva_view43[[#This Row],[Site ID]],_05preva_view43[Prevalidation Status],"Under Prevalidation")</f>
        <v>0</v>
      </c>
      <c r="BG27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5" s="242" t="str">
        <f>CONCATENATE(_05preva_view43[[#This Row],[Site ID]]," (",_05preva_view43[[#This Row],[tenant id]],") Application",IF(_05preva_view43[[#This Row],[Colo Rev]]&gt;0," Rev "&amp;_05preva_view43[[#This Row],[Colo Rev]],""),".xlsx")</f>
        <v>ACBA_0099 (BAW5608) Application.xlsx</v>
      </c>
      <c r="BI275" s="64" t="e">
        <f t="shared" ca="1" si="5"/>
        <v>#VALUE!</v>
      </c>
      <c r="BJ275" s="104" t="e">
        <f ca="1">LEFT(CELL("filename",A260),_05preva_view43[[#This Row],[Find Process &amp; Database]]-1)</f>
        <v>#VALUE!</v>
      </c>
      <c r="BK275" s="104" t="e">
        <f ca="1">_05preva_view43[Folder Path1]&amp;"Process &amp; Database\Documentation\Colo Applications"</f>
        <v>#VALUE!</v>
      </c>
      <c r="BL275" s="104" t="e">
        <f ca="1">_05preva_view43[Folder Path2]&amp;"\Colo App "&amp;_05preva_view43[[#This Row],[Operator]]&amp;"\"</f>
        <v>#VALUE!</v>
      </c>
      <c r="BM275" s="63" t="e">
        <f ca="1">_05preva_view43[[#This Row],[Folder Path3]]&amp;_05preva_view43[[#This Row],[File Name]]</f>
        <v>#VALUE!</v>
      </c>
      <c r="BN275" s="104"/>
      <c r="CF275" s="5"/>
      <c r="CG275" s="5"/>
      <c r="CH275" s="3"/>
      <c r="CJ275" s="5"/>
      <c r="CN275" s="3"/>
      <c r="CO275" s="3"/>
      <c r="CP275" s="5"/>
      <c r="CR275" s="3"/>
      <c r="DN275" s="5"/>
      <c r="DP275" s="3"/>
      <c r="EB275" s="7"/>
      <c r="EC275" s="7"/>
      <c r="EF275" s="4"/>
      <c r="EG275" s="4"/>
      <c r="EQ275" s="2"/>
      <c r="ER275" s="2"/>
    </row>
    <row r="276" spans="1:148">
      <c r="A276" s="227">
        <v>275</v>
      </c>
      <c r="B276" s="228" t="s">
        <v>635</v>
      </c>
      <c r="C276" s="228" t="s">
        <v>116</v>
      </c>
      <c r="D276" s="228" t="s">
        <v>127</v>
      </c>
      <c r="E276" s="228" t="s">
        <v>636</v>
      </c>
      <c r="F276" s="228" t="s">
        <v>41</v>
      </c>
      <c r="G276" s="228" t="s">
        <v>118</v>
      </c>
      <c r="H276" s="228"/>
      <c r="I276" s="228" t="s">
        <v>118</v>
      </c>
      <c r="J276" s="228"/>
      <c r="K276" s="229">
        <v>43327</v>
      </c>
      <c r="L276" s="230"/>
      <c r="M276" s="230">
        <v>2.5</v>
      </c>
      <c r="N276" s="228">
        <v>3</v>
      </c>
      <c r="O276" s="228" t="s">
        <v>119</v>
      </c>
      <c r="P276" s="231" t="s">
        <v>637</v>
      </c>
      <c r="Q276" s="231" t="s">
        <v>638</v>
      </c>
      <c r="R276" s="228" t="s">
        <v>24</v>
      </c>
      <c r="S276" s="228"/>
      <c r="T276" s="232" t="s">
        <v>120</v>
      </c>
      <c r="U276" s="228"/>
      <c r="V276" s="232" t="s">
        <v>120</v>
      </c>
      <c r="W276" s="228"/>
      <c r="X276" s="232" t="s">
        <v>120</v>
      </c>
      <c r="Y276" s="228"/>
      <c r="Z276" s="233"/>
      <c r="AA276" s="234"/>
      <c r="AB276" s="234"/>
      <c r="AC276" s="235"/>
      <c r="AD276" s="228" t="s">
        <v>1034</v>
      </c>
      <c r="AE276" s="232" t="s">
        <v>120</v>
      </c>
      <c r="AF276" s="229" t="s">
        <v>639</v>
      </c>
      <c r="AG276" s="236"/>
      <c r="AH276" s="236"/>
      <c r="AI276" s="228" t="s">
        <v>640</v>
      </c>
      <c r="AJ276" s="232" t="s">
        <v>615</v>
      </c>
      <c r="AK276" s="228"/>
      <c r="AL276" s="228"/>
      <c r="AM276" s="232" t="s">
        <v>615</v>
      </c>
      <c r="AN276" s="228"/>
      <c r="AO276" s="228" t="s">
        <v>615</v>
      </c>
      <c r="AP276" s="237"/>
      <c r="AQ276" s="228"/>
      <c r="AR276" s="232" t="s">
        <v>1545</v>
      </c>
      <c r="AS276" s="228" t="s">
        <v>1546</v>
      </c>
      <c r="AT276" s="229">
        <v>43417.622354629602</v>
      </c>
      <c r="AU276" s="229">
        <v>43417.673047453703</v>
      </c>
      <c r="AV276" s="229"/>
      <c r="AW276" s="229"/>
      <c r="AX276" s="229">
        <v>43424.368673379598</v>
      </c>
      <c r="AY276" s="229">
        <v>43462.484713888902</v>
      </c>
      <c r="AZ276" s="238">
        <v>43462.484713888902</v>
      </c>
      <c r="BA276" s="1" t="s">
        <v>7691</v>
      </c>
      <c r="BB276"/>
      <c r="BC276">
        <v>6</v>
      </c>
      <c r="BD276">
        <v>1476</v>
      </c>
      <c r="BE276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135.48471388890175</v>
      </c>
      <c r="BF276" s="240">
        <f>COUNTIFS(_05preva_view43[Site ID],_05preva_view43[[#This Row],[Site ID]],_05preva_view43[Prevalidation Status],"Under Prevalidation")</f>
        <v>0</v>
      </c>
      <c r="BG27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6" s="242" t="str">
        <f>CONCATENATE(_05preva_view43[[#This Row],[Site ID]]," (",_05preva_view43[[#This Row],[tenant id]],") Application",IF(_05preva_view43[[#This Row],[Colo Rev]]&gt;0," Rev "&amp;_05preva_view43[[#This Row],[Colo Rev]],""),".xlsx")</f>
        <v>ANMD_0011 (MDYAMTZ017) Application.xlsx</v>
      </c>
      <c r="BI276" s="64" t="e">
        <f t="shared" ca="1" si="5"/>
        <v>#VALUE!</v>
      </c>
      <c r="BJ276" s="104" t="e">
        <f ca="1">LEFT(CELL("filename",A261),_05preva_view43[[#This Row],[Find Process &amp; Database]]-1)</f>
        <v>#VALUE!</v>
      </c>
      <c r="BK276" s="104" t="e">
        <f ca="1">_05preva_view43[Folder Path1]&amp;"Process &amp; Database\Documentation\Colo Applications"</f>
        <v>#VALUE!</v>
      </c>
      <c r="BL276" s="104" t="e">
        <f ca="1">_05preva_view43[Folder Path2]&amp;"\Colo App "&amp;_05preva_view43[[#This Row],[Operator]]&amp;"\"</f>
        <v>#VALUE!</v>
      </c>
      <c r="BM276" s="63" t="e">
        <f ca="1">_05preva_view43[[#This Row],[Folder Path3]]&amp;_05preva_view43[[#This Row],[File Name]]</f>
        <v>#VALUE!</v>
      </c>
      <c r="BN276" s="104"/>
      <c r="CF276" s="5"/>
      <c r="CG276" s="5"/>
      <c r="CH276" s="3"/>
      <c r="CJ276" s="5"/>
      <c r="CN276" s="3"/>
      <c r="CO276" s="3"/>
      <c r="CP276" s="5"/>
      <c r="CR276" s="3"/>
      <c r="DN276" s="5"/>
      <c r="DP276" s="3"/>
      <c r="EB276" s="7"/>
      <c r="EC276" s="7"/>
      <c r="EF276" s="4"/>
      <c r="EG276" s="4"/>
      <c r="EQ276" s="2"/>
      <c r="ER276" s="2"/>
    </row>
    <row r="277" spans="1:148">
      <c r="A277" s="227">
        <v>276</v>
      </c>
      <c r="B277" s="228" t="s">
        <v>641</v>
      </c>
      <c r="C277" s="228" t="s">
        <v>116</v>
      </c>
      <c r="D277" s="228" t="s">
        <v>127</v>
      </c>
      <c r="E277" s="228" t="s">
        <v>642</v>
      </c>
      <c r="F277" s="228" t="s">
        <v>41</v>
      </c>
      <c r="G277" s="228" t="s">
        <v>1286</v>
      </c>
      <c r="H277" s="228" t="s">
        <v>1290</v>
      </c>
      <c r="I277" s="228" t="s">
        <v>118</v>
      </c>
      <c r="J277" s="228"/>
      <c r="K277" s="229">
        <v>43327</v>
      </c>
      <c r="L277" s="230"/>
      <c r="M277" s="230">
        <v>2.5</v>
      </c>
      <c r="N277" s="228">
        <v>3</v>
      </c>
      <c r="O277" s="228" t="s">
        <v>119</v>
      </c>
      <c r="P277" s="231" t="s">
        <v>279</v>
      </c>
      <c r="Q277" s="231" t="s">
        <v>526</v>
      </c>
      <c r="R277" s="228" t="s">
        <v>24</v>
      </c>
      <c r="S277" s="228" t="s">
        <v>643</v>
      </c>
      <c r="T277" s="232" t="s">
        <v>120</v>
      </c>
      <c r="U277" s="228" t="s">
        <v>644</v>
      </c>
      <c r="V277" s="232" t="s">
        <v>120</v>
      </c>
      <c r="W277" s="228"/>
      <c r="X277" s="232" t="s">
        <v>120</v>
      </c>
      <c r="Y277" s="228"/>
      <c r="Z277" s="233"/>
      <c r="AA277" s="234"/>
      <c r="AB277" s="234"/>
      <c r="AC277" s="235" t="s">
        <v>123</v>
      </c>
      <c r="AD277" s="228"/>
      <c r="AE277" s="232"/>
      <c r="AF277" s="229"/>
      <c r="AG277" s="236"/>
      <c r="AH277" s="236"/>
      <c r="AI277" s="228"/>
      <c r="AJ277" s="232"/>
      <c r="AK277" s="228"/>
      <c r="AL277" s="228"/>
      <c r="AM277" s="232"/>
      <c r="AN277" s="228"/>
      <c r="AO277" s="228"/>
      <c r="AP277" s="237"/>
      <c r="AQ277" s="228"/>
      <c r="AR277" s="232"/>
      <c r="AS277" s="228"/>
      <c r="AT277" s="229"/>
      <c r="AU277" s="229"/>
      <c r="AV277" s="229"/>
      <c r="AW277" s="229"/>
      <c r="AX277" s="229"/>
      <c r="AY277" s="229"/>
      <c r="AZ277" s="238">
        <v>43327</v>
      </c>
      <c r="BA277" s="1" t="s">
        <v>7684</v>
      </c>
      <c r="BB277">
        <v>160</v>
      </c>
      <c r="BC277">
        <v>35</v>
      </c>
      <c r="BD277">
        <v>1926</v>
      </c>
      <c r="BE27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77" s="240">
        <f>COUNTIFS(_05preva_view43[Site ID],_05preva_view43[[#This Row],[Site ID]],_05preva_view43[Prevalidation Status],"Under Prevalidation")</f>
        <v>0</v>
      </c>
      <c r="BG27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7" s="242" t="str">
        <f>CONCATENATE(_05preva_view43[[#This Row],[Site ID]]," (",_05preva_view43[[#This Row],[tenant id]],") Application",IF(_05preva_view43[[#This Row],[Colo Rev]]&gt;0," Rev "&amp;_05preva_view43[[#This Row],[Colo Rev]],""),".xlsx")</f>
        <v>ANMD_0097 (MDYCMTZ034) Application.xlsx</v>
      </c>
      <c r="BI277" s="64" t="e">
        <f t="shared" ca="1" si="5"/>
        <v>#VALUE!</v>
      </c>
      <c r="BJ277" s="104" t="e">
        <f ca="1">LEFT(CELL("filename",A262),_05preva_view43[[#This Row],[Find Process &amp; Database]]-1)</f>
        <v>#VALUE!</v>
      </c>
      <c r="BK277" s="104" t="e">
        <f ca="1">_05preva_view43[Folder Path1]&amp;"Process &amp; Database\Documentation\Colo Applications"</f>
        <v>#VALUE!</v>
      </c>
      <c r="BL277" s="104" t="e">
        <f ca="1">_05preva_view43[Folder Path2]&amp;"\Colo App "&amp;_05preva_view43[[#This Row],[Operator]]&amp;"\"</f>
        <v>#VALUE!</v>
      </c>
      <c r="BM277" s="63" t="e">
        <f ca="1">_05preva_view43[[#This Row],[Folder Path3]]&amp;_05preva_view43[[#This Row],[File Name]]</f>
        <v>#VALUE!</v>
      </c>
      <c r="BN277" s="104"/>
      <c r="CF277" s="5"/>
      <c r="CG277" s="5"/>
      <c r="CH277" s="3"/>
      <c r="CJ277" s="5"/>
      <c r="CN277" s="3"/>
      <c r="CO277" s="3"/>
      <c r="CP277" s="5"/>
      <c r="CR277" s="3"/>
      <c r="DN277" s="5"/>
      <c r="DP277" s="3"/>
      <c r="EB277" s="7"/>
      <c r="EC277" s="7"/>
      <c r="EF277" s="4"/>
      <c r="EG277" s="4"/>
      <c r="EQ277" s="2"/>
      <c r="ER277" s="2"/>
    </row>
    <row r="278" spans="1:148">
      <c r="A278" s="227">
        <v>266</v>
      </c>
      <c r="B278" s="228" t="s">
        <v>617</v>
      </c>
      <c r="C278" s="228" t="s">
        <v>116</v>
      </c>
      <c r="D278" s="228" t="s">
        <v>153</v>
      </c>
      <c r="E278" s="228" t="s">
        <v>618</v>
      </c>
      <c r="F278" s="228" t="s">
        <v>34</v>
      </c>
      <c r="G278" s="228" t="s">
        <v>1284</v>
      </c>
      <c r="H278" s="228" t="s">
        <v>1285</v>
      </c>
      <c r="I278" s="228" t="s">
        <v>118</v>
      </c>
      <c r="J278" s="228"/>
      <c r="K278" s="229">
        <v>43318</v>
      </c>
      <c r="L278" s="230"/>
      <c r="M278" s="230">
        <v>2</v>
      </c>
      <c r="N278" s="228"/>
      <c r="O278" s="228" t="s">
        <v>119</v>
      </c>
      <c r="P278" s="231" t="s">
        <v>240</v>
      </c>
      <c r="Q278" s="231" t="s">
        <v>241</v>
      </c>
      <c r="R278" s="228" t="s">
        <v>24</v>
      </c>
      <c r="S278" s="228"/>
      <c r="T278" s="232" t="s">
        <v>120</v>
      </c>
      <c r="U278" s="228" t="s">
        <v>619</v>
      </c>
      <c r="V278" s="232" t="s">
        <v>120</v>
      </c>
      <c r="W278" s="228"/>
      <c r="X278" s="232" t="s">
        <v>120</v>
      </c>
      <c r="Y278" s="228"/>
      <c r="Z278" s="233" t="s">
        <v>229</v>
      </c>
      <c r="AA278" s="234"/>
      <c r="AB278" s="234"/>
      <c r="AC278" s="235"/>
      <c r="AD278" s="228" t="s">
        <v>620</v>
      </c>
      <c r="AE278" s="232" t="s">
        <v>120</v>
      </c>
      <c r="AF278" s="229" t="s">
        <v>621</v>
      </c>
      <c r="AG278" s="236"/>
      <c r="AH278" s="236"/>
      <c r="AI278" s="228" t="s">
        <v>622</v>
      </c>
      <c r="AJ278" s="232" t="s">
        <v>120</v>
      </c>
      <c r="AK278" s="228"/>
      <c r="AL278" s="228"/>
      <c r="AM278" s="232"/>
      <c r="AN278" s="228"/>
      <c r="AO278" s="228"/>
      <c r="AP278" s="237"/>
      <c r="AQ278" s="228"/>
      <c r="AR278" s="232"/>
      <c r="AS278" s="228"/>
      <c r="AT278" s="229"/>
      <c r="AU278" s="229">
        <v>43453.379096643497</v>
      </c>
      <c r="AV278" s="229"/>
      <c r="AW278" s="229"/>
      <c r="AX278" s="229"/>
      <c r="AY278" s="229"/>
      <c r="AZ278" s="238"/>
      <c r="BA278" s="1" t="s">
        <v>7684</v>
      </c>
      <c r="BB278"/>
      <c r="BC278">
        <v>50</v>
      </c>
      <c r="BD278">
        <v>353</v>
      </c>
      <c r="BE27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78" s="240">
        <f>COUNTIFS(_05preva_view43[Site ID],_05preva_view43[[#This Row],[Site ID]],_05preva_view43[Prevalidation Status],"Under Prevalidation")</f>
        <v>0</v>
      </c>
      <c r="BG27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8" s="242" t="str">
        <f>CONCATENATE(_05preva_view43[[#This Row],[Site ID]]," (",_05preva_view43[[#This Row],[tenant id]],") Application",IF(_05preva_view43[[#This Row],[Colo Rev]]&gt;0," Rev "&amp;_05preva_view43[[#This Row],[Colo Rev]],""),".xlsx")</f>
        <v>AYYN_0021 (YGN0821) Application.xlsx</v>
      </c>
      <c r="BI278" s="64" t="e">
        <f t="shared" ca="1" si="5"/>
        <v>#VALUE!</v>
      </c>
      <c r="BJ278" s="104" t="e">
        <f ca="1">LEFT(CELL("filename",A263),_05preva_view43[[#This Row],[Find Process &amp; Database]]-1)</f>
        <v>#VALUE!</v>
      </c>
      <c r="BK278" s="104" t="e">
        <f ca="1">_05preva_view43[Folder Path1]&amp;"Process &amp; Database\Documentation\Colo Applications"</f>
        <v>#VALUE!</v>
      </c>
      <c r="BL278" s="104" t="e">
        <f ca="1">_05preva_view43[Folder Path2]&amp;"\Colo App "&amp;_05preva_view43[[#This Row],[Operator]]&amp;"\"</f>
        <v>#VALUE!</v>
      </c>
      <c r="BM278" s="63" t="e">
        <f ca="1">_05preva_view43[[#This Row],[Folder Path3]]&amp;_05preva_view43[[#This Row],[File Name]]</f>
        <v>#VALUE!</v>
      </c>
      <c r="BN278" s="104"/>
      <c r="CF278" s="5"/>
      <c r="CG278" s="5"/>
      <c r="CH278" s="3"/>
      <c r="CJ278" s="5"/>
      <c r="CN278" s="3"/>
      <c r="CO278" s="3"/>
      <c r="CP278" s="5"/>
      <c r="CR278" s="3"/>
      <c r="DN278" s="5"/>
      <c r="DP278" s="3"/>
      <c r="EB278" s="7"/>
      <c r="EC278" s="7"/>
      <c r="EF278" s="4"/>
      <c r="EG278" s="4"/>
      <c r="EQ278" s="2"/>
      <c r="ER278" s="2"/>
    </row>
    <row r="279" spans="1:148">
      <c r="A279" s="227">
        <v>268</v>
      </c>
      <c r="B279" s="228" t="s">
        <v>624</v>
      </c>
      <c r="C279" s="228" t="s">
        <v>278</v>
      </c>
      <c r="D279" s="228" t="s">
        <v>127</v>
      </c>
      <c r="E279" s="228" t="s">
        <v>625</v>
      </c>
      <c r="F279" s="228" t="s">
        <v>34</v>
      </c>
      <c r="G279" s="228" t="s">
        <v>1291</v>
      </c>
      <c r="H279" s="228" t="s">
        <v>1290</v>
      </c>
      <c r="I279" s="228" t="s">
        <v>118</v>
      </c>
      <c r="J279" s="228"/>
      <c r="K279" s="229">
        <v>43318</v>
      </c>
      <c r="L279" s="230"/>
      <c r="M279" s="230">
        <v>2</v>
      </c>
      <c r="N279" s="228"/>
      <c r="O279" s="228" t="s">
        <v>119</v>
      </c>
      <c r="P279" s="231" t="s">
        <v>248</v>
      </c>
      <c r="Q279" s="231" t="s">
        <v>249</v>
      </c>
      <c r="R279" s="228" t="s">
        <v>24</v>
      </c>
      <c r="S279" s="228"/>
      <c r="T279" s="232" t="s">
        <v>120</v>
      </c>
      <c r="U279" s="228" t="s">
        <v>619</v>
      </c>
      <c r="V279" s="232" t="s">
        <v>120</v>
      </c>
      <c r="W279" s="228"/>
      <c r="X279" s="232" t="s">
        <v>120</v>
      </c>
      <c r="Y279" s="228"/>
      <c r="Z279" s="233" t="s">
        <v>229</v>
      </c>
      <c r="AA279" s="234"/>
      <c r="AB279" s="234"/>
      <c r="AC279" s="235"/>
      <c r="AD279" s="228" t="s">
        <v>626</v>
      </c>
      <c r="AE279" s="232" t="s">
        <v>120</v>
      </c>
      <c r="AF279" s="229" t="s">
        <v>621</v>
      </c>
      <c r="AG279" s="236"/>
      <c r="AH279" s="236"/>
      <c r="AI279" s="228" t="s">
        <v>622</v>
      </c>
      <c r="AJ279" s="232" t="s">
        <v>120</v>
      </c>
      <c r="AK279" s="228"/>
      <c r="AL279" s="228"/>
      <c r="AM279" s="232"/>
      <c r="AN279" s="228"/>
      <c r="AO279" s="228"/>
      <c r="AP279" s="237"/>
      <c r="AQ279" s="228"/>
      <c r="AR279" s="232"/>
      <c r="AS279" s="228"/>
      <c r="AT279" s="229"/>
      <c r="AU279" s="229">
        <v>43453.379098032397</v>
      </c>
      <c r="AV279" s="229"/>
      <c r="AW279" s="229"/>
      <c r="AX279" s="229"/>
      <c r="AY279" s="229"/>
      <c r="AZ279" s="238"/>
      <c r="BA279" s="1" t="s">
        <v>7684</v>
      </c>
      <c r="BB279">
        <v>130</v>
      </c>
      <c r="BC279">
        <v>60</v>
      </c>
      <c r="BD279">
        <v>3220</v>
      </c>
      <c r="BE27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79" s="240">
        <f>COUNTIFS(_05preva_view43[Site ID],_05preva_view43[[#This Row],[Site ID]],_05preva_view43[Prevalidation Status],"Under Prevalidation")</f>
        <v>0</v>
      </c>
      <c r="BG27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79" s="242" t="str">
        <f>CONCATENATE(_05preva_view43[[#This Row],[Site ID]]," (",_05preva_view43[[#This Row],[tenant id]],") Application",IF(_05preva_view43[[#This Row],[Colo Rev]]&gt;0," Rev "&amp;_05preva_view43[[#This Row],[Colo Rev]],""),".xlsx")</f>
        <v>1-01-05018-005 (SGG0351) Application.xlsx</v>
      </c>
      <c r="BI279" s="64" t="e">
        <f t="shared" ca="1" si="5"/>
        <v>#VALUE!</v>
      </c>
      <c r="BJ279" s="104" t="e">
        <f ca="1">LEFT(CELL("filename",A264),_05preva_view43[[#This Row],[Find Process &amp; Database]]-1)</f>
        <v>#VALUE!</v>
      </c>
      <c r="BK279" s="104" t="e">
        <f ca="1">_05preva_view43[Folder Path1]&amp;"Process &amp; Database\Documentation\Colo Applications"</f>
        <v>#VALUE!</v>
      </c>
      <c r="BL279" s="104" t="e">
        <f ca="1">_05preva_view43[Folder Path2]&amp;"\Colo App "&amp;_05preva_view43[[#This Row],[Operator]]&amp;"\"</f>
        <v>#VALUE!</v>
      </c>
      <c r="BM279" s="63" t="e">
        <f ca="1">_05preva_view43[[#This Row],[Folder Path3]]&amp;_05preva_view43[[#This Row],[File Name]]</f>
        <v>#VALUE!</v>
      </c>
      <c r="BN279" s="104"/>
      <c r="CF279" s="5"/>
      <c r="CG279" s="5"/>
      <c r="CH279" s="3"/>
      <c r="CJ279" s="5"/>
      <c r="CN279" s="3"/>
      <c r="CO279" s="3"/>
      <c r="CP279" s="5"/>
      <c r="CR279" s="3"/>
      <c r="DN279" s="5"/>
      <c r="DP279" s="3"/>
      <c r="EB279" s="7"/>
      <c r="EC279" s="7"/>
      <c r="EF279" s="4"/>
      <c r="EG279" s="4"/>
      <c r="EQ279" s="2"/>
      <c r="ER279" s="2"/>
    </row>
    <row r="280" spans="1:148">
      <c r="A280" s="227">
        <v>269</v>
      </c>
      <c r="B280" s="228" t="s">
        <v>627</v>
      </c>
      <c r="C280" s="228" t="s">
        <v>116</v>
      </c>
      <c r="D280" s="228" t="s">
        <v>153</v>
      </c>
      <c r="E280" s="228" t="s">
        <v>628</v>
      </c>
      <c r="F280" s="228" t="s">
        <v>34</v>
      </c>
      <c r="G280" s="228" t="s">
        <v>1284</v>
      </c>
      <c r="H280" s="228" t="s">
        <v>1285</v>
      </c>
      <c r="I280" s="228" t="s">
        <v>118</v>
      </c>
      <c r="J280" s="228"/>
      <c r="K280" s="229">
        <v>43318</v>
      </c>
      <c r="L280" s="230"/>
      <c r="M280" s="230">
        <v>2</v>
      </c>
      <c r="N280" s="228"/>
      <c r="O280" s="228" t="s">
        <v>119</v>
      </c>
      <c r="P280" s="231" t="s">
        <v>526</v>
      </c>
      <c r="Q280" s="231" t="s">
        <v>629</v>
      </c>
      <c r="R280" s="228" t="s">
        <v>24</v>
      </c>
      <c r="S280" s="228"/>
      <c r="T280" s="232" t="s">
        <v>120</v>
      </c>
      <c r="U280" s="228" t="s">
        <v>619</v>
      </c>
      <c r="V280" s="232" t="s">
        <v>120</v>
      </c>
      <c r="W280" s="228"/>
      <c r="X280" s="232" t="s">
        <v>120</v>
      </c>
      <c r="Y280" s="228"/>
      <c r="Z280" s="233" t="s">
        <v>125</v>
      </c>
      <c r="AA280" s="234"/>
      <c r="AB280" s="234"/>
      <c r="AC280" s="235" t="s">
        <v>123</v>
      </c>
      <c r="AD280" s="228" t="s">
        <v>630</v>
      </c>
      <c r="AE280" s="232" t="s">
        <v>120</v>
      </c>
      <c r="AF280" s="229" t="s">
        <v>621</v>
      </c>
      <c r="AG280" s="236"/>
      <c r="AH280" s="236"/>
      <c r="AI280" s="228" t="s">
        <v>622</v>
      </c>
      <c r="AJ280" s="232" t="s">
        <v>120</v>
      </c>
      <c r="AK280" s="228"/>
      <c r="AL280" s="228"/>
      <c r="AM280" s="232"/>
      <c r="AN280" s="228"/>
      <c r="AO280" s="228"/>
      <c r="AP280" s="237"/>
      <c r="AQ280" s="228"/>
      <c r="AR280" s="232"/>
      <c r="AS280" s="228"/>
      <c r="AT280" s="229"/>
      <c r="AU280" s="229">
        <v>43453.379098726902</v>
      </c>
      <c r="AV280" s="229"/>
      <c r="AW280" s="229"/>
      <c r="AX280" s="229"/>
      <c r="AY280" s="229"/>
      <c r="AZ280" s="238">
        <v>43318</v>
      </c>
      <c r="BA280" s="1" t="s">
        <v>7684</v>
      </c>
      <c r="BB280"/>
      <c r="BC280">
        <v>35</v>
      </c>
      <c r="BD280">
        <v>203</v>
      </c>
      <c r="BE28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0" s="240">
        <f>COUNTIFS(_05preva_view43[Site ID],_05preva_view43[[#This Row],[Site ID]],_05preva_view43[Prevalidation Status],"Under Prevalidation")</f>
        <v>0</v>
      </c>
      <c r="BG28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0" s="242" t="str">
        <f>CONCATENATE(_05preva_view43[[#This Row],[Site ID]]," (",_05preva_view43[[#This Row],[tenant id]],") Application",IF(_05preva_view43[[#This Row],[Colo Rev]]&gt;0," Rev "&amp;_05preva_view43[[#This Row],[Colo Rev]],""),".xlsx")</f>
        <v>AYYN_0323 (YGN1545) Application.xlsx</v>
      </c>
      <c r="BI280" s="64" t="e">
        <f t="shared" ca="1" si="5"/>
        <v>#VALUE!</v>
      </c>
      <c r="BJ280" s="104" t="e">
        <f ca="1">LEFT(CELL("filename",A265),_05preva_view43[[#This Row],[Find Process &amp; Database]]-1)</f>
        <v>#VALUE!</v>
      </c>
      <c r="BK280" s="104" t="e">
        <f ca="1">_05preva_view43[Folder Path1]&amp;"Process &amp; Database\Documentation\Colo Applications"</f>
        <v>#VALUE!</v>
      </c>
      <c r="BL280" s="104" t="e">
        <f ca="1">_05preva_view43[Folder Path2]&amp;"\Colo App "&amp;_05preva_view43[[#This Row],[Operator]]&amp;"\"</f>
        <v>#VALUE!</v>
      </c>
      <c r="BM280" s="63" t="e">
        <f ca="1">_05preva_view43[[#This Row],[Folder Path3]]&amp;_05preva_view43[[#This Row],[File Name]]</f>
        <v>#VALUE!</v>
      </c>
      <c r="BN280" s="104"/>
      <c r="CF280" s="5"/>
      <c r="CG280" s="5"/>
      <c r="CH280" s="3"/>
      <c r="CJ280" s="5"/>
      <c r="CN280" s="3"/>
      <c r="CO280" s="3"/>
      <c r="CP280" s="5"/>
      <c r="CR280" s="3"/>
      <c r="DN280" s="5"/>
      <c r="DP280" s="3"/>
      <c r="EB280" s="7"/>
      <c r="EC280" s="7"/>
      <c r="EF280" s="4"/>
      <c r="EG280" s="4"/>
      <c r="EQ280" s="2"/>
      <c r="ER280" s="2"/>
    </row>
    <row r="281" spans="1:148">
      <c r="A281" s="227">
        <v>270</v>
      </c>
      <c r="B281" s="228" t="s">
        <v>631</v>
      </c>
      <c r="C281" s="228" t="s">
        <v>116</v>
      </c>
      <c r="D281" s="228" t="s">
        <v>117</v>
      </c>
      <c r="E281" s="228" t="s">
        <v>632</v>
      </c>
      <c r="F281" s="228" t="s">
        <v>34</v>
      </c>
      <c r="G281" s="228" t="s">
        <v>1284</v>
      </c>
      <c r="H281" s="228" t="s">
        <v>1285</v>
      </c>
      <c r="I281" s="228" t="s">
        <v>118</v>
      </c>
      <c r="J281" s="228"/>
      <c r="K281" s="229">
        <v>43318</v>
      </c>
      <c r="L281" s="230"/>
      <c r="M281" s="230"/>
      <c r="N281" s="228"/>
      <c r="O281" s="228" t="s">
        <v>119</v>
      </c>
      <c r="P281" s="231" t="s">
        <v>228</v>
      </c>
      <c r="Q281" s="231" t="s">
        <v>284</v>
      </c>
      <c r="R281" s="228" t="s">
        <v>24</v>
      </c>
      <c r="S281" s="228"/>
      <c r="T281" s="232" t="s">
        <v>120</v>
      </c>
      <c r="U281" s="228" t="s">
        <v>619</v>
      </c>
      <c r="V281" s="232" t="s">
        <v>120</v>
      </c>
      <c r="W281" s="228"/>
      <c r="X281" s="232" t="s">
        <v>120</v>
      </c>
      <c r="Y281" s="228"/>
      <c r="Z281" s="233" t="s">
        <v>229</v>
      </c>
      <c r="AA281" s="234"/>
      <c r="AB281" s="234"/>
      <c r="AC281" s="235"/>
      <c r="AD281" s="228" t="s">
        <v>626</v>
      </c>
      <c r="AE281" s="232" t="s">
        <v>120</v>
      </c>
      <c r="AF281" s="229" t="s">
        <v>621</v>
      </c>
      <c r="AG281" s="236"/>
      <c r="AH281" s="236"/>
      <c r="AI281" s="228" t="s">
        <v>622</v>
      </c>
      <c r="AJ281" s="232" t="s">
        <v>120</v>
      </c>
      <c r="AK281" s="228"/>
      <c r="AL281" s="228"/>
      <c r="AM281" s="232"/>
      <c r="AN281" s="228"/>
      <c r="AO281" s="228"/>
      <c r="AP281" s="237"/>
      <c r="AQ281" s="228"/>
      <c r="AR281" s="232"/>
      <c r="AS281" s="228"/>
      <c r="AT281" s="229"/>
      <c r="AU281" s="229">
        <v>43453.379099421298</v>
      </c>
      <c r="AV281" s="229"/>
      <c r="AW281" s="229"/>
      <c r="AX281" s="229"/>
      <c r="AY281" s="229"/>
      <c r="AZ281" s="238"/>
      <c r="BA281" s="1" t="s">
        <v>7684</v>
      </c>
      <c r="BB281"/>
      <c r="BC281">
        <v>60</v>
      </c>
      <c r="BD281">
        <v>682</v>
      </c>
      <c r="BE28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1" s="240">
        <f>COUNTIFS(_05preva_view43[Site ID],_05preva_view43[[#This Row],[Site ID]],_05preva_view43[Prevalidation Status],"Under Prevalidation")</f>
        <v>0</v>
      </c>
      <c r="BG28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1" s="242" t="str">
        <f>CONCATENATE(_05preva_view43[[#This Row],[Site ID]]," (",_05preva_view43[[#This Row],[tenant id]],") Application",IF(_05preva_view43[[#This Row],[Colo Rev]]&gt;0," Rev "&amp;_05preva_view43[[#This Row],[Colo Rev]],""),".xlsx")</f>
        <v>ANMG_0076 (MGY0061) Application.xlsx</v>
      </c>
      <c r="BI281" s="64" t="e">
        <f t="shared" ca="1" si="5"/>
        <v>#VALUE!</v>
      </c>
      <c r="BJ281" s="104" t="e">
        <f ca="1">LEFT(CELL("filename",A266),_05preva_view43[[#This Row],[Find Process &amp; Database]]-1)</f>
        <v>#VALUE!</v>
      </c>
      <c r="BK281" s="104" t="e">
        <f ca="1">_05preva_view43[Folder Path1]&amp;"Process &amp; Database\Documentation\Colo Applications"</f>
        <v>#VALUE!</v>
      </c>
      <c r="BL281" s="104" t="e">
        <f ca="1">_05preva_view43[Folder Path2]&amp;"\Colo App "&amp;_05preva_view43[[#This Row],[Operator]]&amp;"\"</f>
        <v>#VALUE!</v>
      </c>
      <c r="BM281" s="63" t="e">
        <f ca="1">_05preva_view43[[#This Row],[Folder Path3]]&amp;_05preva_view43[[#This Row],[File Name]]</f>
        <v>#VALUE!</v>
      </c>
      <c r="BN281" s="104"/>
      <c r="CF281" s="5"/>
      <c r="CG281" s="5"/>
      <c r="CH281" s="3"/>
      <c r="CJ281" s="5"/>
      <c r="CN281" s="3"/>
      <c r="CO281" s="3"/>
      <c r="CP281" s="5"/>
      <c r="CR281" s="3"/>
      <c r="DN281" s="5"/>
      <c r="DP281" s="3"/>
      <c r="EB281" s="7"/>
      <c r="EC281" s="7"/>
      <c r="EF281" s="4"/>
      <c r="EG281" s="4"/>
      <c r="EQ281" s="2"/>
      <c r="ER281" s="2"/>
    </row>
    <row r="282" spans="1:148">
      <c r="A282" s="227">
        <v>273</v>
      </c>
      <c r="B282" s="228" t="s">
        <v>633</v>
      </c>
      <c r="C282" s="228" t="s">
        <v>116</v>
      </c>
      <c r="D282" s="228" t="s">
        <v>117</v>
      </c>
      <c r="E282" s="228" t="s">
        <v>634</v>
      </c>
      <c r="F282" s="228" t="s">
        <v>34</v>
      </c>
      <c r="G282" s="228" t="s">
        <v>1284</v>
      </c>
      <c r="H282" s="228" t="s">
        <v>1285</v>
      </c>
      <c r="I282" s="228" t="s">
        <v>118</v>
      </c>
      <c r="J282" s="228"/>
      <c r="K282" s="229">
        <v>43307</v>
      </c>
      <c r="L282" s="230"/>
      <c r="M282" s="230">
        <v>2</v>
      </c>
      <c r="N282" s="228"/>
      <c r="O282" s="228" t="s">
        <v>119</v>
      </c>
      <c r="P282" s="231" t="s">
        <v>248</v>
      </c>
      <c r="Q282" s="231" t="s">
        <v>249</v>
      </c>
      <c r="R282" s="228" t="s">
        <v>24</v>
      </c>
      <c r="S282" s="228"/>
      <c r="T282" s="232" t="s">
        <v>120</v>
      </c>
      <c r="U282" s="228"/>
      <c r="V282" s="232" t="s">
        <v>120</v>
      </c>
      <c r="W282" s="228"/>
      <c r="X282" s="232" t="s">
        <v>120</v>
      </c>
      <c r="Y282" s="228"/>
      <c r="Z282" s="233" t="s">
        <v>229</v>
      </c>
      <c r="AA282" s="234"/>
      <c r="AB282" s="234"/>
      <c r="AC282" s="235"/>
      <c r="AD282" s="228" t="s">
        <v>229</v>
      </c>
      <c r="AE282" s="232" t="s">
        <v>120</v>
      </c>
      <c r="AF282" s="229"/>
      <c r="AG282" s="236"/>
      <c r="AH282" s="236"/>
      <c r="AI282" s="228"/>
      <c r="AJ282" s="232" t="s">
        <v>120</v>
      </c>
      <c r="AK282" s="228"/>
      <c r="AL282" s="228"/>
      <c r="AM282" s="232"/>
      <c r="AN282" s="228"/>
      <c r="AO282" s="228"/>
      <c r="AP282" s="237"/>
      <c r="AQ282" s="228"/>
      <c r="AR282" s="232"/>
      <c r="AS282" s="228"/>
      <c r="AT282" s="229"/>
      <c r="AU282" s="229">
        <v>43453.379102199098</v>
      </c>
      <c r="AV282" s="229"/>
      <c r="AW282" s="229"/>
      <c r="AX282" s="229"/>
      <c r="AY282" s="229"/>
      <c r="AZ282" s="238"/>
      <c r="BA282" s="1" t="s">
        <v>7684</v>
      </c>
      <c r="BB282"/>
      <c r="BC282">
        <v>60</v>
      </c>
      <c r="BD282">
        <v>1833</v>
      </c>
      <c r="BE28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2" s="240">
        <f>COUNTIFS(_05preva_view43[Site ID],_05preva_view43[[#This Row],[Site ID]],_05preva_view43[Prevalidation Status],"Under Prevalidation")</f>
        <v>0</v>
      </c>
      <c r="BG28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2" s="242" t="str">
        <f>CONCATENATE(_05preva_view43[[#This Row],[Site ID]]," (",_05preva_view43[[#This Row],[tenant id]],") Application",IF(_05preva_view43[[#This Row],[Colo Rev]]&gt;0," Rev "&amp;_05preva_view43[[#This Row],[Colo Rev]],""),".xlsx")</f>
        <v>ANNP_0329 (NPW0281) Application.xlsx</v>
      </c>
      <c r="BI282" s="64" t="e">
        <f t="shared" ca="1" si="5"/>
        <v>#VALUE!</v>
      </c>
      <c r="BJ282" s="104" t="e">
        <f ca="1">LEFT(CELL("filename",A267),_05preva_view43[[#This Row],[Find Process &amp; Database]]-1)</f>
        <v>#VALUE!</v>
      </c>
      <c r="BK282" s="104" t="e">
        <f ca="1">_05preva_view43[Folder Path1]&amp;"Process &amp; Database\Documentation\Colo Applications"</f>
        <v>#VALUE!</v>
      </c>
      <c r="BL282" s="104" t="e">
        <f ca="1">_05preva_view43[Folder Path2]&amp;"\Colo App "&amp;_05preva_view43[[#This Row],[Operator]]&amp;"\"</f>
        <v>#VALUE!</v>
      </c>
      <c r="BM282" s="63" t="e">
        <f ca="1">_05preva_view43[[#This Row],[Folder Path3]]&amp;_05preva_view43[[#This Row],[File Name]]</f>
        <v>#VALUE!</v>
      </c>
      <c r="BN282" s="104"/>
      <c r="CF282" s="5"/>
      <c r="CG282" s="5"/>
      <c r="CH282" s="3"/>
      <c r="CJ282" s="5"/>
      <c r="CN282" s="3"/>
      <c r="CO282" s="3"/>
      <c r="CP282" s="5"/>
      <c r="CR282" s="3"/>
      <c r="DN282" s="5"/>
      <c r="DP282" s="3"/>
      <c r="EB282" s="7"/>
      <c r="EC282" s="7"/>
      <c r="EF282" s="4"/>
      <c r="EG282" s="4"/>
      <c r="EQ282" s="2"/>
      <c r="ER282" s="2"/>
    </row>
    <row r="283" spans="1:148">
      <c r="A283" s="227">
        <v>265</v>
      </c>
      <c r="B283" s="228" t="s">
        <v>285</v>
      </c>
      <c r="C283" s="228" t="s">
        <v>116</v>
      </c>
      <c r="D283" s="228" t="s">
        <v>127</v>
      </c>
      <c r="E283" s="228" t="s">
        <v>611</v>
      </c>
      <c r="F283" s="228" t="s">
        <v>40</v>
      </c>
      <c r="G283" s="228" t="s">
        <v>1289</v>
      </c>
      <c r="H283" s="228" t="s">
        <v>1285</v>
      </c>
      <c r="I283" s="228" t="s">
        <v>118</v>
      </c>
      <c r="J283" s="228"/>
      <c r="K283" s="229">
        <v>43299</v>
      </c>
      <c r="L283" s="230"/>
      <c r="M283" s="230">
        <v>3</v>
      </c>
      <c r="N283" s="228">
        <v>6.5</v>
      </c>
      <c r="O283" s="228" t="s">
        <v>119</v>
      </c>
      <c r="P283" s="231" t="s">
        <v>612</v>
      </c>
      <c r="Q283" s="231" t="s">
        <v>246</v>
      </c>
      <c r="R283" s="228" t="s">
        <v>24</v>
      </c>
      <c r="S283" s="228"/>
      <c r="T283" s="232" t="s">
        <v>120</v>
      </c>
      <c r="U283" s="228" t="s">
        <v>613</v>
      </c>
      <c r="V283" s="232" t="s">
        <v>120</v>
      </c>
      <c r="W283" s="228"/>
      <c r="X283" s="232" t="s">
        <v>120</v>
      </c>
      <c r="Y283" s="228" t="s">
        <v>614</v>
      </c>
      <c r="Z283" s="233" t="s">
        <v>615</v>
      </c>
      <c r="AA283" s="234"/>
      <c r="AB283" s="234"/>
      <c r="AC283" s="235" t="s">
        <v>123</v>
      </c>
      <c r="AD283" s="228"/>
      <c r="AE283" s="232" t="s">
        <v>120</v>
      </c>
      <c r="AF283" s="229"/>
      <c r="AG283" s="236"/>
      <c r="AH283" s="236"/>
      <c r="AI283" s="228"/>
      <c r="AJ283" s="232" t="s">
        <v>120</v>
      </c>
      <c r="AK283" s="228" t="s">
        <v>206</v>
      </c>
      <c r="AL283" s="228" t="s">
        <v>616</v>
      </c>
      <c r="AM283" s="232"/>
      <c r="AN283" s="228"/>
      <c r="AO283" s="228"/>
      <c r="AP283" s="237"/>
      <c r="AQ283" s="228"/>
      <c r="AR283" s="232"/>
      <c r="AS283" s="228"/>
      <c r="AT283" s="229">
        <v>43417.622354282401</v>
      </c>
      <c r="AU283" s="229">
        <v>43417.673046759301</v>
      </c>
      <c r="AV283" s="229"/>
      <c r="AW283" s="229">
        <v>43417.729836574101</v>
      </c>
      <c r="AX283" s="229">
        <v>43417.688153472198</v>
      </c>
      <c r="AY283" s="229">
        <v>43417.684579629597</v>
      </c>
      <c r="AZ283" s="238">
        <v>43299</v>
      </c>
      <c r="BA283" s="1" t="s">
        <v>7684</v>
      </c>
      <c r="BB283"/>
      <c r="BC283">
        <v>35</v>
      </c>
      <c r="BD283">
        <v>1909</v>
      </c>
      <c r="BE28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3" s="240">
        <f>COUNTIFS(_05preva_view43[Site ID],_05preva_view43[[#This Row],[Site ID]],_05preva_view43[Prevalidation Status],"Under Prevalidation")</f>
        <v>0</v>
      </c>
      <c r="BG28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3" s="242" t="str">
        <f>CONCATENATE(_05preva_view43[[#This Row],[Site ID]]," (",_05preva_view43[[#This Row],[tenant id]],") Application",IF(_05preva_view43[[#This Row],[Colo Rev]]&gt;0," Rev "&amp;_05preva_view43[[#This Row],[Colo Rev]],""),".xlsx")</f>
        <v>ANMD_0080 (MAW2380) Application.xlsx</v>
      </c>
      <c r="BI283" s="64" t="e">
        <f t="shared" ca="1" si="5"/>
        <v>#VALUE!</v>
      </c>
      <c r="BJ283" s="104" t="e">
        <f ca="1">LEFT(CELL("filename",A268),_05preva_view43[[#This Row],[Find Process &amp; Database]]-1)</f>
        <v>#VALUE!</v>
      </c>
      <c r="BK283" s="104" t="e">
        <f ca="1">_05preva_view43[Folder Path1]&amp;"Process &amp; Database\Documentation\Colo Applications"</f>
        <v>#VALUE!</v>
      </c>
      <c r="BL283" s="104" t="e">
        <f ca="1">_05preva_view43[Folder Path2]&amp;"\Colo App "&amp;_05preva_view43[[#This Row],[Operator]]&amp;"\"</f>
        <v>#VALUE!</v>
      </c>
      <c r="BM283" s="63" t="e">
        <f ca="1">_05preva_view43[[#This Row],[Folder Path3]]&amp;_05preva_view43[[#This Row],[File Name]]</f>
        <v>#VALUE!</v>
      </c>
      <c r="BN283" s="104"/>
      <c r="CF283" s="5"/>
      <c r="CG283" s="5"/>
      <c r="CH283" s="3"/>
      <c r="CJ283" s="5"/>
      <c r="CN283" s="3"/>
      <c r="CO283" s="3"/>
      <c r="CP283" s="5"/>
      <c r="CR283" s="3"/>
      <c r="DN283" s="5"/>
      <c r="DP283" s="3"/>
      <c r="EB283" s="7"/>
      <c r="EC283" s="7"/>
      <c r="EF283" s="4"/>
      <c r="EG283" s="4"/>
      <c r="EQ283" s="2"/>
      <c r="ER283" s="2"/>
    </row>
    <row r="284" spans="1:148">
      <c r="A284" s="227">
        <v>261</v>
      </c>
      <c r="B284" s="228" t="s">
        <v>609</v>
      </c>
      <c r="C284" s="228" t="s">
        <v>116</v>
      </c>
      <c r="D284" s="228" t="s">
        <v>117</v>
      </c>
      <c r="E284" s="228" t="s">
        <v>610</v>
      </c>
      <c r="F284" s="228" t="s">
        <v>40</v>
      </c>
      <c r="G284" s="228" t="s">
        <v>1289</v>
      </c>
      <c r="H284" s="228" t="s">
        <v>1290</v>
      </c>
      <c r="I284" s="228" t="s">
        <v>118</v>
      </c>
      <c r="J284" s="228"/>
      <c r="K284" s="229">
        <v>43298</v>
      </c>
      <c r="L284" s="230"/>
      <c r="M284" s="230">
        <v>3</v>
      </c>
      <c r="N284" s="228">
        <v>6</v>
      </c>
      <c r="O284" s="228" t="s">
        <v>119</v>
      </c>
      <c r="P284" s="231"/>
      <c r="Q284" s="231"/>
      <c r="R284" s="228" t="s">
        <v>24</v>
      </c>
      <c r="S284" s="228"/>
      <c r="T284" s="232" t="s">
        <v>120</v>
      </c>
      <c r="U284" s="228" t="s">
        <v>607</v>
      </c>
      <c r="V284" s="232" t="s">
        <v>120</v>
      </c>
      <c r="W284" s="228"/>
      <c r="X284" s="232" t="s">
        <v>120</v>
      </c>
      <c r="Y284" s="228" t="s">
        <v>320</v>
      </c>
      <c r="Z284" s="233" t="s">
        <v>120</v>
      </c>
      <c r="AA284" s="234"/>
      <c r="AB284" s="234"/>
      <c r="AC284" s="235" t="s">
        <v>123</v>
      </c>
      <c r="AD284" s="228"/>
      <c r="AE284" s="232" t="s">
        <v>125</v>
      </c>
      <c r="AF284" s="229"/>
      <c r="AG284" s="236"/>
      <c r="AH284" s="236"/>
      <c r="AI284" s="228" t="s">
        <v>608</v>
      </c>
      <c r="AJ284" s="232"/>
      <c r="AK284" s="228"/>
      <c r="AL284" s="228"/>
      <c r="AM284" s="232"/>
      <c r="AN284" s="228"/>
      <c r="AO284" s="228"/>
      <c r="AP284" s="237"/>
      <c r="AQ284" s="228"/>
      <c r="AR284" s="232"/>
      <c r="AS284" s="228"/>
      <c r="AT284" s="229"/>
      <c r="AU284" s="229"/>
      <c r="AV284" s="229"/>
      <c r="AW284" s="229"/>
      <c r="AX284" s="229"/>
      <c r="AY284" s="229"/>
      <c r="AZ284" s="238"/>
      <c r="BA284" s="1" t="s">
        <v>7684</v>
      </c>
      <c r="BB284">
        <v>130</v>
      </c>
      <c r="BC284">
        <v>50</v>
      </c>
      <c r="BD284">
        <v>253</v>
      </c>
      <c r="BE28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4" s="240">
        <f>COUNTIFS(_05preva_view43[Site ID],_05preva_view43[[#This Row],[Site ID]],_05preva_view43[Prevalidation Status],"Under Prevalidation")</f>
        <v>0</v>
      </c>
      <c r="BG28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4" s="242" t="str">
        <f>CONCATENATE(_05preva_view43[[#This Row],[Site ID]]," (",_05preva_view43[[#This Row],[tenant id]],") Application",IF(_05preva_view43[[#This Row],[Colo Rev]]&gt;0," Rev "&amp;_05preva_view43[[#This Row],[Colo Rev]],""),".xlsx")</f>
        <v>ANSH_0044 (SHW1986) Application.xlsx</v>
      </c>
      <c r="BI284" s="64" t="e">
        <f t="shared" ca="1" si="5"/>
        <v>#VALUE!</v>
      </c>
      <c r="BJ284" s="104" t="e">
        <f ca="1">LEFT(CELL("filename",A269),_05preva_view43[[#This Row],[Find Process &amp; Database]]-1)</f>
        <v>#VALUE!</v>
      </c>
      <c r="BK284" s="104" t="e">
        <f ca="1">_05preva_view43[Folder Path1]&amp;"Process &amp; Database\Documentation\Colo Applications"</f>
        <v>#VALUE!</v>
      </c>
      <c r="BL284" s="104" t="e">
        <f ca="1">_05preva_view43[Folder Path2]&amp;"\Colo App "&amp;_05preva_view43[[#This Row],[Operator]]&amp;"\"</f>
        <v>#VALUE!</v>
      </c>
      <c r="BM284" s="63" t="e">
        <f ca="1">_05preva_view43[[#This Row],[Folder Path3]]&amp;_05preva_view43[[#This Row],[File Name]]</f>
        <v>#VALUE!</v>
      </c>
      <c r="BN284" s="104"/>
      <c r="CF284" s="5"/>
      <c r="CG284" s="5"/>
      <c r="CH284" s="3"/>
      <c r="CJ284" s="5"/>
      <c r="CN284" s="3"/>
      <c r="CO284" s="3"/>
      <c r="CP284" s="5"/>
      <c r="CR284" s="3"/>
      <c r="DN284" s="5"/>
      <c r="DP284" s="3"/>
      <c r="EB284" s="7"/>
      <c r="EC284" s="7"/>
      <c r="EF284" s="4"/>
      <c r="EG284" s="4"/>
      <c r="EQ284" s="2"/>
      <c r="ER284" s="2"/>
    </row>
    <row r="285" spans="1:148">
      <c r="A285" s="227">
        <v>258</v>
      </c>
      <c r="B285" s="228" t="s">
        <v>601</v>
      </c>
      <c r="C285" s="228" t="s">
        <v>116</v>
      </c>
      <c r="D285" s="228" t="s">
        <v>153</v>
      </c>
      <c r="E285" s="228" t="s">
        <v>602</v>
      </c>
      <c r="F285" s="228" t="s">
        <v>41</v>
      </c>
      <c r="G285" s="228" t="s">
        <v>1286</v>
      </c>
      <c r="H285" s="228" t="s">
        <v>1290</v>
      </c>
      <c r="I285" s="228" t="s">
        <v>118</v>
      </c>
      <c r="J285" s="228"/>
      <c r="K285" s="229">
        <v>43290</v>
      </c>
      <c r="L285" s="230"/>
      <c r="M285" s="230">
        <v>1.9</v>
      </c>
      <c r="N285" s="228">
        <v>3</v>
      </c>
      <c r="O285" s="228" t="s">
        <v>119</v>
      </c>
      <c r="P285" s="231" t="s">
        <v>603</v>
      </c>
      <c r="Q285" s="231" t="s">
        <v>604</v>
      </c>
      <c r="R285" s="228" t="s">
        <v>24</v>
      </c>
      <c r="S285" s="228"/>
      <c r="T285" s="232" t="s">
        <v>120</v>
      </c>
      <c r="U285" s="228" t="s">
        <v>582</v>
      </c>
      <c r="V285" s="232" t="s">
        <v>120</v>
      </c>
      <c r="W285" s="228"/>
      <c r="X285" s="232" t="s">
        <v>120</v>
      </c>
      <c r="Y285" s="228" t="s">
        <v>120</v>
      </c>
      <c r="Z285" s="233" t="s">
        <v>120</v>
      </c>
      <c r="AA285" s="234"/>
      <c r="AB285" s="234"/>
      <c r="AC285" s="235" t="s">
        <v>123</v>
      </c>
      <c r="AD285" s="228" t="s">
        <v>293</v>
      </c>
      <c r="AE285" s="232" t="s">
        <v>229</v>
      </c>
      <c r="AF285" s="229" t="s">
        <v>585</v>
      </c>
      <c r="AG285" s="236"/>
      <c r="AH285" s="236"/>
      <c r="AI285" s="228" t="s">
        <v>606</v>
      </c>
      <c r="AJ285" s="232" t="s">
        <v>120</v>
      </c>
      <c r="AK285" s="228" t="s">
        <v>206</v>
      </c>
      <c r="AL285" s="228" t="s">
        <v>605</v>
      </c>
      <c r="AM285" s="232"/>
      <c r="AN285" s="228"/>
      <c r="AO285" s="228"/>
      <c r="AP285" s="237"/>
      <c r="AQ285" s="228"/>
      <c r="AR285" s="232"/>
      <c r="AS285" s="228"/>
      <c r="AT285" s="229"/>
      <c r="AU285" s="229">
        <v>43453.3790934028</v>
      </c>
      <c r="AV285" s="229"/>
      <c r="AW285" s="229"/>
      <c r="AX285" s="229"/>
      <c r="AY285" s="229"/>
      <c r="AZ285" s="238">
        <v>43290</v>
      </c>
      <c r="BA285" s="1" t="s">
        <v>7691</v>
      </c>
      <c r="BB285"/>
      <c r="BC285">
        <v>6</v>
      </c>
      <c r="BD285">
        <v>1772</v>
      </c>
      <c r="BE28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5" s="240">
        <f>COUNTIFS(_05preva_view43[Site ID],_05preva_view43[[#This Row],[Site ID]],_05preva_view43[Prevalidation Status],"Under Prevalidation")</f>
        <v>0</v>
      </c>
      <c r="BG28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5" s="242" t="str">
        <f>CONCATENATE(_05preva_view43[[#This Row],[Site ID]]," (",_05preva_view43[[#This Row],[tenant id]],") Application",IF(_05preva_view43[[#This Row],[Colo Rev]]&gt;0," Rev "&amp;_05preva_view43[[#This Row],[Colo Rev]],""),".xlsx")</f>
        <v>AYYN_0413 (YGNTKTA008) Application.xlsx</v>
      </c>
      <c r="BI285" s="64" t="e">
        <f t="shared" ca="1" si="5"/>
        <v>#VALUE!</v>
      </c>
      <c r="BJ285" s="104" t="e">
        <f ca="1">LEFT(CELL("filename",A270),_05preva_view43[[#This Row],[Find Process &amp; Database]]-1)</f>
        <v>#VALUE!</v>
      </c>
      <c r="BK285" s="104" t="e">
        <f ca="1">_05preva_view43[Folder Path1]&amp;"Process &amp; Database\Documentation\Colo Applications"</f>
        <v>#VALUE!</v>
      </c>
      <c r="BL285" s="104" t="e">
        <f ca="1">_05preva_view43[Folder Path2]&amp;"\Colo App "&amp;_05preva_view43[[#This Row],[Operator]]&amp;"\"</f>
        <v>#VALUE!</v>
      </c>
      <c r="BM285" s="63" t="e">
        <f ca="1">_05preva_view43[[#This Row],[Folder Path3]]&amp;_05preva_view43[[#This Row],[File Name]]</f>
        <v>#VALUE!</v>
      </c>
      <c r="BN285" s="104"/>
      <c r="CF285" s="5"/>
      <c r="CG285" s="5"/>
      <c r="CH285" s="3"/>
      <c r="CJ285" s="5"/>
      <c r="CN285" s="3"/>
      <c r="CO285" s="3"/>
      <c r="CP285" s="5"/>
      <c r="CR285" s="3"/>
      <c r="DN285" s="5"/>
      <c r="DP285" s="3"/>
      <c r="EB285" s="7"/>
      <c r="EC285" s="7"/>
      <c r="EF285" s="4"/>
      <c r="EG285" s="4"/>
      <c r="EQ285" s="2"/>
      <c r="ER285" s="2"/>
    </row>
    <row r="286" spans="1:148">
      <c r="A286" s="227">
        <v>256</v>
      </c>
      <c r="B286" s="228" t="s">
        <v>180</v>
      </c>
      <c r="C286" s="228" t="s">
        <v>116</v>
      </c>
      <c r="D286" s="228" t="s">
        <v>127</v>
      </c>
      <c r="E286" s="228" t="s">
        <v>595</v>
      </c>
      <c r="F286" s="228" t="s">
        <v>41</v>
      </c>
      <c r="G286" s="228" t="s">
        <v>1286</v>
      </c>
      <c r="H286" s="228" t="s">
        <v>1290</v>
      </c>
      <c r="I286" s="228" t="s">
        <v>118</v>
      </c>
      <c r="J286" s="228"/>
      <c r="K286" s="229">
        <v>43286</v>
      </c>
      <c r="L286" s="230"/>
      <c r="M286" s="230">
        <v>2.5</v>
      </c>
      <c r="N286" s="228">
        <v>3</v>
      </c>
      <c r="O286" s="228" t="s">
        <v>119</v>
      </c>
      <c r="P286" s="231" t="s">
        <v>596</v>
      </c>
      <c r="Q286" s="231" t="s">
        <v>597</v>
      </c>
      <c r="R286" s="228" t="s">
        <v>24</v>
      </c>
      <c r="S286" s="228" t="s">
        <v>598</v>
      </c>
      <c r="T286" s="232" t="s">
        <v>120</v>
      </c>
      <c r="U286" s="228" t="s">
        <v>599</v>
      </c>
      <c r="V286" s="232" t="s">
        <v>125</v>
      </c>
      <c r="W286" s="228" t="s">
        <v>600</v>
      </c>
      <c r="X286" s="232" t="s">
        <v>120</v>
      </c>
      <c r="Y286" s="228" t="s">
        <v>120</v>
      </c>
      <c r="Z286" s="233" t="s">
        <v>120</v>
      </c>
      <c r="AA286" s="234"/>
      <c r="AB286" s="234"/>
      <c r="AC286" s="235" t="s">
        <v>123</v>
      </c>
      <c r="AD286" s="228"/>
      <c r="AE286" s="232" t="s">
        <v>229</v>
      </c>
      <c r="AF286" s="229" t="s">
        <v>585</v>
      </c>
      <c r="AG286" s="236"/>
      <c r="AH286" s="236"/>
      <c r="AI286" s="228" t="s">
        <v>586</v>
      </c>
      <c r="AJ286" s="232"/>
      <c r="AK286" s="228"/>
      <c r="AL286" s="228"/>
      <c r="AM286" s="232"/>
      <c r="AN286" s="228"/>
      <c r="AO286" s="228"/>
      <c r="AP286" s="237"/>
      <c r="AQ286" s="228"/>
      <c r="AR286" s="232"/>
      <c r="AS286" s="228"/>
      <c r="AT286" s="229"/>
      <c r="AU286" s="229">
        <v>43453.3790920139</v>
      </c>
      <c r="AV286" s="229"/>
      <c r="AW286" s="229"/>
      <c r="AX286" s="229"/>
      <c r="AY286" s="229"/>
      <c r="AZ286" s="238">
        <v>43286</v>
      </c>
      <c r="BA286" s="1" t="s">
        <v>7691</v>
      </c>
      <c r="BB286"/>
      <c r="BC286">
        <v>6</v>
      </c>
      <c r="BD286">
        <v>84</v>
      </c>
      <c r="BE28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6" s="240">
        <f>COUNTIFS(_05preva_view43[Site ID],_05preva_view43[[#This Row],[Site ID]],_05preva_view43[Prevalidation Status],"Under Prevalidation")</f>
        <v>0</v>
      </c>
      <c r="BG28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6" s="242" t="str">
        <f>CONCATENATE(_05preva_view43[[#This Row],[Site ID]]," (",_05preva_view43[[#This Row],[tenant id]],") Application",IF(_05preva_view43[[#This Row],[Colo Rev]]&gt;0," Rev "&amp;_05preva_view43[[#This Row],[Colo Rev]],""),".xlsx")</f>
        <v>ANMD_0273 (MDYAMTZ023) Application.xlsx</v>
      </c>
      <c r="BI286" s="64" t="e">
        <f t="shared" ca="1" si="5"/>
        <v>#VALUE!</v>
      </c>
      <c r="BJ286" s="104" t="e">
        <f ca="1">LEFT(CELL("filename",A271),_05preva_view43[[#This Row],[Find Process &amp; Database]]-1)</f>
        <v>#VALUE!</v>
      </c>
      <c r="BK286" s="104" t="e">
        <f ca="1">_05preva_view43[Folder Path1]&amp;"Process &amp; Database\Documentation\Colo Applications"</f>
        <v>#VALUE!</v>
      </c>
      <c r="BL286" s="104" t="e">
        <f ca="1">_05preva_view43[Folder Path2]&amp;"\Colo App "&amp;_05preva_view43[[#This Row],[Operator]]&amp;"\"</f>
        <v>#VALUE!</v>
      </c>
      <c r="BM286" s="63" t="e">
        <f ca="1">_05preva_view43[[#This Row],[Folder Path3]]&amp;_05preva_view43[[#This Row],[File Name]]</f>
        <v>#VALUE!</v>
      </c>
      <c r="BN286" s="104"/>
      <c r="CF286" s="5"/>
      <c r="CG286" s="5"/>
      <c r="CH286" s="3"/>
      <c r="CJ286" s="5"/>
      <c r="CN286" s="3"/>
      <c r="CO286" s="3"/>
      <c r="CP286" s="5"/>
      <c r="CR286" s="3"/>
      <c r="DN286" s="5"/>
      <c r="DP286" s="3"/>
      <c r="EB286" s="7"/>
      <c r="EC286" s="7"/>
      <c r="EF286" s="4"/>
      <c r="EG286" s="4"/>
      <c r="EQ286" s="2"/>
      <c r="ER286" s="2"/>
    </row>
    <row r="287" spans="1:148">
      <c r="A287" s="227">
        <v>252</v>
      </c>
      <c r="B287" s="228" t="s">
        <v>591</v>
      </c>
      <c r="C287" s="228" t="s">
        <v>116</v>
      </c>
      <c r="D287" s="228" t="s">
        <v>153</v>
      </c>
      <c r="E287" s="228" t="s">
        <v>592</v>
      </c>
      <c r="F287" s="228" t="s">
        <v>41</v>
      </c>
      <c r="G287" s="228" t="s">
        <v>118</v>
      </c>
      <c r="H287" s="228"/>
      <c r="I287" s="228" t="s">
        <v>118</v>
      </c>
      <c r="J287" s="228"/>
      <c r="K287" s="229">
        <v>43277</v>
      </c>
      <c r="L287" s="230"/>
      <c r="M287" s="230">
        <v>1.9</v>
      </c>
      <c r="N287" s="228">
        <v>3</v>
      </c>
      <c r="O287" s="228" t="s">
        <v>119</v>
      </c>
      <c r="P287" s="231" t="s">
        <v>593</v>
      </c>
      <c r="Q287" s="231" t="s">
        <v>594</v>
      </c>
      <c r="R287" s="228" t="s">
        <v>24</v>
      </c>
      <c r="S287" s="228"/>
      <c r="T287" s="232" t="s">
        <v>120</v>
      </c>
      <c r="U287" s="228" t="s">
        <v>582</v>
      </c>
      <c r="V287" s="232" t="s">
        <v>120</v>
      </c>
      <c r="W287" s="228"/>
      <c r="X287" s="232" t="s">
        <v>120</v>
      </c>
      <c r="Y287" s="228" t="s">
        <v>120</v>
      </c>
      <c r="Z287" s="233" t="s">
        <v>120</v>
      </c>
      <c r="AA287" s="234"/>
      <c r="AB287" s="234"/>
      <c r="AC287" s="235" t="s">
        <v>123</v>
      </c>
      <c r="AD287" s="228" t="s">
        <v>583</v>
      </c>
      <c r="AE287" s="232" t="s">
        <v>120</v>
      </c>
      <c r="AF287" s="229" t="s">
        <v>585</v>
      </c>
      <c r="AG287" s="236"/>
      <c r="AH287" s="236"/>
      <c r="AI287" s="228" t="s">
        <v>586</v>
      </c>
      <c r="AJ287" s="232" t="s">
        <v>120</v>
      </c>
      <c r="AK287" s="228" t="s">
        <v>206</v>
      </c>
      <c r="AL287" s="228"/>
      <c r="AM287" s="232"/>
      <c r="AN287" s="228"/>
      <c r="AO287" s="228"/>
      <c r="AP287" s="237"/>
      <c r="AQ287" s="228"/>
      <c r="AR287" s="232"/>
      <c r="AS287" s="228"/>
      <c r="AT287" s="229"/>
      <c r="AU287" s="229">
        <v>43453.379089930597</v>
      </c>
      <c r="AV287" s="229"/>
      <c r="AW287" s="229"/>
      <c r="AX287" s="229"/>
      <c r="AY287" s="229"/>
      <c r="AZ287" s="238">
        <v>43277</v>
      </c>
      <c r="BA287" s="1" t="s">
        <v>7691</v>
      </c>
      <c r="BB287"/>
      <c r="BC287">
        <v>6</v>
      </c>
      <c r="BD287">
        <v>1253</v>
      </c>
      <c r="BE28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7" s="240">
        <f>COUNTIFS(_05preva_view43[Site ID],_05preva_view43[[#This Row],[Site ID]],_05preva_view43[Prevalidation Status],"Under Prevalidation")</f>
        <v>0</v>
      </c>
      <c r="BG28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7" s="242" t="str">
        <f>CONCATENATE(_05preva_view43[[#This Row],[Site ID]]," (",_05preva_view43[[#This Row],[tenant id]],") Application",IF(_05preva_view43[[#This Row],[Colo Rev]]&gt;0," Rev "&amp;_05preva_view43[[#This Row],[Colo Rev]],""),".xlsx")</f>
        <v>AYYN_0141 (YGNLTHA011) Application.xlsx</v>
      </c>
      <c r="BI287" s="64" t="e">
        <f t="shared" ca="1" si="5"/>
        <v>#VALUE!</v>
      </c>
      <c r="BJ287" s="104" t="e">
        <f ca="1">LEFT(CELL("filename",A272),_05preva_view43[[#This Row],[Find Process &amp; Database]]-1)</f>
        <v>#VALUE!</v>
      </c>
      <c r="BK287" s="104" t="e">
        <f ca="1">_05preva_view43[Folder Path1]&amp;"Process &amp; Database\Documentation\Colo Applications"</f>
        <v>#VALUE!</v>
      </c>
      <c r="BL287" s="104" t="e">
        <f ca="1">_05preva_view43[Folder Path2]&amp;"\Colo App "&amp;_05preva_view43[[#This Row],[Operator]]&amp;"\"</f>
        <v>#VALUE!</v>
      </c>
      <c r="BM287" s="63" t="e">
        <f ca="1">_05preva_view43[[#This Row],[Folder Path3]]&amp;_05preva_view43[[#This Row],[File Name]]</f>
        <v>#VALUE!</v>
      </c>
      <c r="BN287" s="104"/>
      <c r="CF287" s="5"/>
      <c r="CG287" s="5"/>
      <c r="CH287" s="3"/>
      <c r="CJ287" s="5"/>
      <c r="CN287" s="3"/>
      <c r="CO287" s="3"/>
      <c r="CP287" s="5"/>
      <c r="CR287" s="3"/>
      <c r="DN287" s="5"/>
      <c r="DP287" s="3"/>
      <c r="EB287" s="7"/>
      <c r="EC287" s="7"/>
      <c r="EF287" s="4"/>
      <c r="EG287" s="4"/>
      <c r="EQ287" s="2"/>
      <c r="ER287" s="2"/>
    </row>
    <row r="288" spans="1:148">
      <c r="A288" s="227">
        <v>246</v>
      </c>
      <c r="B288" s="228" t="s">
        <v>571</v>
      </c>
      <c r="C288" s="228" t="s">
        <v>116</v>
      </c>
      <c r="D288" s="228" t="s">
        <v>153</v>
      </c>
      <c r="E288" s="228" t="s">
        <v>572</v>
      </c>
      <c r="F288" s="228" t="s">
        <v>40</v>
      </c>
      <c r="G288" s="228" t="s">
        <v>1289</v>
      </c>
      <c r="H288" s="228" t="s">
        <v>1285</v>
      </c>
      <c r="I288" s="228" t="s">
        <v>118</v>
      </c>
      <c r="J288" s="228"/>
      <c r="K288" s="229">
        <v>43273</v>
      </c>
      <c r="L288" s="230"/>
      <c r="M288" s="230">
        <v>3</v>
      </c>
      <c r="N288" s="228">
        <v>6</v>
      </c>
      <c r="O288" s="228" t="s">
        <v>119</v>
      </c>
      <c r="P288" s="231"/>
      <c r="Q288" s="231"/>
      <c r="R288" s="228" t="s">
        <v>24</v>
      </c>
      <c r="S288" s="228"/>
      <c r="T288" s="232" t="s">
        <v>120</v>
      </c>
      <c r="U288" s="228" t="s">
        <v>573</v>
      </c>
      <c r="V288" s="232" t="s">
        <v>120</v>
      </c>
      <c r="W288" s="228"/>
      <c r="X288" s="232" t="s">
        <v>120</v>
      </c>
      <c r="Y288" s="228" t="s">
        <v>320</v>
      </c>
      <c r="Z288" s="233" t="s">
        <v>120</v>
      </c>
      <c r="AA288" s="234"/>
      <c r="AB288" s="234"/>
      <c r="AC288" s="235" t="s">
        <v>123</v>
      </c>
      <c r="AD288" s="228"/>
      <c r="AE288" s="232" t="s">
        <v>125</v>
      </c>
      <c r="AF288" s="229"/>
      <c r="AG288" s="236"/>
      <c r="AH288" s="236"/>
      <c r="AI288" s="228" t="s">
        <v>308</v>
      </c>
      <c r="AJ288" s="232" t="s">
        <v>120</v>
      </c>
      <c r="AK288" s="228" t="s">
        <v>123</v>
      </c>
      <c r="AL288" s="228" t="s">
        <v>546</v>
      </c>
      <c r="AM288" s="232"/>
      <c r="AN288" s="228"/>
      <c r="AO288" s="228"/>
      <c r="AP288" s="237"/>
      <c r="AQ288" s="228"/>
      <c r="AR288" s="232"/>
      <c r="AS288" s="228"/>
      <c r="AT288" s="229"/>
      <c r="AU288" s="229"/>
      <c r="AV288" s="229"/>
      <c r="AW288" s="229"/>
      <c r="AX288" s="229"/>
      <c r="AY288" s="229"/>
      <c r="AZ288" s="238"/>
      <c r="BA288" s="1" t="s">
        <v>7684</v>
      </c>
      <c r="BB288"/>
      <c r="BC288">
        <v>50</v>
      </c>
      <c r="BD288">
        <v>2461</v>
      </c>
      <c r="BE28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8" s="240">
        <f>COUNTIFS(_05preva_view43[Site ID],_05preva_view43[[#This Row],[Site ID]],_05preva_view43[Prevalidation Status],"Under Prevalidation")</f>
        <v>0</v>
      </c>
      <c r="BG28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8" s="242" t="str">
        <f>CONCATENATE(_05preva_view43[[#This Row],[Site ID]]," (",_05preva_view43[[#This Row],[tenant id]],") Application",IF(_05preva_view43[[#This Row],[Colo Rev]]&gt;0," Rev "&amp;_05preva_view43[[#This Row],[Colo Rev]],""),".xlsx")</f>
        <v>ACAY_3003 (AYW5573) Application.xlsx</v>
      </c>
      <c r="BI288" s="64" t="e">
        <f t="shared" ca="1" si="5"/>
        <v>#VALUE!</v>
      </c>
      <c r="BJ288" s="104" t="e">
        <f ca="1">LEFT(CELL("filename",A273),_05preva_view43[[#This Row],[Find Process &amp; Database]]-1)</f>
        <v>#VALUE!</v>
      </c>
      <c r="BK288" s="104" t="e">
        <f ca="1">_05preva_view43[Folder Path1]&amp;"Process &amp; Database\Documentation\Colo Applications"</f>
        <v>#VALUE!</v>
      </c>
      <c r="BL288" s="104" t="e">
        <f ca="1">_05preva_view43[Folder Path2]&amp;"\Colo App "&amp;_05preva_view43[[#This Row],[Operator]]&amp;"\"</f>
        <v>#VALUE!</v>
      </c>
      <c r="BM288" s="63" t="e">
        <f ca="1">_05preva_view43[[#This Row],[Folder Path3]]&amp;_05preva_view43[[#This Row],[File Name]]</f>
        <v>#VALUE!</v>
      </c>
      <c r="BN288" s="104"/>
      <c r="CF288" s="5"/>
      <c r="CG288" s="5"/>
      <c r="CH288" s="3"/>
      <c r="CJ288" s="5"/>
      <c r="CN288" s="3"/>
      <c r="CO288" s="3"/>
      <c r="CP288" s="5"/>
      <c r="CR288" s="3"/>
      <c r="DN288" s="5"/>
      <c r="DP288" s="3"/>
      <c r="EB288" s="7"/>
      <c r="EC288" s="7"/>
      <c r="EF288" s="4"/>
      <c r="EG288" s="4"/>
      <c r="EQ288" s="2"/>
      <c r="ER288" s="2"/>
    </row>
    <row r="289" spans="1:148">
      <c r="A289" s="227">
        <v>248</v>
      </c>
      <c r="B289" s="228" t="s">
        <v>574</v>
      </c>
      <c r="C289" s="228" t="s">
        <v>116</v>
      </c>
      <c r="D289" s="228" t="s">
        <v>117</v>
      </c>
      <c r="E289" s="228" t="s">
        <v>575</v>
      </c>
      <c r="F289" s="228" t="s">
        <v>40</v>
      </c>
      <c r="G289" s="228" t="s">
        <v>118</v>
      </c>
      <c r="H289" s="228"/>
      <c r="I289" s="228" t="s">
        <v>118</v>
      </c>
      <c r="J289" s="228"/>
      <c r="K289" s="229">
        <v>43273</v>
      </c>
      <c r="L289" s="230"/>
      <c r="M289" s="230">
        <v>3</v>
      </c>
      <c r="N289" s="228">
        <v>6</v>
      </c>
      <c r="O289" s="228" t="s">
        <v>119</v>
      </c>
      <c r="P289" s="231"/>
      <c r="Q289" s="231"/>
      <c r="R289" s="228" t="s">
        <v>24</v>
      </c>
      <c r="S289" s="228"/>
      <c r="T289" s="232" t="s">
        <v>120</v>
      </c>
      <c r="U289" s="228" t="s">
        <v>556</v>
      </c>
      <c r="V289" s="232" t="s">
        <v>120</v>
      </c>
      <c r="W289" s="228"/>
      <c r="X289" s="232" t="s">
        <v>120</v>
      </c>
      <c r="Y289" s="228" t="s">
        <v>320</v>
      </c>
      <c r="Z289" s="233" t="s">
        <v>120</v>
      </c>
      <c r="AA289" s="234"/>
      <c r="AB289" s="234"/>
      <c r="AC289" s="235" t="s">
        <v>123</v>
      </c>
      <c r="AD289" s="228"/>
      <c r="AE289" s="232" t="s">
        <v>125</v>
      </c>
      <c r="AF289" s="229"/>
      <c r="AG289" s="236"/>
      <c r="AH289" s="236"/>
      <c r="AI289" s="228" t="s">
        <v>308</v>
      </c>
      <c r="AJ289" s="232" t="s">
        <v>120</v>
      </c>
      <c r="AK289" s="228" t="s">
        <v>123</v>
      </c>
      <c r="AL289" s="228" t="s">
        <v>546</v>
      </c>
      <c r="AM289" s="232"/>
      <c r="AN289" s="228"/>
      <c r="AO289" s="228"/>
      <c r="AP289" s="237"/>
      <c r="AQ289" s="228"/>
      <c r="AR289" s="232"/>
      <c r="AS289" s="228"/>
      <c r="AT289" s="229"/>
      <c r="AU289" s="229"/>
      <c r="AV289" s="229"/>
      <c r="AW289" s="229"/>
      <c r="AX289" s="229"/>
      <c r="AY289" s="229"/>
      <c r="AZ289" s="238"/>
      <c r="BA289" s="1" t="s">
        <v>7684</v>
      </c>
      <c r="BB289"/>
      <c r="BC289">
        <v>60</v>
      </c>
      <c r="BD289">
        <v>1462</v>
      </c>
      <c r="BE28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89" s="240">
        <f>COUNTIFS(_05preva_view43[Site ID],_05preva_view43[[#This Row],[Site ID]],_05preva_view43[Prevalidation Status],"Under Prevalidation")</f>
        <v>0</v>
      </c>
      <c r="BG28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89" s="242" t="str">
        <f>CONCATENATE(_05preva_view43[[#This Row],[Site ID]]," (",_05preva_view43[[#This Row],[tenant id]],") Application",IF(_05preva_view43[[#This Row],[Colo Rev]]&gt;0," Rev "&amp;_05preva_view43[[#This Row],[Colo Rev]],""),".xlsx")</f>
        <v>ANMG_0027 (MWW3486) Application.xlsx</v>
      </c>
      <c r="BI289" s="64" t="e">
        <f t="shared" ca="1" si="5"/>
        <v>#VALUE!</v>
      </c>
      <c r="BJ289" s="104" t="e">
        <f ca="1">LEFT(CELL("filename",A274),_05preva_view43[[#This Row],[Find Process &amp; Database]]-1)</f>
        <v>#VALUE!</v>
      </c>
      <c r="BK289" s="104" t="e">
        <f ca="1">_05preva_view43[Folder Path1]&amp;"Process &amp; Database\Documentation\Colo Applications"</f>
        <v>#VALUE!</v>
      </c>
      <c r="BL289" s="104" t="e">
        <f ca="1">_05preva_view43[Folder Path2]&amp;"\Colo App "&amp;_05preva_view43[[#This Row],[Operator]]&amp;"\"</f>
        <v>#VALUE!</v>
      </c>
      <c r="BM289" s="63" t="e">
        <f ca="1">_05preva_view43[[#This Row],[Folder Path3]]&amp;_05preva_view43[[#This Row],[File Name]]</f>
        <v>#VALUE!</v>
      </c>
      <c r="BN289" s="104"/>
      <c r="CF289" s="5"/>
      <c r="CG289" s="5"/>
      <c r="CH289" s="3"/>
      <c r="CJ289" s="5"/>
      <c r="CN289" s="3"/>
      <c r="CO289" s="3"/>
      <c r="CP289" s="5"/>
      <c r="CR289" s="3"/>
      <c r="DN289" s="5"/>
      <c r="DP289" s="3"/>
      <c r="EB289" s="7"/>
      <c r="EC289" s="7"/>
      <c r="EF289" s="4"/>
      <c r="EG289" s="4"/>
      <c r="EQ289" s="2"/>
      <c r="ER289" s="2"/>
    </row>
    <row r="290" spans="1:148">
      <c r="A290" s="227">
        <v>249</v>
      </c>
      <c r="B290" s="228" t="s">
        <v>576</v>
      </c>
      <c r="C290" s="228" t="s">
        <v>116</v>
      </c>
      <c r="D290" s="228" t="s">
        <v>117</v>
      </c>
      <c r="E290" s="228" t="s">
        <v>577</v>
      </c>
      <c r="F290" s="228" t="s">
        <v>40</v>
      </c>
      <c r="G290" s="228" t="s">
        <v>1289</v>
      </c>
      <c r="H290" s="228" t="s">
        <v>1290</v>
      </c>
      <c r="I290" s="228" t="s">
        <v>118</v>
      </c>
      <c r="J290" s="228"/>
      <c r="K290" s="229">
        <v>43273</v>
      </c>
      <c r="L290" s="230"/>
      <c r="M290" s="230">
        <v>3</v>
      </c>
      <c r="N290" s="228">
        <v>6</v>
      </c>
      <c r="O290" s="228" t="s">
        <v>119</v>
      </c>
      <c r="P290" s="231"/>
      <c r="Q290" s="231"/>
      <c r="R290" s="228" t="s">
        <v>24</v>
      </c>
      <c r="S290" s="228"/>
      <c r="T290" s="232" t="s">
        <v>120</v>
      </c>
      <c r="U290" s="228" t="s">
        <v>573</v>
      </c>
      <c r="V290" s="232" t="s">
        <v>120</v>
      </c>
      <c r="W290" s="228"/>
      <c r="X290" s="232" t="s">
        <v>120</v>
      </c>
      <c r="Y290" s="228" t="s">
        <v>320</v>
      </c>
      <c r="Z290" s="233" t="s">
        <v>120</v>
      </c>
      <c r="AA290" s="234"/>
      <c r="AB290" s="234"/>
      <c r="AC290" s="235" t="s">
        <v>123</v>
      </c>
      <c r="AD290" s="228"/>
      <c r="AE290" s="232" t="s">
        <v>125</v>
      </c>
      <c r="AF290" s="229"/>
      <c r="AG290" s="236"/>
      <c r="AH290" s="236"/>
      <c r="AI290" s="228" t="s">
        <v>208</v>
      </c>
      <c r="AJ290" s="232" t="s">
        <v>120</v>
      </c>
      <c r="AK290" s="228" t="s">
        <v>123</v>
      </c>
      <c r="AL290" s="228" t="s">
        <v>546</v>
      </c>
      <c r="AM290" s="232"/>
      <c r="AN290" s="228"/>
      <c r="AO290" s="228"/>
      <c r="AP290" s="237"/>
      <c r="AQ290" s="228"/>
      <c r="AR290" s="232"/>
      <c r="AS290" s="228"/>
      <c r="AT290" s="229"/>
      <c r="AU290" s="229"/>
      <c r="AV290" s="229"/>
      <c r="AW290" s="229"/>
      <c r="AX290" s="229"/>
      <c r="AY290" s="229"/>
      <c r="AZ290" s="238"/>
      <c r="BA290" s="1" t="s">
        <v>7684</v>
      </c>
      <c r="BB290"/>
      <c r="BC290">
        <v>60</v>
      </c>
      <c r="BD290">
        <v>344</v>
      </c>
      <c r="BE29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90" s="240">
        <f>COUNTIFS(_05preva_view43[Site ID],_05preva_view43[[#This Row],[Site ID]],_05preva_view43[Prevalidation Status],"Under Prevalidation")</f>
        <v>0</v>
      </c>
      <c r="BG29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0" s="242" t="str">
        <f>CONCATENATE(_05preva_view43[[#This Row],[Site ID]]," (",_05preva_view43[[#This Row],[tenant id]],") Application",IF(_05preva_view43[[#This Row],[Colo Rev]]&gt;0," Rev "&amp;_05preva_view43[[#This Row],[Colo Rev]],""),".xlsx")</f>
        <v>ANSH_0013 (SHW1978) Application.xlsx</v>
      </c>
      <c r="BI290" s="64" t="e">
        <f t="shared" ca="1" si="5"/>
        <v>#VALUE!</v>
      </c>
      <c r="BJ290" s="104" t="e">
        <f ca="1">LEFT(CELL("filename",A275),_05preva_view43[[#This Row],[Find Process &amp; Database]]-1)</f>
        <v>#VALUE!</v>
      </c>
      <c r="BK290" s="104" t="e">
        <f ca="1">_05preva_view43[Folder Path1]&amp;"Process &amp; Database\Documentation\Colo Applications"</f>
        <v>#VALUE!</v>
      </c>
      <c r="BL290" s="104" t="e">
        <f ca="1">_05preva_view43[Folder Path2]&amp;"\Colo App "&amp;_05preva_view43[[#This Row],[Operator]]&amp;"\"</f>
        <v>#VALUE!</v>
      </c>
      <c r="BM290" s="63" t="e">
        <f ca="1">_05preva_view43[[#This Row],[Folder Path3]]&amp;_05preva_view43[[#This Row],[File Name]]</f>
        <v>#VALUE!</v>
      </c>
      <c r="BN290" s="104"/>
      <c r="CF290" s="5"/>
      <c r="CG290" s="5"/>
      <c r="CH290" s="3"/>
      <c r="CJ290" s="5"/>
      <c r="CN290" s="3"/>
      <c r="CO290" s="3"/>
      <c r="CP290" s="5"/>
      <c r="CR290" s="3"/>
      <c r="DN290" s="5"/>
      <c r="DP290" s="3"/>
      <c r="EB290" s="7"/>
      <c r="EC290" s="7"/>
      <c r="EF290" s="4"/>
      <c r="EG290" s="4"/>
      <c r="EQ290" s="2"/>
      <c r="ER290" s="2"/>
    </row>
    <row r="291" spans="1:148">
      <c r="A291" s="227">
        <v>250</v>
      </c>
      <c r="B291" s="228" t="s">
        <v>578</v>
      </c>
      <c r="C291" s="228" t="s">
        <v>116</v>
      </c>
      <c r="D291" s="228" t="s">
        <v>153</v>
      </c>
      <c r="E291" s="228" t="s">
        <v>579</v>
      </c>
      <c r="F291" s="228" t="s">
        <v>41</v>
      </c>
      <c r="G291" s="228" t="s">
        <v>1286</v>
      </c>
      <c r="H291" s="228" t="s">
        <v>1290</v>
      </c>
      <c r="I291" s="228" t="s">
        <v>118</v>
      </c>
      <c r="J291" s="228"/>
      <c r="K291" s="229">
        <v>43273</v>
      </c>
      <c r="L291" s="230"/>
      <c r="M291" s="230">
        <v>1.9</v>
      </c>
      <c r="N291" s="228">
        <v>3</v>
      </c>
      <c r="O291" s="228" t="s">
        <v>119</v>
      </c>
      <c r="P291" s="231" t="s">
        <v>580</v>
      </c>
      <c r="Q291" s="231" t="s">
        <v>581</v>
      </c>
      <c r="R291" s="228" t="s">
        <v>24</v>
      </c>
      <c r="S291" s="228"/>
      <c r="T291" s="232" t="s">
        <v>120</v>
      </c>
      <c r="U291" s="228" t="s">
        <v>582</v>
      </c>
      <c r="V291" s="232" t="s">
        <v>120</v>
      </c>
      <c r="W291" s="228"/>
      <c r="X291" s="232" t="s">
        <v>120</v>
      </c>
      <c r="Y291" s="228" t="s">
        <v>120</v>
      </c>
      <c r="Z291" s="233" t="s">
        <v>120</v>
      </c>
      <c r="AA291" s="234"/>
      <c r="AB291" s="234"/>
      <c r="AC291" s="235" t="s">
        <v>123</v>
      </c>
      <c r="AD291" s="228" t="s">
        <v>583</v>
      </c>
      <c r="AE291" s="232" t="s">
        <v>120</v>
      </c>
      <c r="AF291" s="229" t="s">
        <v>585</v>
      </c>
      <c r="AG291" s="236"/>
      <c r="AH291" s="236"/>
      <c r="AI291" s="228" t="s">
        <v>586</v>
      </c>
      <c r="AJ291" s="232" t="s">
        <v>120</v>
      </c>
      <c r="AK291" s="228" t="s">
        <v>206</v>
      </c>
      <c r="AL291" s="228" t="s">
        <v>584</v>
      </c>
      <c r="AM291" s="232"/>
      <c r="AN291" s="228"/>
      <c r="AO291" s="228"/>
      <c r="AP291" s="237"/>
      <c r="AQ291" s="228"/>
      <c r="AR291" s="232"/>
      <c r="AS291" s="228"/>
      <c r="AT291" s="229"/>
      <c r="AU291" s="229">
        <v>43453.3790876157</v>
      </c>
      <c r="AV291" s="229"/>
      <c r="AW291" s="229"/>
      <c r="AX291" s="229"/>
      <c r="AY291" s="229"/>
      <c r="AZ291" s="238">
        <v>43273</v>
      </c>
      <c r="BA291" s="1" t="s">
        <v>7691</v>
      </c>
      <c r="BB291"/>
      <c r="BC291">
        <v>6</v>
      </c>
      <c r="BD291">
        <v>1699</v>
      </c>
      <c r="BE29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91" s="240">
        <f>COUNTIFS(_05preva_view43[Site ID],_05preva_view43[[#This Row],[Site ID]],_05preva_view43[Prevalidation Status],"Under Prevalidation")</f>
        <v>0</v>
      </c>
      <c r="BG29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1" s="242" t="str">
        <f>CONCATENATE(_05preva_view43[[#This Row],[Site ID]]," (",_05preva_view43[[#This Row],[tenant id]],") Application",IF(_05preva_view43[[#This Row],[Colo Rev]]&gt;0," Rev "&amp;_05preva_view43[[#This Row],[Colo Rev]],""),".xlsx")</f>
        <v>AYYN_0419 (YGNKTDA015) Application.xlsx</v>
      </c>
      <c r="BI291" s="64" t="e">
        <f t="shared" ca="1" si="5"/>
        <v>#VALUE!</v>
      </c>
      <c r="BJ291" s="104" t="e">
        <f ca="1">LEFT(CELL("filename",A276),_05preva_view43[[#This Row],[Find Process &amp; Database]]-1)</f>
        <v>#VALUE!</v>
      </c>
      <c r="BK291" s="104" t="e">
        <f ca="1">_05preva_view43[Folder Path1]&amp;"Process &amp; Database\Documentation\Colo Applications"</f>
        <v>#VALUE!</v>
      </c>
      <c r="BL291" s="104" t="e">
        <f ca="1">_05preva_view43[Folder Path2]&amp;"\Colo App "&amp;_05preva_view43[[#This Row],[Operator]]&amp;"\"</f>
        <v>#VALUE!</v>
      </c>
      <c r="BM291" s="63" t="e">
        <f ca="1">_05preva_view43[[#This Row],[Folder Path3]]&amp;_05preva_view43[[#This Row],[File Name]]</f>
        <v>#VALUE!</v>
      </c>
      <c r="BN291" s="104"/>
      <c r="CF291" s="5"/>
      <c r="CG291" s="5"/>
      <c r="CH291" s="3"/>
      <c r="CJ291" s="5"/>
      <c r="CN291" s="3"/>
      <c r="CO291" s="3"/>
      <c r="CP291" s="5"/>
      <c r="CR291" s="3"/>
      <c r="DN291" s="5"/>
      <c r="DP291" s="3"/>
      <c r="EB291" s="7"/>
      <c r="EC291" s="7"/>
      <c r="EF291" s="4"/>
      <c r="EG291" s="4"/>
      <c r="EQ291" s="2"/>
      <c r="ER291" s="2"/>
    </row>
    <row r="292" spans="1:148">
      <c r="A292" s="227">
        <v>251</v>
      </c>
      <c r="B292" s="228" t="s">
        <v>587</v>
      </c>
      <c r="C292" s="228" t="s">
        <v>116</v>
      </c>
      <c r="D292" s="228" t="s">
        <v>153</v>
      </c>
      <c r="E292" s="228" t="s">
        <v>588</v>
      </c>
      <c r="F292" s="228" t="s">
        <v>34</v>
      </c>
      <c r="G292" s="228" t="s">
        <v>1284</v>
      </c>
      <c r="H292" s="228" t="s">
        <v>1285</v>
      </c>
      <c r="I292" s="228" t="s">
        <v>118</v>
      </c>
      <c r="J292" s="228"/>
      <c r="K292" s="229">
        <v>43267</v>
      </c>
      <c r="L292" s="230"/>
      <c r="M292" s="230">
        <v>2</v>
      </c>
      <c r="N292" s="228">
        <v>6</v>
      </c>
      <c r="O292" s="228" t="s">
        <v>119</v>
      </c>
      <c r="P292" s="231" t="s">
        <v>280</v>
      </c>
      <c r="Q292" s="231" t="s">
        <v>281</v>
      </c>
      <c r="R292" s="228" t="s">
        <v>24</v>
      </c>
      <c r="S292" s="228"/>
      <c r="T292" s="232" t="s">
        <v>120</v>
      </c>
      <c r="U292" s="228" t="s">
        <v>589</v>
      </c>
      <c r="V292" s="232" t="s">
        <v>120</v>
      </c>
      <c r="W292" s="228"/>
      <c r="X292" s="232" t="s">
        <v>120</v>
      </c>
      <c r="Y292" s="228" t="s">
        <v>120</v>
      </c>
      <c r="Z292" s="233" t="s">
        <v>120</v>
      </c>
      <c r="AA292" s="234"/>
      <c r="AB292" s="234"/>
      <c r="AC292" s="235" t="s">
        <v>123</v>
      </c>
      <c r="AD292" s="228"/>
      <c r="AE292" s="232" t="s">
        <v>120</v>
      </c>
      <c r="AF292" s="229" t="s">
        <v>499</v>
      </c>
      <c r="AG292" s="236"/>
      <c r="AH292" s="236">
        <v>2</v>
      </c>
      <c r="AI292" s="228" t="s">
        <v>590</v>
      </c>
      <c r="AJ292" s="232" t="s">
        <v>120</v>
      </c>
      <c r="AK292" s="228" t="s">
        <v>123</v>
      </c>
      <c r="AL292" s="228"/>
      <c r="AM292" s="232"/>
      <c r="AN292" s="228"/>
      <c r="AO292" s="228"/>
      <c r="AP292" s="237"/>
      <c r="AQ292" s="228"/>
      <c r="AR292" s="232"/>
      <c r="AS292" s="228"/>
      <c r="AT292" s="229">
        <v>43417.626841782403</v>
      </c>
      <c r="AU292" s="229">
        <v>43417.673045254603</v>
      </c>
      <c r="AV292" s="229">
        <v>43417.680086458298</v>
      </c>
      <c r="AW292" s="229">
        <v>43417.711250578701</v>
      </c>
      <c r="AX292" s="229">
        <v>43417.688152893497</v>
      </c>
      <c r="AY292" s="229">
        <v>43417.6845791667</v>
      </c>
      <c r="AZ292" s="238">
        <v>43454.726610648097</v>
      </c>
      <c r="BA292" s="1" t="s">
        <v>7695</v>
      </c>
      <c r="BB292"/>
      <c r="BC292">
        <v>30</v>
      </c>
      <c r="BD292">
        <v>82</v>
      </c>
      <c r="BE292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187.72661064809654</v>
      </c>
      <c r="BF292" s="240">
        <f>COUNTIFS(_05preva_view43[Site ID],_05preva_view43[[#This Row],[Site ID]],_05preva_view43[Prevalidation Status],"Under Prevalidation")</f>
        <v>0</v>
      </c>
      <c r="BG29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2" s="242" t="str">
        <f>CONCATENATE(_05preva_view43[[#This Row],[Site ID]]," (",_05preva_view43[[#This Row],[tenant id]],") Application",IF(_05preva_view43[[#This Row],[Colo Rev]]&gt;0," Rev "&amp;_05preva_view43[[#This Row],[Colo Rev]],""),".xlsx")</f>
        <v>AYYN_0100 (YGN0496) Application.xlsx</v>
      </c>
      <c r="BI292" s="64" t="e">
        <f t="shared" ca="1" si="5"/>
        <v>#VALUE!</v>
      </c>
      <c r="BJ292" s="104" t="e">
        <f ca="1">LEFT(CELL("filename",A277),_05preva_view43[[#This Row],[Find Process &amp; Database]]-1)</f>
        <v>#VALUE!</v>
      </c>
      <c r="BK292" s="104" t="e">
        <f ca="1">_05preva_view43[Folder Path1]&amp;"Process &amp; Database\Documentation\Colo Applications"</f>
        <v>#VALUE!</v>
      </c>
      <c r="BL292" s="104" t="e">
        <f ca="1">_05preva_view43[Folder Path2]&amp;"\Colo App "&amp;_05preva_view43[[#This Row],[Operator]]&amp;"\"</f>
        <v>#VALUE!</v>
      </c>
      <c r="BM292" s="63" t="e">
        <f ca="1">_05preva_view43[[#This Row],[Folder Path3]]&amp;_05preva_view43[[#This Row],[File Name]]</f>
        <v>#VALUE!</v>
      </c>
      <c r="BN292" s="104"/>
      <c r="CF292" s="5"/>
      <c r="CG292" s="5"/>
      <c r="CH292" s="3"/>
      <c r="CJ292" s="5"/>
      <c r="CN292" s="3"/>
      <c r="CO292" s="3"/>
      <c r="CP292" s="5"/>
      <c r="CR292" s="3"/>
      <c r="DN292" s="5"/>
      <c r="DP292" s="3"/>
      <c r="EB292" s="7"/>
      <c r="EC292" s="7"/>
      <c r="EF292" s="4"/>
      <c r="EG292" s="4"/>
      <c r="EQ292" s="2"/>
      <c r="ER292" s="2"/>
    </row>
    <row r="293" spans="1:148">
      <c r="A293" s="227">
        <v>244</v>
      </c>
      <c r="B293" s="228" t="s">
        <v>446</v>
      </c>
      <c r="C293" s="228" t="s">
        <v>116</v>
      </c>
      <c r="D293" s="228" t="s">
        <v>127</v>
      </c>
      <c r="E293" s="228" t="s">
        <v>566</v>
      </c>
      <c r="F293" s="228" t="s">
        <v>41</v>
      </c>
      <c r="G293" s="228" t="s">
        <v>1286</v>
      </c>
      <c r="H293" s="228" t="s">
        <v>1290</v>
      </c>
      <c r="I293" s="228" t="s">
        <v>118</v>
      </c>
      <c r="J293" s="228"/>
      <c r="K293" s="229">
        <v>43265</v>
      </c>
      <c r="L293" s="230"/>
      <c r="M293" s="230">
        <v>2</v>
      </c>
      <c r="N293" s="228">
        <v>5</v>
      </c>
      <c r="O293" s="228" t="s">
        <v>119</v>
      </c>
      <c r="P293" s="231" t="s">
        <v>567</v>
      </c>
      <c r="Q293" s="231" t="s">
        <v>568</v>
      </c>
      <c r="R293" s="228" t="s">
        <v>24</v>
      </c>
      <c r="S293" s="228" t="s">
        <v>569</v>
      </c>
      <c r="T293" s="232" t="s">
        <v>120</v>
      </c>
      <c r="U293" s="228" t="s">
        <v>570</v>
      </c>
      <c r="V293" s="232" t="s">
        <v>120</v>
      </c>
      <c r="W293" s="228"/>
      <c r="X293" s="232" t="s">
        <v>120</v>
      </c>
      <c r="Y293" s="228" t="s">
        <v>120</v>
      </c>
      <c r="Z293" s="233" t="s">
        <v>120</v>
      </c>
      <c r="AA293" s="234"/>
      <c r="AB293" s="234"/>
      <c r="AC293" s="235" t="s">
        <v>123</v>
      </c>
      <c r="AD293" s="228" t="s">
        <v>293</v>
      </c>
      <c r="AE293" s="232" t="s">
        <v>120</v>
      </c>
      <c r="AF293" s="229" t="s">
        <v>448</v>
      </c>
      <c r="AG293" s="236"/>
      <c r="AH293" s="236">
        <v>2</v>
      </c>
      <c r="AI293" s="228" t="s">
        <v>381</v>
      </c>
      <c r="AJ293" s="232"/>
      <c r="AK293" s="228"/>
      <c r="AL293" s="228"/>
      <c r="AM293" s="232"/>
      <c r="AN293" s="228"/>
      <c r="AO293" s="228"/>
      <c r="AP293" s="237"/>
      <c r="AQ293" s="228"/>
      <c r="AR293" s="232"/>
      <c r="AS293" s="228"/>
      <c r="AT293" s="229"/>
      <c r="AU293" s="229">
        <v>43453.379085185203</v>
      </c>
      <c r="AV293" s="229"/>
      <c r="AW293" s="229"/>
      <c r="AX293" s="229"/>
      <c r="AY293" s="229"/>
      <c r="AZ293" s="238">
        <v>43265</v>
      </c>
      <c r="BA293" s="1" t="s">
        <v>7691</v>
      </c>
      <c r="BB293"/>
      <c r="BC293">
        <v>6</v>
      </c>
      <c r="BD293">
        <v>1875</v>
      </c>
      <c r="BE29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93" s="240">
        <f>COUNTIFS(_05preva_view43[Site ID],_05preva_view43[[#This Row],[Site ID]],_05preva_view43[Prevalidation Status],"Under Prevalidation")</f>
        <v>0</v>
      </c>
      <c r="BG29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3" s="242" t="str">
        <f>CONCATENATE(_05preva_view43[[#This Row],[Site ID]]," (",_05preva_view43[[#This Row],[tenant id]],") Application",IF(_05preva_view43[[#This Row],[Colo Rev]]&gt;0," Rev "&amp;_05preva_view43[[#This Row],[Colo Rev]],""),".xlsx")</f>
        <v>ANMD_0118 (MDYMHAM042) Application.xlsx</v>
      </c>
      <c r="BI293" s="64" t="e">
        <f t="shared" ca="1" si="5"/>
        <v>#VALUE!</v>
      </c>
      <c r="BJ293" s="104" t="e">
        <f ca="1">LEFT(CELL("filename",A278),_05preva_view43[[#This Row],[Find Process &amp; Database]]-1)</f>
        <v>#VALUE!</v>
      </c>
      <c r="BK293" s="104" t="e">
        <f ca="1">_05preva_view43[Folder Path1]&amp;"Process &amp; Database\Documentation\Colo Applications"</f>
        <v>#VALUE!</v>
      </c>
      <c r="BL293" s="104" t="e">
        <f ca="1">_05preva_view43[Folder Path2]&amp;"\Colo App "&amp;_05preva_view43[[#This Row],[Operator]]&amp;"\"</f>
        <v>#VALUE!</v>
      </c>
      <c r="BM293" s="63" t="e">
        <f ca="1">_05preva_view43[[#This Row],[Folder Path3]]&amp;_05preva_view43[[#This Row],[File Name]]</f>
        <v>#VALUE!</v>
      </c>
      <c r="BN293" s="104"/>
      <c r="CF293" s="5"/>
      <c r="CG293" s="5"/>
      <c r="CH293" s="3"/>
      <c r="CJ293" s="5"/>
      <c r="CN293" s="3"/>
      <c r="CO293" s="3"/>
      <c r="CP293" s="5"/>
      <c r="CR293" s="3"/>
      <c r="DN293" s="5"/>
      <c r="DP293" s="3"/>
      <c r="EB293" s="7"/>
      <c r="EC293" s="7"/>
      <c r="EF293" s="4"/>
      <c r="EG293" s="4"/>
      <c r="EQ293" s="2"/>
      <c r="ER293" s="2"/>
    </row>
    <row r="294" spans="1:148">
      <c r="A294" s="227">
        <v>242</v>
      </c>
      <c r="B294" s="228" t="s">
        <v>560</v>
      </c>
      <c r="C294" s="228" t="s">
        <v>116</v>
      </c>
      <c r="D294" s="228" t="s">
        <v>127</v>
      </c>
      <c r="E294" s="228" t="s">
        <v>561</v>
      </c>
      <c r="F294" s="228" t="s">
        <v>41</v>
      </c>
      <c r="G294" s="228" t="s">
        <v>118</v>
      </c>
      <c r="H294" s="228"/>
      <c r="I294" s="228" t="s">
        <v>118</v>
      </c>
      <c r="J294" s="228"/>
      <c r="K294" s="229">
        <v>43263</v>
      </c>
      <c r="L294" s="230"/>
      <c r="M294" s="230">
        <v>2</v>
      </c>
      <c r="N294" s="228">
        <v>5</v>
      </c>
      <c r="O294" s="228" t="s">
        <v>119</v>
      </c>
      <c r="P294" s="231" t="s">
        <v>247</v>
      </c>
      <c r="Q294" s="231" t="s">
        <v>227</v>
      </c>
      <c r="R294" s="228" t="s">
        <v>24</v>
      </c>
      <c r="S294" s="228" t="s">
        <v>562</v>
      </c>
      <c r="T294" s="232" t="s">
        <v>120</v>
      </c>
      <c r="U294" s="228" t="s">
        <v>563</v>
      </c>
      <c r="V294" s="232" t="s">
        <v>120</v>
      </c>
      <c r="W294" s="228"/>
      <c r="X294" s="232" t="s">
        <v>120</v>
      </c>
      <c r="Y294" s="228" t="s">
        <v>120</v>
      </c>
      <c r="Z294" s="233" t="s">
        <v>120</v>
      </c>
      <c r="AA294" s="234"/>
      <c r="AB294" s="234"/>
      <c r="AC294" s="235" t="s">
        <v>123</v>
      </c>
      <c r="AD294" s="228" t="s">
        <v>293</v>
      </c>
      <c r="AE294" s="232" t="s">
        <v>120</v>
      </c>
      <c r="AF294" s="229" t="s">
        <v>564</v>
      </c>
      <c r="AG294" s="236"/>
      <c r="AH294" s="236"/>
      <c r="AI294" s="228" t="s">
        <v>565</v>
      </c>
      <c r="AJ294" s="232"/>
      <c r="AK294" s="228"/>
      <c r="AL294" s="228"/>
      <c r="AM294" s="232"/>
      <c r="AN294" s="228"/>
      <c r="AO294" s="228"/>
      <c r="AP294" s="237"/>
      <c r="AQ294" s="228"/>
      <c r="AR294" s="232"/>
      <c r="AS294" s="228"/>
      <c r="AT294" s="229"/>
      <c r="AU294" s="229">
        <v>43453.379084490698</v>
      </c>
      <c r="AV294" s="229"/>
      <c r="AW294" s="229"/>
      <c r="AX294" s="229"/>
      <c r="AY294" s="229"/>
      <c r="AZ294" s="238">
        <v>43263</v>
      </c>
      <c r="BA294" s="1" t="s">
        <v>7691</v>
      </c>
      <c r="BB294"/>
      <c r="BC294">
        <v>6</v>
      </c>
      <c r="BD294">
        <v>1890</v>
      </c>
      <c r="BE29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94" s="240">
        <f>COUNTIFS(_05preva_view43[Site ID],_05preva_view43[[#This Row],[Site ID]],_05preva_view43[Prevalidation Status],"Under Prevalidation")</f>
        <v>0</v>
      </c>
      <c r="BG29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4" s="242" t="str">
        <f>CONCATENATE(_05preva_view43[[#This Row],[Site ID]]," (",_05preva_view43[[#This Row],[tenant id]],") Application",IF(_05preva_view43[[#This Row],[Colo Rev]]&gt;0," Rev "&amp;_05preva_view43[[#This Row],[Colo Rev]],""),".xlsx")</f>
        <v>ANMD_0089 (MDYCMTN019_2) Application.xlsx</v>
      </c>
      <c r="BI294" s="64" t="e">
        <f t="shared" ca="1" si="5"/>
        <v>#VALUE!</v>
      </c>
      <c r="BJ294" s="104" t="e">
        <f ca="1">LEFT(CELL("filename",A279),_05preva_view43[[#This Row],[Find Process &amp; Database]]-1)</f>
        <v>#VALUE!</v>
      </c>
      <c r="BK294" s="104" t="e">
        <f ca="1">_05preva_view43[Folder Path1]&amp;"Process &amp; Database\Documentation\Colo Applications"</f>
        <v>#VALUE!</v>
      </c>
      <c r="BL294" s="104" t="e">
        <f ca="1">_05preva_view43[Folder Path2]&amp;"\Colo App "&amp;_05preva_view43[[#This Row],[Operator]]&amp;"\"</f>
        <v>#VALUE!</v>
      </c>
      <c r="BM294" s="63" t="e">
        <f ca="1">_05preva_view43[[#This Row],[Folder Path3]]&amp;_05preva_view43[[#This Row],[File Name]]</f>
        <v>#VALUE!</v>
      </c>
      <c r="BN294" s="104"/>
      <c r="CF294" s="5"/>
      <c r="CG294" s="5"/>
      <c r="CH294" s="3"/>
      <c r="CJ294" s="5"/>
      <c r="CN294" s="3"/>
      <c r="CO294" s="3"/>
      <c r="CP294" s="5"/>
      <c r="CR294" s="3"/>
      <c r="DN294" s="5"/>
      <c r="DP294" s="3"/>
      <c r="EB294" s="7"/>
      <c r="EC294" s="7"/>
      <c r="EF294" s="4"/>
      <c r="EG294" s="4"/>
      <c r="EQ294" s="2"/>
      <c r="ER294" s="2"/>
    </row>
    <row r="295" spans="1:148">
      <c r="A295" s="227">
        <v>239</v>
      </c>
      <c r="B295" s="228" t="s">
        <v>554</v>
      </c>
      <c r="C295" s="228" t="s">
        <v>116</v>
      </c>
      <c r="D295" s="228" t="s">
        <v>117</v>
      </c>
      <c r="E295" s="228" t="s">
        <v>555</v>
      </c>
      <c r="F295" s="228" t="s">
        <v>40</v>
      </c>
      <c r="G295" s="228" t="s">
        <v>118</v>
      </c>
      <c r="H295" s="228"/>
      <c r="I295" s="228" t="s">
        <v>118</v>
      </c>
      <c r="J295" s="228"/>
      <c r="K295" s="229">
        <v>43257</v>
      </c>
      <c r="L295" s="230"/>
      <c r="M295" s="230">
        <v>3</v>
      </c>
      <c r="N295" s="228">
        <v>6</v>
      </c>
      <c r="O295" s="228" t="s">
        <v>119</v>
      </c>
      <c r="P295" s="231"/>
      <c r="Q295" s="231"/>
      <c r="R295" s="228" t="s">
        <v>24</v>
      </c>
      <c r="S295" s="228"/>
      <c r="T295" s="232" t="s">
        <v>120</v>
      </c>
      <c r="U295" s="228" t="s">
        <v>556</v>
      </c>
      <c r="V295" s="232" t="s">
        <v>120</v>
      </c>
      <c r="W295" s="228"/>
      <c r="X295" s="232" t="s">
        <v>120</v>
      </c>
      <c r="Y295" s="228" t="s">
        <v>320</v>
      </c>
      <c r="Z295" s="233" t="s">
        <v>120</v>
      </c>
      <c r="AA295" s="234"/>
      <c r="AB295" s="234"/>
      <c r="AC295" s="235" t="s">
        <v>123</v>
      </c>
      <c r="AD295" s="228" t="s">
        <v>325</v>
      </c>
      <c r="AE295" s="232" t="s">
        <v>125</v>
      </c>
      <c r="AF295" s="229"/>
      <c r="AG295" s="236"/>
      <c r="AH295" s="236"/>
      <c r="AI295" s="228" t="s">
        <v>399</v>
      </c>
      <c r="AJ295" s="232" t="s">
        <v>120</v>
      </c>
      <c r="AK295" s="228" t="s">
        <v>123</v>
      </c>
      <c r="AL295" s="228" t="s">
        <v>557</v>
      </c>
      <c r="AM295" s="232"/>
      <c r="AN295" s="228"/>
      <c r="AO295" s="228"/>
      <c r="AP295" s="237"/>
      <c r="AQ295" s="228"/>
      <c r="AR295" s="232"/>
      <c r="AS295" s="228"/>
      <c r="AT295" s="229"/>
      <c r="AU295" s="229"/>
      <c r="AV295" s="229"/>
      <c r="AW295" s="229"/>
      <c r="AX295" s="229"/>
      <c r="AY295" s="229"/>
      <c r="AZ295" s="238"/>
      <c r="BA295" s="1" t="s">
        <v>7684</v>
      </c>
      <c r="BB295"/>
      <c r="BC295">
        <v>60</v>
      </c>
      <c r="BD295">
        <v>1421</v>
      </c>
      <c r="BE29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95" s="240">
        <f>COUNTIFS(_05preva_view43[Site ID],_05preva_view43[[#This Row],[Site ID]],_05preva_view43[Prevalidation Status],"Under Prevalidation")</f>
        <v>0</v>
      </c>
      <c r="BG29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5" s="242" t="str">
        <f>CONCATENATE(_05preva_view43[[#This Row],[Site ID]]," (",_05preva_view43[[#This Row],[tenant id]],") Application",IF(_05preva_view43[[#This Row],[Colo Rev]]&gt;0," Rev "&amp;_05preva_view43[[#This Row],[Colo Rev]],""),".xlsx")</f>
        <v>ANMG_0011 (MWW3525) Application.xlsx</v>
      </c>
      <c r="BI295" s="64" t="e">
        <f t="shared" ca="1" si="5"/>
        <v>#VALUE!</v>
      </c>
      <c r="BJ295" s="104" t="e">
        <f ca="1">LEFT(CELL("filename",A280),_05preva_view43[[#This Row],[Find Process &amp; Database]]-1)</f>
        <v>#VALUE!</v>
      </c>
      <c r="BK295" s="104" t="e">
        <f ca="1">_05preva_view43[Folder Path1]&amp;"Process &amp; Database\Documentation\Colo Applications"</f>
        <v>#VALUE!</v>
      </c>
      <c r="BL295" s="104" t="e">
        <f ca="1">_05preva_view43[Folder Path2]&amp;"\Colo App "&amp;_05preva_view43[[#This Row],[Operator]]&amp;"\"</f>
        <v>#VALUE!</v>
      </c>
      <c r="BM295" s="63" t="e">
        <f ca="1">_05preva_view43[[#This Row],[Folder Path3]]&amp;_05preva_view43[[#This Row],[File Name]]</f>
        <v>#VALUE!</v>
      </c>
      <c r="BN295" s="104"/>
      <c r="CF295" s="5"/>
      <c r="CG295" s="5"/>
      <c r="CH295" s="3"/>
      <c r="CJ295" s="5"/>
      <c r="CN295" s="3"/>
      <c r="CO295" s="3"/>
      <c r="CP295" s="5"/>
      <c r="CR295" s="3"/>
      <c r="DN295" s="5"/>
      <c r="DP295" s="3"/>
      <c r="EB295" s="7"/>
      <c r="EC295" s="7"/>
      <c r="EF295" s="4"/>
      <c r="EG295" s="4"/>
      <c r="EQ295" s="2"/>
      <c r="ER295" s="2"/>
    </row>
    <row r="296" spans="1:148">
      <c r="A296" s="227">
        <v>240</v>
      </c>
      <c r="B296" s="228" t="s">
        <v>558</v>
      </c>
      <c r="C296" s="228" t="s">
        <v>116</v>
      </c>
      <c r="D296" s="228" t="s">
        <v>117</v>
      </c>
      <c r="E296" s="228" t="s">
        <v>559</v>
      </c>
      <c r="F296" s="228" t="s">
        <v>40</v>
      </c>
      <c r="G296" s="228" t="s">
        <v>1289</v>
      </c>
      <c r="H296" s="228" t="s">
        <v>1290</v>
      </c>
      <c r="I296" s="228" t="s">
        <v>118</v>
      </c>
      <c r="J296" s="228"/>
      <c r="K296" s="229">
        <v>43257</v>
      </c>
      <c r="L296" s="230"/>
      <c r="M296" s="230">
        <v>3</v>
      </c>
      <c r="N296" s="228">
        <v>6</v>
      </c>
      <c r="O296" s="228" t="s">
        <v>119</v>
      </c>
      <c r="P296" s="231"/>
      <c r="Q296" s="231"/>
      <c r="R296" s="228" t="s">
        <v>24</v>
      </c>
      <c r="S296" s="228"/>
      <c r="T296" s="232" t="s">
        <v>120</v>
      </c>
      <c r="U296" s="228" t="s">
        <v>556</v>
      </c>
      <c r="V296" s="232" t="s">
        <v>125</v>
      </c>
      <c r="W296" s="228" t="s">
        <v>212</v>
      </c>
      <c r="X296" s="232" t="s">
        <v>120</v>
      </c>
      <c r="Y296" s="228" t="s">
        <v>320</v>
      </c>
      <c r="Z296" s="233" t="s">
        <v>120</v>
      </c>
      <c r="AA296" s="234"/>
      <c r="AB296" s="234"/>
      <c r="AC296" s="235" t="s">
        <v>123</v>
      </c>
      <c r="AD296" s="228" t="s">
        <v>325</v>
      </c>
      <c r="AE296" s="232" t="s">
        <v>125</v>
      </c>
      <c r="AF296" s="229"/>
      <c r="AG296" s="236"/>
      <c r="AH296" s="236"/>
      <c r="AI296" s="228" t="s">
        <v>345</v>
      </c>
      <c r="AJ296" s="232" t="s">
        <v>120</v>
      </c>
      <c r="AK296" s="228" t="s">
        <v>123</v>
      </c>
      <c r="AL296" s="228" t="s">
        <v>553</v>
      </c>
      <c r="AM296" s="232"/>
      <c r="AN296" s="228"/>
      <c r="AO296" s="228"/>
      <c r="AP296" s="237"/>
      <c r="AQ296" s="228"/>
      <c r="AR296" s="232"/>
      <c r="AS296" s="228"/>
      <c r="AT296" s="229"/>
      <c r="AU296" s="229"/>
      <c r="AV296" s="229"/>
      <c r="AW296" s="229"/>
      <c r="AX296" s="229"/>
      <c r="AY296" s="229"/>
      <c r="AZ296" s="238"/>
      <c r="BA296" s="1" t="s">
        <v>7684</v>
      </c>
      <c r="BB296">
        <v>160</v>
      </c>
      <c r="BC296">
        <v>50</v>
      </c>
      <c r="BD296">
        <v>870</v>
      </c>
      <c r="BE29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96" s="240">
        <f>COUNTIFS(_05preva_view43[Site ID],_05preva_view43[[#This Row],[Site ID]],_05preva_view43[Prevalidation Status],"Under Prevalidation")</f>
        <v>0</v>
      </c>
      <c r="BG29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6" s="242" t="str">
        <f>CONCATENATE(_05preva_view43[[#This Row],[Site ID]]," (",_05preva_view43[[#This Row],[tenant id]],") Application",IF(_05preva_view43[[#This Row],[Colo Rev]]&gt;0," Rev "&amp;_05preva_view43[[#This Row],[Colo Rev]],""),".xlsx")</f>
        <v>ANMG_0113 (MWW3516) Application.xlsx</v>
      </c>
      <c r="BI296" s="64" t="e">
        <f t="shared" ca="1" si="5"/>
        <v>#VALUE!</v>
      </c>
      <c r="BJ296" s="104" t="e">
        <f ca="1">LEFT(CELL("filename",A281),_05preva_view43[[#This Row],[Find Process &amp; Database]]-1)</f>
        <v>#VALUE!</v>
      </c>
      <c r="BK296" s="104" t="e">
        <f ca="1">_05preva_view43[Folder Path1]&amp;"Process &amp; Database\Documentation\Colo Applications"</f>
        <v>#VALUE!</v>
      </c>
      <c r="BL296" s="104" t="e">
        <f ca="1">_05preva_view43[Folder Path2]&amp;"\Colo App "&amp;_05preva_view43[[#This Row],[Operator]]&amp;"\"</f>
        <v>#VALUE!</v>
      </c>
      <c r="BM296" s="63" t="e">
        <f ca="1">_05preva_view43[[#This Row],[Folder Path3]]&amp;_05preva_view43[[#This Row],[File Name]]</f>
        <v>#VALUE!</v>
      </c>
      <c r="BN296" s="104"/>
      <c r="CF296" s="5"/>
      <c r="CG296" s="5"/>
      <c r="CH296" s="3"/>
      <c r="CJ296" s="5"/>
      <c r="CN296" s="3"/>
      <c r="CO296" s="3"/>
      <c r="CP296" s="5"/>
      <c r="CR296" s="3"/>
      <c r="DN296" s="5"/>
      <c r="DP296" s="3"/>
      <c r="EB296" s="7"/>
      <c r="EC296" s="7"/>
      <c r="EF296" s="4"/>
      <c r="EG296" s="4"/>
      <c r="EQ296" s="2"/>
      <c r="ER296" s="2"/>
    </row>
    <row r="297" spans="1:148">
      <c r="A297" s="227">
        <v>241</v>
      </c>
      <c r="B297" s="228" t="s">
        <v>317</v>
      </c>
      <c r="C297" s="228" t="s">
        <v>116</v>
      </c>
      <c r="D297" s="228" t="s">
        <v>153</v>
      </c>
      <c r="E297" s="228" t="s">
        <v>318</v>
      </c>
      <c r="F297" s="228" t="s">
        <v>40</v>
      </c>
      <c r="G297" s="228" t="s">
        <v>118</v>
      </c>
      <c r="H297" s="228"/>
      <c r="I297" s="228" t="s">
        <v>118</v>
      </c>
      <c r="J297" s="228"/>
      <c r="K297" s="229">
        <v>43257</v>
      </c>
      <c r="L297" s="230"/>
      <c r="M297" s="230">
        <v>3</v>
      </c>
      <c r="N297" s="228">
        <v>6</v>
      </c>
      <c r="O297" s="228" t="s">
        <v>119</v>
      </c>
      <c r="P297" s="231"/>
      <c r="Q297" s="231"/>
      <c r="R297" s="228" t="s">
        <v>24</v>
      </c>
      <c r="S297" s="228"/>
      <c r="T297" s="232" t="s">
        <v>120</v>
      </c>
      <c r="U297" s="228" t="s">
        <v>556</v>
      </c>
      <c r="V297" s="232" t="s">
        <v>120</v>
      </c>
      <c r="W297" s="228"/>
      <c r="X297" s="232" t="s">
        <v>120</v>
      </c>
      <c r="Y297" s="228" t="s">
        <v>320</v>
      </c>
      <c r="Z297" s="233" t="s">
        <v>120</v>
      </c>
      <c r="AA297" s="234"/>
      <c r="AB297" s="234"/>
      <c r="AC297" s="235" t="s">
        <v>123</v>
      </c>
      <c r="AD297" s="228" t="s">
        <v>325</v>
      </c>
      <c r="AE297" s="232" t="s">
        <v>125</v>
      </c>
      <c r="AF297" s="229"/>
      <c r="AG297" s="236"/>
      <c r="AH297" s="236"/>
      <c r="AI297" s="228" t="s">
        <v>485</v>
      </c>
      <c r="AJ297" s="232" t="s">
        <v>120</v>
      </c>
      <c r="AK297" s="228" t="s">
        <v>123</v>
      </c>
      <c r="AL297" s="228"/>
      <c r="AM297" s="232"/>
      <c r="AN297" s="228"/>
      <c r="AO297" s="228"/>
      <c r="AP297" s="237"/>
      <c r="AQ297" s="228"/>
      <c r="AR297" s="232"/>
      <c r="AS297" s="228"/>
      <c r="AT297" s="229"/>
      <c r="AU297" s="229"/>
      <c r="AV297" s="229"/>
      <c r="AW297" s="229"/>
      <c r="AX297" s="229"/>
      <c r="AY297" s="229"/>
      <c r="AZ297" s="238"/>
      <c r="BA297" s="1" t="s">
        <v>7684</v>
      </c>
      <c r="BB297"/>
      <c r="BC297">
        <v>35</v>
      </c>
      <c r="BD297">
        <v>1326</v>
      </c>
      <c r="BE29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97" s="240">
        <f>COUNTIFS(_05preva_view43[Site ID],_05preva_view43[[#This Row],[Site ID]],_05preva_view43[Prevalidation Status],"Under Prevalidation")</f>
        <v>0</v>
      </c>
      <c r="BG29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7" s="242" t="str">
        <f>CONCATENATE(_05preva_view43[[#This Row],[Site ID]]," (",_05preva_view43[[#This Row],[tenant id]],") Application",IF(_05preva_view43[[#This Row],[Colo Rev]]&gt;0," Rev "&amp;_05preva_view43[[#This Row],[Colo Rev]],""),".xlsx")</f>
        <v>AYYN_0517 (YAW7769) Application.xlsx</v>
      </c>
      <c r="BI297" s="64" t="e">
        <f t="shared" ca="1" si="5"/>
        <v>#VALUE!</v>
      </c>
      <c r="BJ297" s="104" t="e">
        <f ca="1">LEFT(CELL("filename",A282),_05preva_view43[[#This Row],[Find Process &amp; Database]]-1)</f>
        <v>#VALUE!</v>
      </c>
      <c r="BK297" s="104" t="e">
        <f ca="1">_05preva_view43[Folder Path1]&amp;"Process &amp; Database\Documentation\Colo Applications"</f>
        <v>#VALUE!</v>
      </c>
      <c r="BL297" s="104" t="e">
        <f ca="1">_05preva_view43[Folder Path2]&amp;"\Colo App "&amp;_05preva_view43[[#This Row],[Operator]]&amp;"\"</f>
        <v>#VALUE!</v>
      </c>
      <c r="BM297" s="63" t="e">
        <f ca="1">_05preva_view43[[#This Row],[Folder Path3]]&amp;_05preva_view43[[#This Row],[File Name]]</f>
        <v>#VALUE!</v>
      </c>
      <c r="BN297" s="104"/>
      <c r="CF297" s="5"/>
      <c r="CG297" s="5"/>
      <c r="CH297" s="3"/>
      <c r="CJ297" s="5"/>
      <c r="CN297" s="3"/>
      <c r="CO297" s="3"/>
      <c r="CP297" s="5"/>
      <c r="CR297" s="3"/>
      <c r="DN297" s="5"/>
      <c r="DP297" s="3"/>
      <c r="EB297" s="7"/>
      <c r="EC297" s="7"/>
      <c r="EF297" s="4"/>
      <c r="EG297" s="4"/>
      <c r="EQ297" s="2"/>
      <c r="ER297" s="2"/>
    </row>
    <row r="298" spans="1:148">
      <c r="A298" s="227">
        <v>225</v>
      </c>
      <c r="B298" s="228" t="s">
        <v>524</v>
      </c>
      <c r="C298" s="228" t="s">
        <v>116</v>
      </c>
      <c r="D298" s="228" t="s">
        <v>127</v>
      </c>
      <c r="E298" s="228" t="s">
        <v>525</v>
      </c>
      <c r="F298" s="228" t="s">
        <v>41</v>
      </c>
      <c r="G298" s="228" t="s">
        <v>1286</v>
      </c>
      <c r="H298" s="228" t="s">
        <v>1290</v>
      </c>
      <c r="I298" s="228" t="s">
        <v>118</v>
      </c>
      <c r="J298" s="228"/>
      <c r="K298" s="229">
        <v>43250</v>
      </c>
      <c r="L298" s="230"/>
      <c r="M298" s="230">
        <v>2</v>
      </c>
      <c r="N298" s="228">
        <v>3</v>
      </c>
      <c r="O298" s="228" t="s">
        <v>119</v>
      </c>
      <c r="P298" s="231" t="s">
        <v>280</v>
      </c>
      <c r="Q298" s="231" t="s">
        <v>526</v>
      </c>
      <c r="R298" s="228" t="s">
        <v>24</v>
      </c>
      <c r="S298" s="228" t="s">
        <v>527</v>
      </c>
      <c r="T298" s="232" t="s">
        <v>120</v>
      </c>
      <c r="U298" s="228" t="s">
        <v>528</v>
      </c>
      <c r="V298" s="232" t="s">
        <v>120</v>
      </c>
      <c r="W298" s="228" t="s">
        <v>530</v>
      </c>
      <c r="X298" s="232" t="s">
        <v>120</v>
      </c>
      <c r="Y298" s="228" t="s">
        <v>120</v>
      </c>
      <c r="Z298" s="233" t="s">
        <v>120</v>
      </c>
      <c r="AA298" s="234"/>
      <c r="AB298" s="234"/>
      <c r="AC298" s="235" t="s">
        <v>123</v>
      </c>
      <c r="AD298" s="228" t="s">
        <v>293</v>
      </c>
      <c r="AE298" s="232" t="s">
        <v>229</v>
      </c>
      <c r="AF298" s="229"/>
      <c r="AG298" s="236"/>
      <c r="AH298" s="236"/>
      <c r="AI298" s="228" t="s">
        <v>529</v>
      </c>
      <c r="AJ298" s="232"/>
      <c r="AK298" s="228"/>
      <c r="AL298" s="228"/>
      <c r="AM298" s="232"/>
      <c r="AN298" s="228"/>
      <c r="AO298" s="228"/>
      <c r="AP298" s="237"/>
      <c r="AQ298" s="228"/>
      <c r="AR298" s="232"/>
      <c r="AS298" s="228"/>
      <c r="AT298" s="229"/>
      <c r="AU298" s="229">
        <v>43453.379072685202</v>
      </c>
      <c r="AV298" s="229"/>
      <c r="AW298" s="229"/>
      <c r="AX298" s="229"/>
      <c r="AY298" s="229"/>
      <c r="AZ298" s="238">
        <v>43250</v>
      </c>
      <c r="BA298" s="1" t="s">
        <v>7691</v>
      </c>
      <c r="BB298"/>
      <c r="BC298">
        <v>6</v>
      </c>
      <c r="BD298">
        <v>1868</v>
      </c>
      <c r="BE29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98" s="240">
        <f>COUNTIFS(_05preva_view43[Site ID],_05preva_view43[[#This Row],[Site ID]],_05preva_view43[Prevalidation Status],"Under Prevalidation")</f>
        <v>0</v>
      </c>
      <c r="BG29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8" s="242" t="str">
        <f>CONCATENATE(_05preva_view43[[#This Row],[Site ID]]," (",_05preva_view43[[#This Row],[tenant id]],") Application",IF(_05preva_view43[[#This Row],[Colo Rev]]&gt;0," Rev "&amp;_05preva_view43[[#This Row],[Colo Rev]],""),".xlsx")</f>
        <v>ANMD_0091 (MDYCMTN004) Application.xlsx</v>
      </c>
      <c r="BI298" s="64" t="e">
        <f t="shared" ca="1" si="5"/>
        <v>#VALUE!</v>
      </c>
      <c r="BJ298" s="104" t="e">
        <f ca="1">LEFT(CELL("filename",A283),_05preva_view43[[#This Row],[Find Process &amp; Database]]-1)</f>
        <v>#VALUE!</v>
      </c>
      <c r="BK298" s="104" t="e">
        <f ca="1">_05preva_view43[Folder Path1]&amp;"Process &amp; Database\Documentation\Colo Applications"</f>
        <v>#VALUE!</v>
      </c>
      <c r="BL298" s="104" t="e">
        <f ca="1">_05preva_view43[Folder Path2]&amp;"\Colo App "&amp;_05preva_view43[[#This Row],[Operator]]&amp;"\"</f>
        <v>#VALUE!</v>
      </c>
      <c r="BM298" s="63" t="e">
        <f ca="1">_05preva_view43[[#This Row],[Folder Path3]]&amp;_05preva_view43[[#This Row],[File Name]]</f>
        <v>#VALUE!</v>
      </c>
      <c r="BN298" s="104"/>
      <c r="CF298" s="5"/>
      <c r="CG298" s="5"/>
      <c r="CH298" s="3"/>
      <c r="CJ298" s="5"/>
      <c r="CN298" s="3"/>
      <c r="CO298" s="3"/>
      <c r="CP298" s="5"/>
      <c r="CR298" s="3"/>
      <c r="DN298" s="5"/>
      <c r="DP298" s="3"/>
      <c r="EB298" s="7"/>
      <c r="EC298" s="7"/>
      <c r="EF298" s="4"/>
      <c r="EG298" s="4"/>
      <c r="EQ298" s="2"/>
      <c r="ER298" s="2"/>
    </row>
    <row r="299" spans="1:148">
      <c r="A299" s="227">
        <v>227</v>
      </c>
      <c r="B299" s="228" t="s">
        <v>531</v>
      </c>
      <c r="C299" s="228" t="s">
        <v>116</v>
      </c>
      <c r="D299" s="228" t="s">
        <v>127</v>
      </c>
      <c r="E299" s="228" t="s">
        <v>532</v>
      </c>
      <c r="F299" s="228" t="s">
        <v>41</v>
      </c>
      <c r="G299" s="228" t="s">
        <v>1286</v>
      </c>
      <c r="H299" s="228" t="s">
        <v>1290</v>
      </c>
      <c r="I299" s="228" t="s">
        <v>118</v>
      </c>
      <c r="J299" s="228"/>
      <c r="K299" s="229">
        <v>43250</v>
      </c>
      <c r="L299" s="230"/>
      <c r="M299" s="230">
        <v>2</v>
      </c>
      <c r="N299" s="228">
        <v>3</v>
      </c>
      <c r="O299" s="228" t="s">
        <v>119</v>
      </c>
      <c r="P299" s="231" t="s">
        <v>526</v>
      </c>
      <c r="Q299" s="231" t="s">
        <v>533</v>
      </c>
      <c r="R299" s="228" t="s">
        <v>24</v>
      </c>
      <c r="S299" s="228" t="s">
        <v>534</v>
      </c>
      <c r="T299" s="232" t="s">
        <v>120</v>
      </c>
      <c r="U299" s="228" t="s">
        <v>528</v>
      </c>
      <c r="V299" s="232" t="s">
        <v>120</v>
      </c>
      <c r="W299" s="228"/>
      <c r="X299" s="232" t="s">
        <v>120</v>
      </c>
      <c r="Y299" s="228" t="s">
        <v>120</v>
      </c>
      <c r="Z299" s="233" t="s">
        <v>120</v>
      </c>
      <c r="AA299" s="234"/>
      <c r="AB299" s="234"/>
      <c r="AC299" s="235" t="s">
        <v>123</v>
      </c>
      <c r="AD299" s="228" t="s">
        <v>293</v>
      </c>
      <c r="AE299" s="232" t="s">
        <v>229</v>
      </c>
      <c r="AF299" s="229"/>
      <c r="AG299" s="236"/>
      <c r="AH299" s="236"/>
      <c r="AI299" s="228" t="s">
        <v>535</v>
      </c>
      <c r="AJ299" s="232"/>
      <c r="AK299" s="228"/>
      <c r="AL299" s="228"/>
      <c r="AM299" s="232"/>
      <c r="AN299" s="228"/>
      <c r="AO299" s="228"/>
      <c r="AP299" s="237"/>
      <c r="AQ299" s="228"/>
      <c r="AR299" s="232"/>
      <c r="AS299" s="228"/>
      <c r="AT299" s="229"/>
      <c r="AU299" s="229">
        <v>43453.379073726901</v>
      </c>
      <c r="AV299" s="229"/>
      <c r="AW299" s="229"/>
      <c r="AX299" s="229"/>
      <c r="AY299" s="229"/>
      <c r="AZ299" s="238">
        <v>43250</v>
      </c>
      <c r="BA299" s="1" t="s">
        <v>7691</v>
      </c>
      <c r="BB299"/>
      <c r="BC299">
        <v>6</v>
      </c>
      <c r="BD299">
        <v>1891</v>
      </c>
      <c r="BE29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299" s="240">
        <f>COUNTIFS(_05preva_view43[Site ID],_05preva_view43[[#This Row],[Site ID]],_05preva_view43[Prevalidation Status],"Under Prevalidation")</f>
        <v>0</v>
      </c>
      <c r="BG29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299" s="242" t="str">
        <f>CONCATENATE(_05preva_view43[[#This Row],[Site ID]]," (",_05preva_view43[[#This Row],[tenant id]],") Application",IF(_05preva_view43[[#This Row],[Colo Rev]]&gt;0," Rev "&amp;_05preva_view43[[#This Row],[Colo Rev]],""),".xlsx")</f>
        <v>ANMD_0105 (MDYCMTZ023) Application.xlsx</v>
      </c>
      <c r="BI299" s="64" t="e">
        <f t="shared" ca="1" si="5"/>
        <v>#VALUE!</v>
      </c>
      <c r="BJ299" s="104" t="e">
        <f ca="1">LEFT(CELL("filename",A284),_05preva_view43[[#This Row],[Find Process &amp; Database]]-1)</f>
        <v>#VALUE!</v>
      </c>
      <c r="BK299" s="104" t="e">
        <f ca="1">_05preva_view43[Folder Path1]&amp;"Process &amp; Database\Documentation\Colo Applications"</f>
        <v>#VALUE!</v>
      </c>
      <c r="BL299" s="104" t="e">
        <f ca="1">_05preva_view43[Folder Path2]&amp;"\Colo App "&amp;_05preva_view43[[#This Row],[Operator]]&amp;"\"</f>
        <v>#VALUE!</v>
      </c>
      <c r="BM299" s="63" t="e">
        <f ca="1">_05preva_view43[[#This Row],[Folder Path3]]&amp;_05preva_view43[[#This Row],[File Name]]</f>
        <v>#VALUE!</v>
      </c>
      <c r="BN299" s="104"/>
      <c r="CF299" s="5"/>
      <c r="CG299" s="5"/>
      <c r="CH299" s="3"/>
      <c r="CJ299" s="5"/>
      <c r="CN299" s="3"/>
      <c r="CO299" s="3"/>
      <c r="CP299" s="5"/>
      <c r="CR299" s="3"/>
      <c r="DN299" s="5"/>
      <c r="DP299" s="3"/>
      <c r="EB299" s="7"/>
      <c r="EC299" s="7"/>
      <c r="EF299" s="4"/>
      <c r="EG299" s="4"/>
      <c r="EQ299" s="2"/>
      <c r="ER299" s="2"/>
    </row>
    <row r="300" spans="1:148">
      <c r="A300" s="227">
        <v>229</v>
      </c>
      <c r="B300" s="228" t="s">
        <v>536</v>
      </c>
      <c r="C300" s="228" t="s">
        <v>116</v>
      </c>
      <c r="D300" s="228" t="s">
        <v>153</v>
      </c>
      <c r="E300" s="228" t="s">
        <v>537</v>
      </c>
      <c r="F300" s="228" t="s">
        <v>40</v>
      </c>
      <c r="G300" s="228" t="s">
        <v>1289</v>
      </c>
      <c r="H300" s="228" t="s">
        <v>1285</v>
      </c>
      <c r="I300" s="228" t="s">
        <v>118</v>
      </c>
      <c r="J300" s="228"/>
      <c r="K300" s="229">
        <v>43250</v>
      </c>
      <c r="L300" s="230"/>
      <c r="M300" s="230">
        <v>3</v>
      </c>
      <c r="N300" s="228">
        <v>6</v>
      </c>
      <c r="O300" s="228" t="s">
        <v>119</v>
      </c>
      <c r="P300" s="231"/>
      <c r="Q300" s="231"/>
      <c r="R300" s="228" t="s">
        <v>24</v>
      </c>
      <c r="S300" s="228"/>
      <c r="T300" s="232" t="s">
        <v>120</v>
      </c>
      <c r="U300" s="228" t="s">
        <v>538</v>
      </c>
      <c r="V300" s="232" t="s">
        <v>120</v>
      </c>
      <c r="W300" s="228"/>
      <c r="X300" s="232" t="s">
        <v>120</v>
      </c>
      <c r="Y300" s="228" t="s">
        <v>120</v>
      </c>
      <c r="Z300" s="233" t="s">
        <v>120</v>
      </c>
      <c r="AA300" s="234"/>
      <c r="AB300" s="234"/>
      <c r="AC300" s="235" t="s">
        <v>123</v>
      </c>
      <c r="AD300" s="228"/>
      <c r="AE300" s="232" t="s">
        <v>125</v>
      </c>
      <c r="AF300" s="229"/>
      <c r="AG300" s="236"/>
      <c r="AH300" s="236"/>
      <c r="AI300" s="228" t="s">
        <v>305</v>
      </c>
      <c r="AJ300" s="232" t="s">
        <v>120</v>
      </c>
      <c r="AK300" s="228" t="s">
        <v>123</v>
      </c>
      <c r="AL300" s="228"/>
      <c r="AM300" s="232"/>
      <c r="AN300" s="228"/>
      <c r="AO300" s="228"/>
      <c r="AP300" s="237"/>
      <c r="AQ300" s="228"/>
      <c r="AR300" s="232"/>
      <c r="AS300" s="228"/>
      <c r="AT300" s="229"/>
      <c r="AU300" s="229"/>
      <c r="AV300" s="229"/>
      <c r="AW300" s="229"/>
      <c r="AX300" s="229"/>
      <c r="AY300" s="229"/>
      <c r="AZ300" s="238"/>
      <c r="BA300" s="1" t="s">
        <v>7684</v>
      </c>
      <c r="BB300">
        <v>195</v>
      </c>
      <c r="BC300">
        <v>35</v>
      </c>
      <c r="BD300">
        <v>1908</v>
      </c>
      <c r="BE30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00" s="240">
        <f>COUNTIFS(_05preva_view43[Site ID],_05preva_view43[[#This Row],[Site ID]],_05preva_view43[Prevalidation Status],"Under Prevalidation")</f>
        <v>0</v>
      </c>
      <c r="BG30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0" s="242" t="str">
        <f>CONCATENATE(_05preva_view43[[#This Row],[Site ID]]," (",_05preva_view43[[#This Row],[tenant id]],") Application",IF(_05preva_view43[[#This Row],[Colo Rev]]&gt;0," Rev "&amp;_05preva_view43[[#This Row],[Colo Rev]],""),".xlsx")</f>
        <v>AYYN_0520 (YAM7610) Application.xlsx</v>
      </c>
      <c r="BI300" s="64" t="e">
        <f t="shared" ca="1" si="5"/>
        <v>#VALUE!</v>
      </c>
      <c r="BJ300" s="104" t="e">
        <f ca="1">LEFT(CELL("filename",A285),_05preva_view43[[#This Row],[Find Process &amp; Database]]-1)</f>
        <v>#VALUE!</v>
      </c>
      <c r="BK300" s="104" t="e">
        <f ca="1">_05preva_view43[Folder Path1]&amp;"Process &amp; Database\Documentation\Colo Applications"</f>
        <v>#VALUE!</v>
      </c>
      <c r="BL300" s="104" t="e">
        <f ca="1">_05preva_view43[Folder Path2]&amp;"\Colo App "&amp;_05preva_view43[[#This Row],[Operator]]&amp;"\"</f>
        <v>#VALUE!</v>
      </c>
      <c r="BM300" s="63" t="e">
        <f ca="1">_05preva_view43[[#This Row],[Folder Path3]]&amp;_05preva_view43[[#This Row],[File Name]]</f>
        <v>#VALUE!</v>
      </c>
      <c r="BN300" s="104"/>
      <c r="CF300" s="5"/>
      <c r="CG300" s="5"/>
      <c r="CH300" s="3"/>
      <c r="CJ300" s="5"/>
      <c r="CN300" s="3"/>
      <c r="CO300" s="3"/>
      <c r="CP300" s="5"/>
      <c r="CR300" s="3"/>
      <c r="DN300" s="5"/>
      <c r="DP300" s="3"/>
      <c r="EB300" s="7"/>
      <c r="EC300" s="7"/>
      <c r="EF300" s="4"/>
      <c r="EG300" s="4"/>
      <c r="EQ300" s="2"/>
      <c r="ER300" s="2"/>
    </row>
    <row r="301" spans="1:148">
      <c r="A301" s="227">
        <v>230</v>
      </c>
      <c r="B301" s="228" t="s">
        <v>539</v>
      </c>
      <c r="C301" s="228" t="s">
        <v>116</v>
      </c>
      <c r="D301" s="228" t="s">
        <v>153</v>
      </c>
      <c r="E301" s="228" t="s">
        <v>540</v>
      </c>
      <c r="F301" s="228" t="s">
        <v>40</v>
      </c>
      <c r="G301" s="228" t="s">
        <v>1289</v>
      </c>
      <c r="H301" s="228" t="s">
        <v>1285</v>
      </c>
      <c r="I301" s="228" t="s">
        <v>118</v>
      </c>
      <c r="J301" s="228"/>
      <c r="K301" s="229">
        <v>43250</v>
      </c>
      <c r="L301" s="230"/>
      <c r="M301" s="230">
        <v>3</v>
      </c>
      <c r="N301" s="228">
        <v>6</v>
      </c>
      <c r="O301" s="228" t="s">
        <v>119</v>
      </c>
      <c r="P301" s="231"/>
      <c r="Q301" s="231"/>
      <c r="R301" s="228" t="s">
        <v>24</v>
      </c>
      <c r="S301" s="228"/>
      <c r="T301" s="232" t="s">
        <v>120</v>
      </c>
      <c r="U301" s="228" t="s">
        <v>528</v>
      </c>
      <c r="V301" s="232" t="s">
        <v>120</v>
      </c>
      <c r="W301" s="228"/>
      <c r="X301" s="232" t="s">
        <v>120</v>
      </c>
      <c r="Y301" s="228" t="s">
        <v>541</v>
      </c>
      <c r="Z301" s="233" t="s">
        <v>120</v>
      </c>
      <c r="AA301" s="234"/>
      <c r="AB301" s="234"/>
      <c r="AC301" s="235" t="s">
        <v>123</v>
      </c>
      <c r="AD301" s="228" t="s">
        <v>325</v>
      </c>
      <c r="AE301" s="232" t="s">
        <v>120</v>
      </c>
      <c r="AF301" s="229" t="s">
        <v>207</v>
      </c>
      <c r="AG301" s="236"/>
      <c r="AH301" s="236">
        <v>3.5</v>
      </c>
      <c r="AI301" s="228" t="s">
        <v>208</v>
      </c>
      <c r="AJ301" s="232" t="s">
        <v>120</v>
      </c>
      <c r="AK301" s="228" t="s">
        <v>123</v>
      </c>
      <c r="AL301" s="228" t="s">
        <v>139</v>
      </c>
      <c r="AM301" s="232"/>
      <c r="AN301" s="228"/>
      <c r="AO301" s="228"/>
      <c r="AP301" s="237"/>
      <c r="AQ301" s="228"/>
      <c r="AR301" s="232"/>
      <c r="AS301" s="228"/>
      <c r="AT301" s="229"/>
      <c r="AU301" s="229">
        <v>43453.379074884302</v>
      </c>
      <c r="AV301" s="229"/>
      <c r="AW301" s="229"/>
      <c r="AX301" s="229"/>
      <c r="AY301" s="229"/>
      <c r="AZ301" s="238">
        <v>43250</v>
      </c>
      <c r="BA301" s="1" t="s">
        <v>7695</v>
      </c>
      <c r="BB301">
        <v>195</v>
      </c>
      <c r="BC301">
        <v>30</v>
      </c>
      <c r="BD301">
        <v>154</v>
      </c>
      <c r="BE30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01" s="240">
        <f>COUNTIFS(_05preva_view43[Site ID],_05preva_view43[[#This Row],[Site ID]],_05preva_view43[Prevalidation Status],"Under Prevalidation")</f>
        <v>0</v>
      </c>
      <c r="BG30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1" s="242" t="str">
        <f>CONCATENATE(_05preva_view43[[#This Row],[Site ID]]," (",_05preva_view43[[#This Row],[tenant id]],") Application",IF(_05preva_view43[[#This Row],[Colo Rev]]&gt;0," Rev "&amp;_05preva_view43[[#This Row],[Colo Rev]],""),".xlsx")</f>
        <v>AYYN_0110 (YAW7657) Application.xlsx</v>
      </c>
      <c r="BI301" s="64" t="e">
        <f t="shared" ca="1" si="5"/>
        <v>#VALUE!</v>
      </c>
      <c r="BJ301" s="104" t="e">
        <f ca="1">LEFT(CELL("filename",A286),_05preva_view43[[#This Row],[Find Process &amp; Database]]-1)</f>
        <v>#VALUE!</v>
      </c>
      <c r="BK301" s="104" t="e">
        <f ca="1">_05preva_view43[Folder Path1]&amp;"Process &amp; Database\Documentation\Colo Applications"</f>
        <v>#VALUE!</v>
      </c>
      <c r="BL301" s="104" t="e">
        <f ca="1">_05preva_view43[Folder Path2]&amp;"\Colo App "&amp;_05preva_view43[[#This Row],[Operator]]&amp;"\"</f>
        <v>#VALUE!</v>
      </c>
      <c r="BM301" s="63" t="e">
        <f ca="1">_05preva_view43[[#This Row],[Folder Path3]]&amp;_05preva_view43[[#This Row],[File Name]]</f>
        <v>#VALUE!</v>
      </c>
      <c r="BN301" s="104"/>
      <c r="CF301" s="5"/>
      <c r="CG301" s="5"/>
      <c r="CH301" s="3"/>
      <c r="CJ301" s="5"/>
      <c r="CN301" s="3"/>
      <c r="CO301" s="3"/>
      <c r="CP301" s="5"/>
      <c r="CR301" s="3"/>
      <c r="DN301" s="5"/>
      <c r="DP301" s="3"/>
      <c r="EB301" s="7"/>
      <c r="EC301" s="7"/>
      <c r="EF301" s="4"/>
      <c r="EG301" s="4"/>
      <c r="EQ301" s="2"/>
      <c r="ER301" s="2"/>
    </row>
    <row r="302" spans="1:148">
      <c r="A302" s="227">
        <v>232</v>
      </c>
      <c r="B302" s="228" t="s">
        <v>520</v>
      </c>
      <c r="C302" s="228" t="s">
        <v>116</v>
      </c>
      <c r="D302" s="228" t="s">
        <v>117</v>
      </c>
      <c r="E302" s="228" t="s">
        <v>542</v>
      </c>
      <c r="F302" s="228" t="s">
        <v>40</v>
      </c>
      <c r="G302" s="228" t="s">
        <v>118</v>
      </c>
      <c r="H302" s="228"/>
      <c r="I302" s="228" t="s">
        <v>118</v>
      </c>
      <c r="J302" s="228"/>
      <c r="K302" s="229">
        <v>43250</v>
      </c>
      <c r="L302" s="230"/>
      <c r="M302" s="230">
        <v>3</v>
      </c>
      <c r="N302" s="228">
        <v>6</v>
      </c>
      <c r="O302" s="228" t="s">
        <v>119</v>
      </c>
      <c r="P302" s="231"/>
      <c r="Q302" s="231"/>
      <c r="R302" s="228" t="s">
        <v>24</v>
      </c>
      <c r="S302" s="228"/>
      <c r="T302" s="232" t="s">
        <v>120</v>
      </c>
      <c r="U302" s="228" t="s">
        <v>543</v>
      </c>
      <c r="V302" s="232" t="s">
        <v>120</v>
      </c>
      <c r="W302" s="228"/>
      <c r="X302" s="232" t="s">
        <v>120</v>
      </c>
      <c r="Y302" s="228" t="s">
        <v>120</v>
      </c>
      <c r="Z302" s="233" t="s">
        <v>120</v>
      </c>
      <c r="AA302" s="234"/>
      <c r="AB302" s="234"/>
      <c r="AC302" s="235" t="s">
        <v>123</v>
      </c>
      <c r="AD302" s="228" t="s">
        <v>325</v>
      </c>
      <c r="AE302" s="232" t="s">
        <v>120</v>
      </c>
      <c r="AF302" s="229" t="s">
        <v>358</v>
      </c>
      <c r="AG302" s="236"/>
      <c r="AH302" s="236">
        <v>3.5</v>
      </c>
      <c r="AI302" s="228" t="s">
        <v>211</v>
      </c>
      <c r="AJ302" s="232" t="s">
        <v>120</v>
      </c>
      <c r="AK302" s="228" t="s">
        <v>206</v>
      </c>
      <c r="AL302" s="228" t="s">
        <v>361</v>
      </c>
      <c r="AM302" s="232"/>
      <c r="AN302" s="228"/>
      <c r="AO302" s="228"/>
      <c r="AP302" s="237"/>
      <c r="AQ302" s="228"/>
      <c r="AR302" s="232"/>
      <c r="AS302" s="228"/>
      <c r="AT302" s="229"/>
      <c r="AU302" s="229">
        <v>43453.379077546299</v>
      </c>
      <c r="AV302" s="229"/>
      <c r="AW302" s="229"/>
      <c r="AX302" s="229"/>
      <c r="AY302" s="229"/>
      <c r="AZ302" s="238">
        <v>43250</v>
      </c>
      <c r="BA302" s="1" t="s">
        <v>7684</v>
      </c>
      <c r="BB302"/>
      <c r="BC302">
        <v>35</v>
      </c>
      <c r="BD302">
        <v>463</v>
      </c>
      <c r="BE30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02" s="240">
        <f>COUNTIFS(_05preva_view43[Site ID],_05preva_view43[[#This Row],[Site ID]],_05preva_view43[Prevalidation Status],"Under Prevalidation")</f>
        <v>0</v>
      </c>
      <c r="BG30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2" s="242" t="str">
        <f>CONCATENATE(_05preva_view43[[#This Row],[Site ID]]," (",_05preva_view43[[#This Row],[tenant id]],") Application",IF(_05preva_view43[[#This Row],[Colo Rev]]&gt;0," Rev "&amp;_05preva_view43[[#This Row],[Colo Rev]],""),".xlsx")</f>
        <v>ANNP_0210 (NPW2259) Application.xlsx</v>
      </c>
      <c r="BI302" s="64" t="e">
        <f t="shared" ca="1" si="5"/>
        <v>#VALUE!</v>
      </c>
      <c r="BJ302" s="104" t="e">
        <f ca="1">LEFT(CELL("filename",A287),_05preva_view43[[#This Row],[Find Process &amp; Database]]-1)</f>
        <v>#VALUE!</v>
      </c>
      <c r="BK302" s="104" t="e">
        <f ca="1">_05preva_view43[Folder Path1]&amp;"Process &amp; Database\Documentation\Colo Applications"</f>
        <v>#VALUE!</v>
      </c>
      <c r="BL302" s="104" t="e">
        <f ca="1">_05preva_view43[Folder Path2]&amp;"\Colo App "&amp;_05preva_view43[[#This Row],[Operator]]&amp;"\"</f>
        <v>#VALUE!</v>
      </c>
      <c r="BM302" s="63" t="e">
        <f ca="1">_05preva_view43[[#This Row],[Folder Path3]]&amp;_05preva_view43[[#This Row],[File Name]]</f>
        <v>#VALUE!</v>
      </c>
      <c r="BN302" s="104"/>
      <c r="CF302" s="5"/>
      <c r="CG302" s="5"/>
      <c r="CH302" s="3"/>
      <c r="CJ302" s="5"/>
      <c r="CN302" s="3"/>
      <c r="CO302" s="3"/>
      <c r="CP302" s="5"/>
      <c r="CR302" s="3"/>
      <c r="DN302" s="5"/>
      <c r="DP302" s="3"/>
      <c r="EB302" s="7"/>
      <c r="EC302" s="7"/>
      <c r="EF302" s="4"/>
      <c r="EG302" s="4"/>
      <c r="EQ302" s="2"/>
      <c r="ER302" s="2"/>
    </row>
    <row r="303" spans="1:148">
      <c r="A303" s="227">
        <v>234</v>
      </c>
      <c r="B303" s="228" t="s">
        <v>544</v>
      </c>
      <c r="C303" s="228" t="s">
        <v>116</v>
      </c>
      <c r="D303" s="228" t="s">
        <v>127</v>
      </c>
      <c r="E303" s="228" t="s">
        <v>545</v>
      </c>
      <c r="F303" s="228" t="s">
        <v>40</v>
      </c>
      <c r="G303" s="228" t="s">
        <v>1289</v>
      </c>
      <c r="H303" s="228" t="s">
        <v>1290</v>
      </c>
      <c r="I303" s="228" t="s">
        <v>118</v>
      </c>
      <c r="J303" s="228"/>
      <c r="K303" s="229">
        <v>43250</v>
      </c>
      <c r="L303" s="230"/>
      <c r="M303" s="230">
        <v>3</v>
      </c>
      <c r="N303" s="228">
        <v>6</v>
      </c>
      <c r="O303" s="228" t="s">
        <v>119</v>
      </c>
      <c r="P303" s="231"/>
      <c r="Q303" s="231"/>
      <c r="R303" s="228" t="s">
        <v>24</v>
      </c>
      <c r="S303" s="228"/>
      <c r="T303" s="232" t="s">
        <v>120</v>
      </c>
      <c r="U303" s="228" t="s">
        <v>528</v>
      </c>
      <c r="V303" s="232" t="s">
        <v>125</v>
      </c>
      <c r="W303" s="228" t="s">
        <v>514</v>
      </c>
      <c r="X303" s="232" t="s">
        <v>120</v>
      </c>
      <c r="Y303" s="228" t="s">
        <v>120</v>
      </c>
      <c r="Z303" s="233" t="s">
        <v>120</v>
      </c>
      <c r="AA303" s="234"/>
      <c r="AB303" s="234"/>
      <c r="AC303" s="235" t="s">
        <v>123</v>
      </c>
      <c r="AD303" s="228"/>
      <c r="AE303" s="232" t="s">
        <v>125</v>
      </c>
      <c r="AF303" s="229"/>
      <c r="AG303" s="236"/>
      <c r="AH303" s="236"/>
      <c r="AI303" s="228" t="s">
        <v>208</v>
      </c>
      <c r="AJ303" s="232" t="s">
        <v>120</v>
      </c>
      <c r="AK303" s="228" t="s">
        <v>123</v>
      </c>
      <c r="AL303" s="228" t="s">
        <v>546</v>
      </c>
      <c r="AM303" s="232"/>
      <c r="AN303" s="228"/>
      <c r="AO303" s="228"/>
      <c r="AP303" s="237"/>
      <c r="AQ303" s="228"/>
      <c r="AR303" s="232"/>
      <c r="AS303" s="228"/>
      <c r="AT303" s="229"/>
      <c r="AU303" s="229"/>
      <c r="AV303" s="229"/>
      <c r="AW303" s="229"/>
      <c r="AX303" s="229"/>
      <c r="AY303" s="229"/>
      <c r="AZ303" s="238"/>
      <c r="BA303" s="1" t="s">
        <v>7684</v>
      </c>
      <c r="BB303">
        <v>130</v>
      </c>
      <c r="BC303">
        <v>60</v>
      </c>
      <c r="BD303">
        <v>1458</v>
      </c>
      <c r="BE30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03" s="240">
        <f>COUNTIFS(_05preva_view43[Site ID],_05preva_view43[[#This Row],[Site ID]],_05preva_view43[Prevalidation Status],"Under Prevalidation")</f>
        <v>0</v>
      </c>
      <c r="BG30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3" s="242" t="str">
        <f>CONCATENATE(_05preva_view43[[#This Row],[Site ID]]," (",_05preva_view43[[#This Row],[tenant id]],") Application",IF(_05preva_view43[[#This Row],[Colo Rev]]&gt;0," Rev "&amp;_05preva_view43[[#This Row],[Colo Rev]],""),".xlsx")</f>
        <v>ANSG_0364 (SAW0705) Application.xlsx</v>
      </c>
      <c r="BI303" s="64" t="e">
        <f t="shared" ca="1" si="5"/>
        <v>#VALUE!</v>
      </c>
      <c r="BJ303" s="104" t="e">
        <f ca="1">LEFT(CELL("filename",A288),_05preva_view43[[#This Row],[Find Process &amp; Database]]-1)</f>
        <v>#VALUE!</v>
      </c>
      <c r="BK303" s="104" t="e">
        <f ca="1">_05preva_view43[Folder Path1]&amp;"Process &amp; Database\Documentation\Colo Applications"</f>
        <v>#VALUE!</v>
      </c>
      <c r="BL303" s="104" t="e">
        <f ca="1">_05preva_view43[Folder Path2]&amp;"\Colo App "&amp;_05preva_view43[[#This Row],[Operator]]&amp;"\"</f>
        <v>#VALUE!</v>
      </c>
      <c r="BM303" s="63" t="e">
        <f ca="1">_05preva_view43[[#This Row],[Folder Path3]]&amp;_05preva_view43[[#This Row],[File Name]]</f>
        <v>#VALUE!</v>
      </c>
      <c r="BN303" s="104"/>
      <c r="CF303" s="5"/>
      <c r="CG303" s="5"/>
      <c r="CH303" s="3"/>
      <c r="CJ303" s="5"/>
      <c r="CN303" s="3"/>
      <c r="CO303" s="3"/>
      <c r="CP303" s="5"/>
      <c r="CR303" s="3"/>
      <c r="DN303" s="5"/>
      <c r="DP303" s="3"/>
      <c r="EB303" s="7"/>
      <c r="EC303" s="7"/>
      <c r="EF303" s="4"/>
      <c r="EG303" s="4"/>
      <c r="EQ303" s="2"/>
      <c r="ER303" s="2"/>
    </row>
    <row r="304" spans="1:148">
      <c r="A304" s="227">
        <v>235</v>
      </c>
      <c r="B304" s="228" t="s">
        <v>547</v>
      </c>
      <c r="C304" s="228" t="s">
        <v>116</v>
      </c>
      <c r="D304" s="228" t="s">
        <v>153</v>
      </c>
      <c r="E304" s="228" t="s">
        <v>548</v>
      </c>
      <c r="F304" s="228" t="s">
        <v>40</v>
      </c>
      <c r="G304" s="228" t="s">
        <v>118</v>
      </c>
      <c r="H304" s="228"/>
      <c r="I304" s="228" t="s">
        <v>118</v>
      </c>
      <c r="J304" s="228"/>
      <c r="K304" s="229">
        <v>43250</v>
      </c>
      <c r="L304" s="230"/>
      <c r="M304" s="230">
        <v>3</v>
      </c>
      <c r="N304" s="228">
        <v>6</v>
      </c>
      <c r="O304" s="228" t="s">
        <v>119</v>
      </c>
      <c r="P304" s="231"/>
      <c r="Q304" s="231"/>
      <c r="R304" s="228" t="s">
        <v>24</v>
      </c>
      <c r="S304" s="228" t="s">
        <v>337</v>
      </c>
      <c r="T304" s="232" t="s">
        <v>120</v>
      </c>
      <c r="U304" s="228" t="s">
        <v>528</v>
      </c>
      <c r="V304" s="232" t="s">
        <v>120</v>
      </c>
      <c r="W304" s="228"/>
      <c r="X304" s="232" t="s">
        <v>120</v>
      </c>
      <c r="Y304" s="228" t="s">
        <v>120</v>
      </c>
      <c r="Z304" s="233" t="s">
        <v>125</v>
      </c>
      <c r="AA304" s="234"/>
      <c r="AB304" s="234"/>
      <c r="AC304" s="235" t="s">
        <v>123</v>
      </c>
      <c r="AD304" s="228" t="s">
        <v>339</v>
      </c>
      <c r="AE304" s="232" t="s">
        <v>125</v>
      </c>
      <c r="AF304" s="229"/>
      <c r="AG304" s="236"/>
      <c r="AH304" s="236"/>
      <c r="AI304" s="228" t="s">
        <v>208</v>
      </c>
      <c r="AJ304" s="232" t="s">
        <v>120</v>
      </c>
      <c r="AK304" s="228" t="s">
        <v>123</v>
      </c>
      <c r="AL304" s="228"/>
      <c r="AM304" s="232"/>
      <c r="AN304" s="228"/>
      <c r="AO304" s="228"/>
      <c r="AP304" s="237"/>
      <c r="AQ304" s="228"/>
      <c r="AR304" s="232"/>
      <c r="AS304" s="228"/>
      <c r="AT304" s="229"/>
      <c r="AU304" s="229"/>
      <c r="AV304" s="229"/>
      <c r="AW304" s="229"/>
      <c r="AX304" s="229"/>
      <c r="AY304" s="229"/>
      <c r="AZ304" s="238"/>
      <c r="BA304" s="1" t="s">
        <v>7684</v>
      </c>
      <c r="BB304">
        <v>195</v>
      </c>
      <c r="BC304">
        <v>60</v>
      </c>
      <c r="BD304">
        <v>783</v>
      </c>
      <c r="BE30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04" s="240">
        <f>COUNTIFS(_05preva_view43[Site ID],_05preva_view43[[#This Row],[Site ID]],_05preva_view43[Prevalidation Status],"Under Prevalidation")</f>
        <v>0</v>
      </c>
      <c r="BG30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4" s="242" t="str">
        <f>CONCATENATE(_05preva_view43[[#This Row],[Site ID]]," (",_05preva_view43[[#This Row],[tenant id]],") Application",IF(_05preva_view43[[#This Row],[Colo Rev]]&gt;0," Rev "&amp;_05preva_view43[[#This Row],[Colo Rev]],""),".xlsx")</f>
        <v>ACAY_0102 (AYW5275) Application.xlsx</v>
      </c>
      <c r="BI304" s="64" t="e">
        <f t="shared" ca="1" si="5"/>
        <v>#VALUE!</v>
      </c>
      <c r="BJ304" s="104" t="e">
        <f ca="1">LEFT(CELL("filename",A289),_05preva_view43[[#This Row],[Find Process &amp; Database]]-1)</f>
        <v>#VALUE!</v>
      </c>
      <c r="BK304" s="104" t="e">
        <f ca="1">_05preva_view43[Folder Path1]&amp;"Process &amp; Database\Documentation\Colo Applications"</f>
        <v>#VALUE!</v>
      </c>
      <c r="BL304" s="104" t="e">
        <f ca="1">_05preva_view43[Folder Path2]&amp;"\Colo App "&amp;_05preva_view43[[#This Row],[Operator]]&amp;"\"</f>
        <v>#VALUE!</v>
      </c>
      <c r="BM304" s="63" t="e">
        <f ca="1">_05preva_view43[[#This Row],[Folder Path3]]&amp;_05preva_view43[[#This Row],[File Name]]</f>
        <v>#VALUE!</v>
      </c>
      <c r="BN304" s="104"/>
      <c r="CF304" s="5"/>
      <c r="CG304" s="5"/>
      <c r="CH304" s="3"/>
      <c r="CJ304" s="5"/>
      <c r="CN304" s="3"/>
      <c r="CO304" s="3"/>
      <c r="CP304" s="5"/>
      <c r="CR304" s="3"/>
      <c r="DN304" s="5"/>
      <c r="DP304" s="3"/>
      <c r="EB304" s="7"/>
      <c r="EC304" s="7"/>
      <c r="EF304" s="4"/>
      <c r="EG304" s="4"/>
      <c r="EQ304" s="2"/>
      <c r="ER304" s="2"/>
    </row>
    <row r="305" spans="1:148">
      <c r="A305" s="227">
        <v>236</v>
      </c>
      <c r="B305" s="228" t="s">
        <v>549</v>
      </c>
      <c r="C305" s="228" t="s">
        <v>116</v>
      </c>
      <c r="D305" s="228" t="s">
        <v>117</v>
      </c>
      <c r="E305" s="228" t="s">
        <v>550</v>
      </c>
      <c r="F305" s="228" t="s">
        <v>40</v>
      </c>
      <c r="G305" s="228" t="s">
        <v>118</v>
      </c>
      <c r="H305" s="228"/>
      <c r="I305" s="228" t="s">
        <v>118</v>
      </c>
      <c r="J305" s="228"/>
      <c r="K305" s="229">
        <v>43250</v>
      </c>
      <c r="L305" s="230"/>
      <c r="M305" s="230">
        <v>3</v>
      </c>
      <c r="N305" s="228">
        <v>6</v>
      </c>
      <c r="O305" s="228" t="s">
        <v>119</v>
      </c>
      <c r="P305" s="231"/>
      <c r="Q305" s="231"/>
      <c r="R305" s="228" t="s">
        <v>24</v>
      </c>
      <c r="S305" s="228"/>
      <c r="T305" s="232" t="s">
        <v>120</v>
      </c>
      <c r="U305" s="228" t="s">
        <v>538</v>
      </c>
      <c r="V305" s="232" t="s">
        <v>120</v>
      </c>
      <c r="W305" s="228"/>
      <c r="X305" s="232" t="s">
        <v>120</v>
      </c>
      <c r="Y305" s="228" t="s">
        <v>120</v>
      </c>
      <c r="Z305" s="233" t="s">
        <v>120</v>
      </c>
      <c r="AA305" s="234"/>
      <c r="AB305" s="234"/>
      <c r="AC305" s="235" t="s">
        <v>123</v>
      </c>
      <c r="AD305" s="228"/>
      <c r="AE305" s="232" t="s">
        <v>120</v>
      </c>
      <c r="AF305" s="229" t="s">
        <v>207</v>
      </c>
      <c r="AG305" s="236"/>
      <c r="AH305" s="236">
        <v>3.5</v>
      </c>
      <c r="AI305" s="228" t="s">
        <v>308</v>
      </c>
      <c r="AJ305" s="232" t="s">
        <v>120</v>
      </c>
      <c r="AK305" s="228" t="s">
        <v>123</v>
      </c>
      <c r="AL305" s="228"/>
      <c r="AM305" s="232"/>
      <c r="AN305" s="228"/>
      <c r="AO305" s="228"/>
      <c r="AP305" s="237"/>
      <c r="AQ305" s="228"/>
      <c r="AR305" s="232"/>
      <c r="AS305" s="228"/>
      <c r="AT305" s="229"/>
      <c r="AU305" s="229">
        <v>43453.379079976898</v>
      </c>
      <c r="AV305" s="229"/>
      <c r="AW305" s="229"/>
      <c r="AX305" s="229"/>
      <c r="AY305" s="229"/>
      <c r="AZ305" s="238">
        <v>43250</v>
      </c>
      <c r="BA305" s="1" t="s">
        <v>7684</v>
      </c>
      <c r="BB305"/>
      <c r="BC305">
        <v>60</v>
      </c>
      <c r="BD305">
        <v>2448</v>
      </c>
      <c r="BE30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05" s="240">
        <f>COUNTIFS(_05preva_view43[Site ID],_05preva_view43[[#This Row],[Site ID]],_05preva_view43[Prevalidation Status],"Under Prevalidation")</f>
        <v>0</v>
      </c>
      <c r="BG30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5" s="242" t="str">
        <f>CONCATENATE(_05preva_view43[[#This Row],[Site ID]]," (",_05preva_view43[[#This Row],[tenant id]],") Application",IF(_05preva_view43[[#This Row],[Colo Rev]]&gt;0," Rev "&amp;_05preva_view43[[#This Row],[Colo Rev]],""),".xlsx")</f>
        <v>ASKH_3000 (KYW6046) Application.xlsx</v>
      </c>
      <c r="BI305" s="64" t="e">
        <f t="shared" ca="1" si="5"/>
        <v>#VALUE!</v>
      </c>
      <c r="BJ305" s="104" t="e">
        <f ca="1">LEFT(CELL("filename",A290),_05preva_view43[[#This Row],[Find Process &amp; Database]]-1)</f>
        <v>#VALUE!</v>
      </c>
      <c r="BK305" s="104" t="e">
        <f ca="1">_05preva_view43[Folder Path1]&amp;"Process &amp; Database\Documentation\Colo Applications"</f>
        <v>#VALUE!</v>
      </c>
      <c r="BL305" s="104" t="e">
        <f ca="1">_05preva_view43[Folder Path2]&amp;"\Colo App "&amp;_05preva_view43[[#This Row],[Operator]]&amp;"\"</f>
        <v>#VALUE!</v>
      </c>
      <c r="BM305" s="63" t="e">
        <f ca="1">_05preva_view43[[#This Row],[Folder Path3]]&amp;_05preva_view43[[#This Row],[File Name]]</f>
        <v>#VALUE!</v>
      </c>
      <c r="BN305" s="104"/>
      <c r="CF305" s="5"/>
      <c r="CG305" s="5"/>
      <c r="CH305" s="3"/>
      <c r="CJ305" s="5"/>
      <c r="CN305" s="3"/>
      <c r="CO305" s="3"/>
      <c r="CP305" s="5"/>
      <c r="CR305" s="3"/>
      <c r="DN305" s="5"/>
      <c r="DP305" s="3"/>
      <c r="EB305" s="7"/>
      <c r="EC305" s="7"/>
      <c r="EF305" s="4"/>
      <c r="EG305" s="4"/>
      <c r="EQ305" s="2"/>
      <c r="ER305" s="2"/>
    </row>
    <row r="306" spans="1:148">
      <c r="A306" s="227">
        <v>237</v>
      </c>
      <c r="B306" s="228" t="s">
        <v>551</v>
      </c>
      <c r="C306" s="228" t="s">
        <v>116</v>
      </c>
      <c r="D306" s="228" t="s">
        <v>127</v>
      </c>
      <c r="E306" s="228" t="s">
        <v>552</v>
      </c>
      <c r="F306" s="228" t="s">
        <v>40</v>
      </c>
      <c r="G306" s="228" t="s">
        <v>1289</v>
      </c>
      <c r="H306" s="228" t="s">
        <v>1285</v>
      </c>
      <c r="I306" s="228" t="s">
        <v>118</v>
      </c>
      <c r="J306" s="228"/>
      <c r="K306" s="229">
        <v>43250</v>
      </c>
      <c r="L306" s="230"/>
      <c r="M306" s="230">
        <v>3</v>
      </c>
      <c r="N306" s="228">
        <v>6</v>
      </c>
      <c r="O306" s="228" t="s">
        <v>119</v>
      </c>
      <c r="P306" s="231"/>
      <c r="Q306" s="231"/>
      <c r="R306" s="228" t="s">
        <v>24</v>
      </c>
      <c r="S306" s="228"/>
      <c r="T306" s="232" t="s">
        <v>120</v>
      </c>
      <c r="U306" s="228" t="s">
        <v>528</v>
      </c>
      <c r="V306" s="232" t="s">
        <v>120</v>
      </c>
      <c r="W306" s="228"/>
      <c r="X306" s="232" t="s">
        <v>120</v>
      </c>
      <c r="Y306" s="228" t="s">
        <v>120</v>
      </c>
      <c r="Z306" s="233" t="s">
        <v>120</v>
      </c>
      <c r="AA306" s="234"/>
      <c r="AB306" s="234"/>
      <c r="AC306" s="235" t="s">
        <v>123</v>
      </c>
      <c r="AD306" s="228" t="s">
        <v>325</v>
      </c>
      <c r="AE306" s="232" t="s">
        <v>120</v>
      </c>
      <c r="AF306" s="229" t="s">
        <v>207</v>
      </c>
      <c r="AG306" s="236"/>
      <c r="AH306" s="236">
        <v>3.5</v>
      </c>
      <c r="AI306" s="228" t="s">
        <v>399</v>
      </c>
      <c r="AJ306" s="232" t="s">
        <v>120</v>
      </c>
      <c r="AK306" s="228" t="s">
        <v>123</v>
      </c>
      <c r="AL306" s="228" t="s">
        <v>546</v>
      </c>
      <c r="AM306" s="232"/>
      <c r="AN306" s="228"/>
      <c r="AO306" s="228"/>
      <c r="AP306" s="237"/>
      <c r="AQ306" s="228"/>
      <c r="AR306" s="232"/>
      <c r="AS306" s="228"/>
      <c r="AT306" s="229"/>
      <c r="AU306" s="229">
        <v>43453.379080787003</v>
      </c>
      <c r="AV306" s="229"/>
      <c r="AW306" s="229"/>
      <c r="AX306" s="229"/>
      <c r="AY306" s="229"/>
      <c r="AZ306" s="238">
        <v>43250</v>
      </c>
      <c r="BA306" s="1" t="s">
        <v>7684</v>
      </c>
      <c r="BB306">
        <v>130</v>
      </c>
      <c r="BC306">
        <v>45</v>
      </c>
      <c r="BD306">
        <v>1494</v>
      </c>
      <c r="BE30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06" s="240">
        <f>COUNTIFS(_05preva_view43[Site ID],_05preva_view43[[#This Row],[Site ID]],_05preva_view43[Prevalidation Status],"Under Prevalidation")</f>
        <v>0</v>
      </c>
      <c r="BG30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6" s="242" t="str">
        <f>CONCATENATE(_05preva_view43[[#This Row],[Site ID]]," (",_05preva_view43[[#This Row],[tenant id]],") Application",IF(_05preva_view43[[#This Row],[Colo Rev]]&gt;0," Rev "&amp;_05preva_view43[[#This Row],[Colo Rev]],""),".xlsx")</f>
        <v>ANSG_0348 (SAW0704) Application.xlsx</v>
      </c>
      <c r="BI306" s="64" t="e">
        <f t="shared" ca="1" si="5"/>
        <v>#VALUE!</v>
      </c>
      <c r="BJ306" s="104" t="e">
        <f ca="1">LEFT(CELL("filename",A291),_05preva_view43[[#This Row],[Find Process &amp; Database]]-1)</f>
        <v>#VALUE!</v>
      </c>
      <c r="BK306" s="104" t="e">
        <f ca="1">_05preva_view43[Folder Path1]&amp;"Process &amp; Database\Documentation\Colo Applications"</f>
        <v>#VALUE!</v>
      </c>
      <c r="BL306" s="104" t="e">
        <f ca="1">_05preva_view43[Folder Path2]&amp;"\Colo App "&amp;_05preva_view43[[#This Row],[Operator]]&amp;"\"</f>
        <v>#VALUE!</v>
      </c>
      <c r="BM306" s="63" t="e">
        <f ca="1">_05preva_view43[[#This Row],[Folder Path3]]&amp;_05preva_view43[[#This Row],[File Name]]</f>
        <v>#VALUE!</v>
      </c>
      <c r="BN306" s="104"/>
      <c r="CF306" s="5"/>
      <c r="CG306" s="5"/>
      <c r="CH306" s="3"/>
      <c r="CJ306" s="5"/>
      <c r="CN306" s="3"/>
      <c r="CO306" s="3"/>
      <c r="CP306" s="5"/>
      <c r="CR306" s="3"/>
      <c r="DN306" s="5"/>
      <c r="DP306" s="3"/>
      <c r="EB306" s="7"/>
      <c r="EC306" s="7"/>
      <c r="EF306" s="4"/>
      <c r="EG306" s="4"/>
      <c r="EQ306" s="2"/>
      <c r="ER306" s="2"/>
    </row>
    <row r="307" spans="1:148">
      <c r="A307" s="227">
        <v>221</v>
      </c>
      <c r="B307" s="228" t="s">
        <v>516</v>
      </c>
      <c r="C307" s="228" t="s">
        <v>116</v>
      </c>
      <c r="D307" s="228" t="s">
        <v>117</v>
      </c>
      <c r="E307" s="228" t="s">
        <v>517</v>
      </c>
      <c r="F307" s="228" t="s">
        <v>34</v>
      </c>
      <c r="G307" s="228" t="s">
        <v>1284</v>
      </c>
      <c r="H307" s="228" t="s">
        <v>1285</v>
      </c>
      <c r="I307" s="228" t="s">
        <v>118</v>
      </c>
      <c r="J307" s="228"/>
      <c r="K307" s="229">
        <v>43245</v>
      </c>
      <c r="L307" s="230"/>
      <c r="M307" s="230">
        <v>2</v>
      </c>
      <c r="N307" s="228">
        <v>6</v>
      </c>
      <c r="O307" s="228" t="s">
        <v>119</v>
      </c>
      <c r="P307" s="231" t="s">
        <v>227</v>
      </c>
      <c r="Q307" s="231" t="s">
        <v>228</v>
      </c>
      <c r="R307" s="228" t="s">
        <v>24</v>
      </c>
      <c r="S307" s="228"/>
      <c r="T307" s="232" t="s">
        <v>120</v>
      </c>
      <c r="U307" s="228" t="s">
        <v>513</v>
      </c>
      <c r="V307" s="232" t="s">
        <v>120</v>
      </c>
      <c r="W307" s="228"/>
      <c r="X307" s="232" t="s">
        <v>120</v>
      </c>
      <c r="Y307" s="228" t="s">
        <v>120</v>
      </c>
      <c r="Z307" s="233" t="s">
        <v>120</v>
      </c>
      <c r="AA307" s="234"/>
      <c r="AB307" s="234"/>
      <c r="AC307" s="235" t="s">
        <v>123</v>
      </c>
      <c r="AD307" s="228"/>
      <c r="AE307" s="232" t="s">
        <v>120</v>
      </c>
      <c r="AF307" s="229" t="s">
        <v>518</v>
      </c>
      <c r="AG307" s="236"/>
      <c r="AH307" s="236">
        <v>1.5</v>
      </c>
      <c r="AI307" s="228" t="s">
        <v>519</v>
      </c>
      <c r="AJ307" s="232" t="s">
        <v>120</v>
      </c>
      <c r="AK307" s="228" t="s">
        <v>123</v>
      </c>
      <c r="AL307" s="228"/>
      <c r="AM307" s="232"/>
      <c r="AN307" s="228"/>
      <c r="AO307" s="228"/>
      <c r="AP307" s="237"/>
      <c r="AQ307" s="228"/>
      <c r="AR307" s="232"/>
      <c r="AS307" s="228"/>
      <c r="AT307" s="229"/>
      <c r="AU307" s="229">
        <v>43453.379071064803</v>
      </c>
      <c r="AV307" s="229"/>
      <c r="AW307" s="229"/>
      <c r="AX307" s="229"/>
      <c r="AY307" s="229"/>
      <c r="AZ307" s="238">
        <v>43245</v>
      </c>
      <c r="BA307" s="1" t="s">
        <v>7684</v>
      </c>
      <c r="BB307"/>
      <c r="BC307">
        <v>50</v>
      </c>
      <c r="BD307">
        <v>364</v>
      </c>
      <c r="BE30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07" s="240">
        <f>COUNTIFS(_05preva_view43[Site ID],_05preva_view43[[#This Row],[Site ID]],_05preva_view43[Prevalidation Status],"Under Prevalidation")</f>
        <v>0</v>
      </c>
      <c r="BG30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7" s="242" t="str">
        <f>CONCATENATE(_05preva_view43[[#This Row],[Site ID]]," (",_05preva_view43[[#This Row],[tenant id]],") Application",IF(_05preva_view43[[#This Row],[Colo Rev]]&gt;0," Rev "&amp;_05preva_view43[[#This Row],[Colo Rev]],""),".xlsx")</f>
        <v>ANNP_0391 (NPW0266) Application.xlsx</v>
      </c>
      <c r="BI307" s="64" t="e">
        <f t="shared" ca="1" si="5"/>
        <v>#VALUE!</v>
      </c>
      <c r="BJ307" s="104" t="e">
        <f ca="1">LEFT(CELL("filename",A292),_05preva_view43[[#This Row],[Find Process &amp; Database]]-1)</f>
        <v>#VALUE!</v>
      </c>
      <c r="BK307" s="104" t="e">
        <f ca="1">_05preva_view43[Folder Path1]&amp;"Process &amp; Database\Documentation\Colo Applications"</f>
        <v>#VALUE!</v>
      </c>
      <c r="BL307" s="104" t="e">
        <f ca="1">_05preva_view43[Folder Path2]&amp;"\Colo App "&amp;_05preva_view43[[#This Row],[Operator]]&amp;"\"</f>
        <v>#VALUE!</v>
      </c>
      <c r="BM307" s="63" t="e">
        <f ca="1">_05preva_view43[[#This Row],[Folder Path3]]&amp;_05preva_view43[[#This Row],[File Name]]</f>
        <v>#VALUE!</v>
      </c>
      <c r="BN307" s="104"/>
      <c r="CF307" s="5"/>
      <c r="CG307" s="5"/>
      <c r="CH307" s="3"/>
      <c r="CJ307" s="5"/>
      <c r="CN307" s="3"/>
      <c r="CO307" s="3"/>
      <c r="CP307" s="5"/>
      <c r="CR307" s="3"/>
      <c r="DN307" s="5"/>
      <c r="DP307" s="3"/>
      <c r="EB307" s="7"/>
      <c r="EC307" s="7"/>
      <c r="EF307" s="4"/>
      <c r="EG307" s="4"/>
      <c r="EQ307" s="2"/>
      <c r="ER307" s="2"/>
    </row>
    <row r="308" spans="1:148">
      <c r="A308" s="227">
        <v>224</v>
      </c>
      <c r="B308" s="228" t="s">
        <v>521</v>
      </c>
      <c r="C308" s="228" t="s">
        <v>116</v>
      </c>
      <c r="D308" s="228" t="s">
        <v>127</v>
      </c>
      <c r="E308" s="228" t="s">
        <v>522</v>
      </c>
      <c r="F308" s="228" t="s">
        <v>34</v>
      </c>
      <c r="G308" s="228" t="s">
        <v>1284</v>
      </c>
      <c r="H308" s="228" t="s">
        <v>1290</v>
      </c>
      <c r="I308" s="228" t="s">
        <v>118</v>
      </c>
      <c r="J308" s="228"/>
      <c r="K308" s="229">
        <v>43245</v>
      </c>
      <c r="L308" s="230"/>
      <c r="M308" s="230">
        <v>2</v>
      </c>
      <c r="N308" s="228">
        <v>6</v>
      </c>
      <c r="O308" s="228" t="s">
        <v>119</v>
      </c>
      <c r="P308" s="231" t="s">
        <v>240</v>
      </c>
      <c r="Q308" s="231" t="s">
        <v>241</v>
      </c>
      <c r="R308" s="228" t="s">
        <v>24</v>
      </c>
      <c r="S308" s="228"/>
      <c r="T308" s="232" t="s">
        <v>120</v>
      </c>
      <c r="U308" s="228" t="s">
        <v>513</v>
      </c>
      <c r="V308" s="232" t="s">
        <v>120</v>
      </c>
      <c r="W308" s="228"/>
      <c r="X308" s="232" t="s">
        <v>120</v>
      </c>
      <c r="Y308" s="228" t="s">
        <v>120</v>
      </c>
      <c r="Z308" s="233" t="s">
        <v>120</v>
      </c>
      <c r="AA308" s="234"/>
      <c r="AB308" s="234"/>
      <c r="AC308" s="235" t="s">
        <v>123</v>
      </c>
      <c r="AD308" s="228"/>
      <c r="AE308" s="232" t="s">
        <v>615</v>
      </c>
      <c r="AF308" s="229" t="s">
        <v>282</v>
      </c>
      <c r="AG308" s="236"/>
      <c r="AH308" s="236">
        <v>2</v>
      </c>
      <c r="AI308" s="228" t="s">
        <v>523</v>
      </c>
      <c r="AJ308" s="232" t="s">
        <v>120</v>
      </c>
      <c r="AK308" s="228" t="s">
        <v>123</v>
      </c>
      <c r="AL308" s="228"/>
      <c r="AM308" s="232" t="s">
        <v>615</v>
      </c>
      <c r="AN308" s="228"/>
      <c r="AO308" s="228" t="s">
        <v>615</v>
      </c>
      <c r="AP308" s="237"/>
      <c r="AQ308" s="228"/>
      <c r="AR308" s="232" t="s">
        <v>120</v>
      </c>
      <c r="AS308" s="228"/>
      <c r="AT308" s="229">
        <v>43417.622353009298</v>
      </c>
      <c r="AU308" s="229"/>
      <c r="AV308" s="229">
        <v>43417.680085648099</v>
      </c>
      <c r="AW308" s="229">
        <v>43417.71125</v>
      </c>
      <c r="AX308" s="229">
        <v>43417.688151388902</v>
      </c>
      <c r="AY308" s="229">
        <v>43417.684578588</v>
      </c>
      <c r="AZ308" s="238">
        <v>43454.726609722202</v>
      </c>
      <c r="BA308" s="1" t="s">
        <v>7684</v>
      </c>
      <c r="BB308"/>
      <c r="BC308">
        <v>60</v>
      </c>
      <c r="BD308">
        <v>1389</v>
      </c>
      <c r="BE308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209.72660972220183</v>
      </c>
      <c r="BF308" s="240">
        <f>COUNTIFS(_05preva_view43[Site ID],_05preva_view43[[#This Row],[Site ID]],_05preva_view43[Prevalidation Status],"Under Prevalidation")</f>
        <v>0</v>
      </c>
      <c r="BG30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8" s="242" t="str">
        <f>CONCATENATE(_05preva_view43[[#This Row],[Site ID]]," (",_05preva_view43[[#This Row],[tenant id]],") Application",IF(_05preva_view43[[#This Row],[Colo Rev]]&gt;0," Rev "&amp;_05preva_view43[[#This Row],[Colo Rev]],""),".xlsx")</f>
        <v>ANSG_0373 (SGG0992) Application.xlsx</v>
      </c>
      <c r="BI308" s="64" t="e">
        <f t="shared" ca="1" si="5"/>
        <v>#VALUE!</v>
      </c>
      <c r="BJ308" s="104" t="e">
        <f ca="1">LEFT(CELL("filename",A293),_05preva_view43[[#This Row],[Find Process &amp; Database]]-1)</f>
        <v>#VALUE!</v>
      </c>
      <c r="BK308" s="104" t="e">
        <f ca="1">_05preva_view43[Folder Path1]&amp;"Process &amp; Database\Documentation\Colo Applications"</f>
        <v>#VALUE!</v>
      </c>
      <c r="BL308" s="104" t="e">
        <f ca="1">_05preva_view43[Folder Path2]&amp;"\Colo App "&amp;_05preva_view43[[#This Row],[Operator]]&amp;"\"</f>
        <v>#VALUE!</v>
      </c>
      <c r="BM308" s="63" t="e">
        <f ca="1">_05preva_view43[[#This Row],[Folder Path3]]&amp;_05preva_view43[[#This Row],[File Name]]</f>
        <v>#VALUE!</v>
      </c>
      <c r="BN308" s="104"/>
      <c r="CF308" s="5"/>
      <c r="CG308" s="5"/>
      <c r="CH308" s="3"/>
      <c r="CJ308" s="5"/>
      <c r="CN308" s="3"/>
      <c r="CO308" s="3"/>
      <c r="CP308" s="5"/>
      <c r="CR308" s="3"/>
      <c r="DN308" s="5"/>
      <c r="DP308" s="3"/>
      <c r="EB308" s="7"/>
      <c r="EC308" s="7"/>
      <c r="EF308" s="4"/>
      <c r="EG308" s="4"/>
      <c r="EQ308" s="2"/>
      <c r="ER308" s="2"/>
    </row>
    <row r="309" spans="1:148">
      <c r="A309" s="227">
        <v>217</v>
      </c>
      <c r="B309" s="228" t="s">
        <v>506</v>
      </c>
      <c r="C309" s="228" t="s">
        <v>116</v>
      </c>
      <c r="D309" s="228" t="s">
        <v>117</v>
      </c>
      <c r="E309" s="228" t="s">
        <v>507</v>
      </c>
      <c r="F309" s="228" t="s">
        <v>35</v>
      </c>
      <c r="G309" s="228" t="s">
        <v>1287</v>
      </c>
      <c r="H309" s="228" t="s">
        <v>1285</v>
      </c>
      <c r="I309" s="228" t="s">
        <v>118</v>
      </c>
      <c r="J309" s="228"/>
      <c r="K309" s="229">
        <v>43237</v>
      </c>
      <c r="L309" s="230"/>
      <c r="M309" s="230">
        <v>1.3</v>
      </c>
      <c r="N309" s="228">
        <v>1</v>
      </c>
      <c r="O309" s="228" t="s">
        <v>119</v>
      </c>
      <c r="P309" s="231" t="s">
        <v>508</v>
      </c>
      <c r="Q309" s="231" t="s">
        <v>509</v>
      </c>
      <c r="R309" s="228" t="s">
        <v>24</v>
      </c>
      <c r="S309" s="228"/>
      <c r="T309" s="232" t="s">
        <v>120</v>
      </c>
      <c r="U309" s="228" t="s">
        <v>510</v>
      </c>
      <c r="V309" s="232" t="s">
        <v>120</v>
      </c>
      <c r="W309" s="228"/>
      <c r="X309" s="232" t="s">
        <v>120</v>
      </c>
      <c r="Y309" s="228"/>
      <c r="Z309" s="233" t="s">
        <v>120</v>
      </c>
      <c r="AA309" s="234"/>
      <c r="AB309" s="234"/>
      <c r="AC309" s="235" t="s">
        <v>123</v>
      </c>
      <c r="AD309" s="228"/>
      <c r="AE309" s="232" t="s">
        <v>120</v>
      </c>
      <c r="AF309" s="229" t="s">
        <v>511</v>
      </c>
      <c r="AG309" s="236"/>
      <c r="AH309" s="236">
        <v>2</v>
      </c>
      <c r="AI309" s="228" t="s">
        <v>512</v>
      </c>
      <c r="AJ309" s="232" t="s">
        <v>120</v>
      </c>
      <c r="AK309" s="228" t="s">
        <v>123</v>
      </c>
      <c r="AL309" s="228"/>
      <c r="AM309" s="232"/>
      <c r="AN309" s="228"/>
      <c r="AO309" s="228"/>
      <c r="AP309" s="237"/>
      <c r="AQ309" s="228"/>
      <c r="AR309" s="232"/>
      <c r="AS309" s="228"/>
      <c r="AT309" s="229"/>
      <c r="AU309" s="229">
        <v>43453.379067592599</v>
      </c>
      <c r="AV309" s="229"/>
      <c r="AW309" s="229"/>
      <c r="AX309" s="229"/>
      <c r="AY309" s="229"/>
      <c r="AZ309" s="238">
        <v>43237</v>
      </c>
      <c r="BA309" s="1" t="s">
        <v>7684</v>
      </c>
      <c r="BB309">
        <v>225</v>
      </c>
      <c r="BC309">
        <v>50</v>
      </c>
      <c r="BD309">
        <v>5</v>
      </c>
      <c r="BE30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09" s="240">
        <f>COUNTIFS(_05preva_view43[Site ID],_05preva_view43[[#This Row],[Site ID]],_05preva_view43[Prevalidation Status],"Under Prevalidation")</f>
        <v>0</v>
      </c>
      <c r="BG30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09" s="242" t="str">
        <f>CONCATENATE(_05preva_view43[[#This Row],[Site ID]]," (",_05preva_view43[[#This Row],[tenant id]],") Application",IF(_05preva_view43[[#This Row],[Colo Rev]]&gt;0," Rev "&amp;_05preva_view43[[#This Row],[Colo Rev]],""),".xlsx")</f>
        <v>ACRK_0028 (RKE00512) Application.xlsx</v>
      </c>
      <c r="BI309" s="64" t="e">
        <f t="shared" ca="1" si="5"/>
        <v>#VALUE!</v>
      </c>
      <c r="BJ309" s="104" t="e">
        <f ca="1">LEFT(CELL("filename",A294),_05preva_view43[[#This Row],[Find Process &amp; Database]]-1)</f>
        <v>#VALUE!</v>
      </c>
      <c r="BK309" s="104" t="e">
        <f ca="1">_05preva_view43[Folder Path1]&amp;"Process &amp; Database\Documentation\Colo Applications"</f>
        <v>#VALUE!</v>
      </c>
      <c r="BL309" s="104" t="e">
        <f ca="1">_05preva_view43[Folder Path2]&amp;"\Colo App "&amp;_05preva_view43[[#This Row],[Operator]]&amp;"\"</f>
        <v>#VALUE!</v>
      </c>
      <c r="BM309" s="63" t="e">
        <f ca="1">_05preva_view43[[#This Row],[Folder Path3]]&amp;_05preva_view43[[#This Row],[File Name]]</f>
        <v>#VALUE!</v>
      </c>
      <c r="BN309" s="104"/>
      <c r="CF309" s="5"/>
      <c r="CG309" s="5"/>
      <c r="CH309" s="3"/>
      <c r="CJ309" s="5"/>
      <c r="CN309" s="3"/>
      <c r="CO309" s="3"/>
      <c r="CP309" s="5"/>
      <c r="CR309" s="3"/>
      <c r="DN309" s="5"/>
      <c r="DP309" s="3"/>
      <c r="EB309" s="7"/>
      <c r="EC309" s="7"/>
      <c r="EF309" s="4"/>
      <c r="EG309" s="4"/>
      <c r="EQ309" s="2"/>
      <c r="ER309" s="2"/>
    </row>
    <row r="310" spans="1:148">
      <c r="A310" s="227">
        <v>69</v>
      </c>
      <c r="B310" s="228" t="s">
        <v>303</v>
      </c>
      <c r="C310" s="228" t="s">
        <v>116</v>
      </c>
      <c r="D310" s="228" t="s">
        <v>153</v>
      </c>
      <c r="E310" s="228" t="s">
        <v>304</v>
      </c>
      <c r="F310" s="228" t="s">
        <v>40</v>
      </c>
      <c r="G310" s="228" t="s">
        <v>118</v>
      </c>
      <c r="H310" s="228"/>
      <c r="I310" s="228" t="s">
        <v>118</v>
      </c>
      <c r="J310" s="228"/>
      <c r="K310" s="229">
        <v>43236</v>
      </c>
      <c r="L310" s="230"/>
      <c r="M310" s="230">
        <v>3</v>
      </c>
      <c r="N310" s="228"/>
      <c r="O310" s="228" t="s">
        <v>119</v>
      </c>
      <c r="P310" s="231"/>
      <c r="Q310" s="231"/>
      <c r="R310" s="228" t="s">
        <v>24</v>
      </c>
      <c r="S310" s="228"/>
      <c r="T310" s="232" t="s">
        <v>120</v>
      </c>
      <c r="U310" s="228" t="s">
        <v>301</v>
      </c>
      <c r="V310" s="232" t="s">
        <v>120</v>
      </c>
      <c r="W310" s="228"/>
      <c r="X310" s="232" t="s">
        <v>120</v>
      </c>
      <c r="Y310" s="228" t="s">
        <v>120</v>
      </c>
      <c r="Z310" s="233" t="s">
        <v>120</v>
      </c>
      <c r="AA310" s="234"/>
      <c r="AB310" s="234"/>
      <c r="AC310" s="235"/>
      <c r="AD310" s="228" t="s">
        <v>120</v>
      </c>
      <c r="AE310" s="232" t="s">
        <v>120</v>
      </c>
      <c r="AF310" s="229" t="s">
        <v>300</v>
      </c>
      <c r="AG310" s="236"/>
      <c r="AH310" s="236">
        <v>2</v>
      </c>
      <c r="AI310" s="228" t="s">
        <v>305</v>
      </c>
      <c r="AJ310" s="232" t="s">
        <v>120</v>
      </c>
      <c r="AK310" s="228" t="s">
        <v>123</v>
      </c>
      <c r="AL310" s="228"/>
      <c r="AM310" s="232"/>
      <c r="AN310" s="228"/>
      <c r="AO310" s="228"/>
      <c r="AP310" s="237"/>
      <c r="AQ310" s="228"/>
      <c r="AR310" s="232"/>
      <c r="AS310" s="228"/>
      <c r="AT310" s="229"/>
      <c r="AU310" s="229">
        <v>43453.378971296297</v>
      </c>
      <c r="AV310" s="229"/>
      <c r="AW310" s="229"/>
      <c r="AX310" s="229"/>
      <c r="AY310" s="229"/>
      <c r="AZ310" s="238">
        <v>43236</v>
      </c>
      <c r="BA310" s="1" t="s">
        <v>7684</v>
      </c>
      <c r="BB310"/>
      <c r="BC310">
        <v>60</v>
      </c>
      <c r="BD310">
        <v>1611</v>
      </c>
      <c r="BE31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0" s="240">
        <f>COUNTIFS(_05preva_view43[Site ID],_05preva_view43[[#This Row],[Site ID]],_05preva_view43[Prevalidation Status],"Under Prevalidation")</f>
        <v>0</v>
      </c>
      <c r="BG31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0" s="242" t="str">
        <f>CONCATENATE(_05preva_view43[[#This Row],[Site ID]]," (",_05preva_view43[[#This Row],[tenant id]],") Application",IF(_05preva_view43[[#This Row],[Colo Rev]]&gt;0," Rev "&amp;_05preva_view43[[#This Row],[Colo Rev]],""),".xlsx")</f>
        <v>ACAY_0015 (AYW5549) Application.xlsx</v>
      </c>
      <c r="BI310" s="64" t="e">
        <f t="shared" ca="1" si="5"/>
        <v>#VALUE!</v>
      </c>
      <c r="BJ310" s="104" t="e">
        <f ca="1">LEFT(CELL("filename",A295),_05preva_view43[[#This Row],[Find Process &amp; Database]]-1)</f>
        <v>#VALUE!</v>
      </c>
      <c r="BK310" s="104" t="e">
        <f ca="1">_05preva_view43[Folder Path1]&amp;"Process &amp; Database\Documentation\Colo Applications"</f>
        <v>#VALUE!</v>
      </c>
      <c r="BL310" s="104" t="e">
        <f ca="1">_05preva_view43[Folder Path2]&amp;"\Colo App "&amp;_05preva_view43[[#This Row],[Operator]]&amp;"\"</f>
        <v>#VALUE!</v>
      </c>
      <c r="BM310" s="63" t="e">
        <f ca="1">_05preva_view43[[#This Row],[Folder Path3]]&amp;_05preva_view43[[#This Row],[File Name]]</f>
        <v>#VALUE!</v>
      </c>
      <c r="BN310" s="104"/>
      <c r="CF310" s="5"/>
      <c r="CG310" s="5"/>
      <c r="CH310" s="3"/>
      <c r="CJ310" s="5"/>
      <c r="CN310" s="3"/>
      <c r="CO310" s="3"/>
      <c r="CP310" s="5"/>
      <c r="CR310" s="3"/>
      <c r="DN310" s="5"/>
      <c r="DP310" s="3"/>
      <c r="EB310" s="7"/>
      <c r="EC310" s="7"/>
      <c r="EF310" s="4"/>
      <c r="EG310" s="4"/>
      <c r="EQ310" s="2"/>
      <c r="ER310" s="2"/>
    </row>
    <row r="311" spans="1:148">
      <c r="A311" s="227">
        <v>70</v>
      </c>
      <c r="B311" s="228" t="s">
        <v>306</v>
      </c>
      <c r="C311" s="228" t="s">
        <v>116</v>
      </c>
      <c r="D311" s="228" t="s">
        <v>153</v>
      </c>
      <c r="E311" s="228" t="s">
        <v>307</v>
      </c>
      <c r="F311" s="228" t="s">
        <v>40</v>
      </c>
      <c r="G311" s="228" t="s">
        <v>118</v>
      </c>
      <c r="H311" s="228"/>
      <c r="I311" s="228" t="s">
        <v>118</v>
      </c>
      <c r="J311" s="228"/>
      <c r="K311" s="229">
        <v>43236</v>
      </c>
      <c r="L311" s="230"/>
      <c r="M311" s="230">
        <v>3</v>
      </c>
      <c r="N311" s="228"/>
      <c r="O311" s="228" t="s">
        <v>119</v>
      </c>
      <c r="P311" s="231"/>
      <c r="Q311" s="231"/>
      <c r="R311" s="228" t="s">
        <v>24</v>
      </c>
      <c r="S311" s="228"/>
      <c r="T311" s="232" t="s">
        <v>120</v>
      </c>
      <c r="U311" s="228" t="s">
        <v>301</v>
      </c>
      <c r="V311" s="232" t="s">
        <v>120</v>
      </c>
      <c r="W311" s="228"/>
      <c r="X311" s="232" t="s">
        <v>120</v>
      </c>
      <c r="Y311" s="228" t="s">
        <v>120</v>
      </c>
      <c r="Z311" s="233" t="s">
        <v>120</v>
      </c>
      <c r="AA311" s="234"/>
      <c r="AB311" s="234"/>
      <c r="AC311" s="235"/>
      <c r="AD311" s="228" t="s">
        <v>120</v>
      </c>
      <c r="AE311" s="232" t="s">
        <v>120</v>
      </c>
      <c r="AF311" s="229" t="s">
        <v>207</v>
      </c>
      <c r="AG311" s="236"/>
      <c r="AH311" s="236">
        <v>3.5</v>
      </c>
      <c r="AI311" s="228" t="s">
        <v>308</v>
      </c>
      <c r="AJ311" s="232" t="s">
        <v>120</v>
      </c>
      <c r="AK311" s="228" t="s">
        <v>123</v>
      </c>
      <c r="AL311" s="228"/>
      <c r="AM311" s="232"/>
      <c r="AN311" s="228"/>
      <c r="AO311" s="228"/>
      <c r="AP311" s="237"/>
      <c r="AQ311" s="228"/>
      <c r="AR311" s="232"/>
      <c r="AS311" s="228"/>
      <c r="AT311" s="229"/>
      <c r="AU311" s="229">
        <v>43453.378972222199</v>
      </c>
      <c r="AV311" s="229"/>
      <c r="AW311" s="229"/>
      <c r="AX311" s="229"/>
      <c r="AY311" s="229"/>
      <c r="AZ311" s="238">
        <v>43236</v>
      </c>
      <c r="BA311" s="1" t="s">
        <v>7684</v>
      </c>
      <c r="BB311"/>
      <c r="BC311">
        <v>50</v>
      </c>
      <c r="BD311">
        <v>237</v>
      </c>
      <c r="BE31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1" s="240">
        <f>COUNTIFS(_05preva_view43[Site ID],_05preva_view43[[#This Row],[Site ID]],_05preva_view43[Prevalidation Status],"Under Prevalidation")</f>
        <v>0</v>
      </c>
      <c r="BG31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1" s="242" t="str">
        <f>CONCATENATE(_05preva_view43[[#This Row],[Site ID]]," (",_05preva_view43[[#This Row],[tenant id]],") Application",IF(_05preva_view43[[#This Row],[Colo Rev]]&gt;0," Rev "&amp;_05preva_view43[[#This Row],[Colo Rev]],""),".xlsx")</f>
        <v>ASMO_0313 (MOW6298) Application.xlsx</v>
      </c>
      <c r="BI311" s="64" t="e">
        <f t="shared" ca="1" si="5"/>
        <v>#VALUE!</v>
      </c>
      <c r="BJ311" s="104" t="e">
        <f ca="1">LEFT(CELL("filename",A296),_05preva_view43[[#This Row],[Find Process &amp; Database]]-1)</f>
        <v>#VALUE!</v>
      </c>
      <c r="BK311" s="104" t="e">
        <f ca="1">_05preva_view43[Folder Path1]&amp;"Process &amp; Database\Documentation\Colo Applications"</f>
        <v>#VALUE!</v>
      </c>
      <c r="BL311" s="104" t="e">
        <f ca="1">_05preva_view43[Folder Path2]&amp;"\Colo App "&amp;_05preva_view43[[#This Row],[Operator]]&amp;"\"</f>
        <v>#VALUE!</v>
      </c>
      <c r="BM311" s="63" t="e">
        <f ca="1">_05preva_view43[[#This Row],[Folder Path3]]&amp;_05preva_view43[[#This Row],[File Name]]</f>
        <v>#VALUE!</v>
      </c>
      <c r="BN311" s="104"/>
      <c r="CF311" s="5"/>
      <c r="CG311" s="5"/>
      <c r="CH311" s="3"/>
      <c r="CJ311" s="5"/>
      <c r="CN311" s="3"/>
      <c r="CO311" s="3"/>
      <c r="CP311" s="5"/>
      <c r="CR311" s="3"/>
      <c r="DN311" s="5"/>
      <c r="DP311" s="3"/>
      <c r="EB311" s="7"/>
      <c r="EC311" s="7"/>
      <c r="EF311" s="4"/>
      <c r="EG311" s="4"/>
      <c r="EQ311" s="2"/>
      <c r="ER311" s="2"/>
    </row>
    <row r="312" spans="1:148">
      <c r="A312" s="227">
        <v>71</v>
      </c>
      <c r="B312" s="228" t="s">
        <v>309</v>
      </c>
      <c r="C312" s="228" t="s">
        <v>116</v>
      </c>
      <c r="D312" s="228" t="s">
        <v>153</v>
      </c>
      <c r="E312" s="228" t="s">
        <v>310</v>
      </c>
      <c r="F312" s="228" t="s">
        <v>40</v>
      </c>
      <c r="G312" s="228" t="s">
        <v>118</v>
      </c>
      <c r="H312" s="228"/>
      <c r="I312" s="228" t="s">
        <v>118</v>
      </c>
      <c r="J312" s="228"/>
      <c r="K312" s="229">
        <v>43236</v>
      </c>
      <c r="L312" s="230"/>
      <c r="M312" s="230">
        <v>3</v>
      </c>
      <c r="N312" s="228"/>
      <c r="O312" s="228" t="s">
        <v>119</v>
      </c>
      <c r="P312" s="231"/>
      <c r="Q312" s="231"/>
      <c r="R312" s="228" t="s">
        <v>24</v>
      </c>
      <c r="S312" s="228"/>
      <c r="T312" s="232" t="s">
        <v>120</v>
      </c>
      <c r="U312" s="228" t="s">
        <v>301</v>
      </c>
      <c r="V312" s="232" t="s">
        <v>120</v>
      </c>
      <c r="W312" s="228"/>
      <c r="X312" s="232" t="s">
        <v>120</v>
      </c>
      <c r="Y312" s="228" t="s">
        <v>120</v>
      </c>
      <c r="Z312" s="233" t="s">
        <v>120</v>
      </c>
      <c r="AA312" s="234"/>
      <c r="AB312" s="234"/>
      <c r="AC312" s="235"/>
      <c r="AD312" s="228" t="s">
        <v>120</v>
      </c>
      <c r="AE312" s="232" t="s">
        <v>120</v>
      </c>
      <c r="AF312" s="229" t="s">
        <v>300</v>
      </c>
      <c r="AG312" s="236"/>
      <c r="AH312" s="236">
        <v>2</v>
      </c>
      <c r="AI312" s="228" t="s">
        <v>311</v>
      </c>
      <c r="AJ312" s="232" t="s">
        <v>120</v>
      </c>
      <c r="AK312" s="228" t="s">
        <v>123</v>
      </c>
      <c r="AL312" s="228"/>
      <c r="AM312" s="232"/>
      <c r="AN312" s="228"/>
      <c r="AO312" s="228"/>
      <c r="AP312" s="237"/>
      <c r="AQ312" s="228"/>
      <c r="AR312" s="232"/>
      <c r="AS312" s="228"/>
      <c r="AT312" s="229"/>
      <c r="AU312" s="229">
        <v>43453.378973032399</v>
      </c>
      <c r="AV312" s="229"/>
      <c r="AW312" s="229"/>
      <c r="AX312" s="229"/>
      <c r="AY312" s="229"/>
      <c r="AZ312" s="238">
        <v>43236</v>
      </c>
      <c r="BA312" s="1" t="s">
        <v>7684</v>
      </c>
      <c r="BB312">
        <v>160</v>
      </c>
      <c r="BC312">
        <v>60</v>
      </c>
      <c r="BD312">
        <v>547</v>
      </c>
      <c r="BE31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2" s="240">
        <f>COUNTIFS(_05preva_view43[Site ID],_05preva_view43[[#This Row],[Site ID]],_05preva_view43[Prevalidation Status],"Under Prevalidation")</f>
        <v>0</v>
      </c>
      <c r="BG31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2" s="242" t="str">
        <f>CONCATENATE(_05preva_view43[[#This Row],[Site ID]]," (",_05preva_view43[[#This Row],[tenant id]],") Application",IF(_05preva_view43[[#This Row],[Colo Rev]]&gt;0," Rev "&amp;_05preva_view43[[#This Row],[Colo Rev]],""),".xlsx")</f>
        <v>ASMO_0201 (MOW6299) Application.xlsx</v>
      </c>
      <c r="BI312" s="64" t="e">
        <f t="shared" ca="1" si="5"/>
        <v>#VALUE!</v>
      </c>
      <c r="BJ312" s="104" t="e">
        <f ca="1">LEFT(CELL("filename",A297),_05preva_view43[[#This Row],[Find Process &amp; Database]]-1)</f>
        <v>#VALUE!</v>
      </c>
      <c r="BK312" s="104" t="e">
        <f ca="1">_05preva_view43[Folder Path1]&amp;"Process &amp; Database\Documentation\Colo Applications"</f>
        <v>#VALUE!</v>
      </c>
      <c r="BL312" s="104" t="e">
        <f ca="1">_05preva_view43[Folder Path2]&amp;"\Colo App "&amp;_05preva_view43[[#This Row],[Operator]]&amp;"\"</f>
        <v>#VALUE!</v>
      </c>
      <c r="BM312" s="63" t="e">
        <f ca="1">_05preva_view43[[#This Row],[Folder Path3]]&amp;_05preva_view43[[#This Row],[File Name]]</f>
        <v>#VALUE!</v>
      </c>
      <c r="BN312" s="104"/>
      <c r="CF312" s="5"/>
      <c r="CG312" s="5"/>
      <c r="CH312" s="3"/>
      <c r="CJ312" s="5"/>
      <c r="CN312" s="3"/>
      <c r="CO312" s="3"/>
      <c r="CP312" s="5"/>
      <c r="CR312" s="3"/>
      <c r="DN312" s="5"/>
      <c r="DP312" s="3"/>
      <c r="EB312" s="7"/>
      <c r="EC312" s="7"/>
      <c r="EF312" s="4"/>
      <c r="EG312" s="4"/>
      <c r="EQ312" s="2"/>
      <c r="ER312" s="2"/>
    </row>
    <row r="313" spans="1:148">
      <c r="A313" s="227">
        <v>72</v>
      </c>
      <c r="B313" s="228" t="s">
        <v>312</v>
      </c>
      <c r="C313" s="228" t="s">
        <v>116</v>
      </c>
      <c r="D313" s="228" t="s">
        <v>153</v>
      </c>
      <c r="E313" s="228" t="s">
        <v>313</v>
      </c>
      <c r="F313" s="228" t="s">
        <v>40</v>
      </c>
      <c r="G313" s="228" t="s">
        <v>118</v>
      </c>
      <c r="H313" s="228"/>
      <c r="I313" s="228" t="s">
        <v>118</v>
      </c>
      <c r="J313" s="228"/>
      <c r="K313" s="229">
        <v>43236</v>
      </c>
      <c r="L313" s="230"/>
      <c r="M313" s="230">
        <v>3</v>
      </c>
      <c r="N313" s="228"/>
      <c r="O313" s="228" t="s">
        <v>119</v>
      </c>
      <c r="P313" s="231"/>
      <c r="Q313" s="231"/>
      <c r="R313" s="228" t="s">
        <v>24</v>
      </c>
      <c r="S313" s="228"/>
      <c r="T313" s="232" t="s">
        <v>120</v>
      </c>
      <c r="U313" s="228" t="s">
        <v>301</v>
      </c>
      <c r="V313" s="232" t="s">
        <v>120</v>
      </c>
      <c r="W313" s="228"/>
      <c r="X313" s="232" t="s">
        <v>120</v>
      </c>
      <c r="Y313" s="228" t="s">
        <v>120</v>
      </c>
      <c r="Z313" s="233" t="s">
        <v>120</v>
      </c>
      <c r="AA313" s="234"/>
      <c r="AB313" s="234"/>
      <c r="AC313" s="235"/>
      <c r="AD313" s="228" t="s">
        <v>120</v>
      </c>
      <c r="AE313" s="232" t="s">
        <v>120</v>
      </c>
      <c r="AF313" s="229" t="s">
        <v>207</v>
      </c>
      <c r="AG313" s="236"/>
      <c r="AH313" s="236">
        <v>3.5</v>
      </c>
      <c r="AI313" s="228" t="s">
        <v>208</v>
      </c>
      <c r="AJ313" s="232" t="s">
        <v>120</v>
      </c>
      <c r="AK313" s="228" t="s">
        <v>123</v>
      </c>
      <c r="AL313" s="228"/>
      <c r="AM313" s="232"/>
      <c r="AN313" s="228"/>
      <c r="AO313" s="228"/>
      <c r="AP313" s="237"/>
      <c r="AQ313" s="228"/>
      <c r="AR313" s="232"/>
      <c r="AS313" s="228"/>
      <c r="AT313" s="229"/>
      <c r="AU313" s="229">
        <v>43453.378975</v>
      </c>
      <c r="AV313" s="229"/>
      <c r="AW313" s="229"/>
      <c r="AX313" s="229"/>
      <c r="AY313" s="229"/>
      <c r="AZ313" s="238">
        <v>43236</v>
      </c>
      <c r="BA313" s="1" t="s">
        <v>7684</v>
      </c>
      <c r="BB313"/>
      <c r="BC313">
        <v>40</v>
      </c>
      <c r="BD313">
        <v>521</v>
      </c>
      <c r="BE31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3" s="240">
        <f>COUNTIFS(_05preva_view43[Site ID],_05preva_view43[[#This Row],[Site ID]],_05preva_view43[Prevalidation Status],"Under Prevalidation")</f>
        <v>0</v>
      </c>
      <c r="BG31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3" s="242" t="str">
        <f>CONCATENATE(_05preva_view43[[#This Row],[Site ID]]," (",_05preva_view43[[#This Row],[tenant id]],") Application",IF(_05preva_view43[[#This Row],[Colo Rev]]&gt;0," Rev "&amp;_05preva_view43[[#This Row],[Colo Rev]],""),".xlsx")</f>
        <v>ACBA_0255 (BAW5557) Application.xlsx</v>
      </c>
      <c r="BI313" s="64" t="e">
        <f t="shared" ca="1" si="5"/>
        <v>#VALUE!</v>
      </c>
      <c r="BJ313" s="104" t="e">
        <f ca="1">LEFT(CELL("filename",A298),_05preva_view43[[#This Row],[Find Process &amp; Database]]-1)</f>
        <v>#VALUE!</v>
      </c>
      <c r="BK313" s="104" t="e">
        <f ca="1">_05preva_view43[Folder Path1]&amp;"Process &amp; Database\Documentation\Colo Applications"</f>
        <v>#VALUE!</v>
      </c>
      <c r="BL313" s="104" t="e">
        <f ca="1">_05preva_view43[Folder Path2]&amp;"\Colo App "&amp;_05preva_view43[[#This Row],[Operator]]&amp;"\"</f>
        <v>#VALUE!</v>
      </c>
      <c r="BM313" s="63" t="e">
        <f ca="1">_05preva_view43[[#This Row],[Folder Path3]]&amp;_05preva_view43[[#This Row],[File Name]]</f>
        <v>#VALUE!</v>
      </c>
      <c r="BN313" s="104"/>
      <c r="CF313" s="5"/>
      <c r="CG313" s="5"/>
      <c r="CH313" s="3"/>
      <c r="CJ313" s="5"/>
      <c r="CN313" s="3"/>
      <c r="CO313" s="3"/>
      <c r="CP313" s="5"/>
      <c r="CR313" s="3"/>
      <c r="DN313" s="5"/>
      <c r="DP313" s="3"/>
      <c r="EB313" s="7"/>
      <c r="EC313" s="7"/>
      <c r="EF313" s="4"/>
      <c r="EG313" s="4"/>
      <c r="EQ313" s="2"/>
      <c r="ER313" s="2"/>
    </row>
    <row r="314" spans="1:148">
      <c r="A314" s="227">
        <v>75</v>
      </c>
      <c r="B314" s="228" t="s">
        <v>314</v>
      </c>
      <c r="C314" s="228" t="s">
        <v>116</v>
      </c>
      <c r="D314" s="228" t="s">
        <v>153</v>
      </c>
      <c r="E314" s="228" t="s">
        <v>315</v>
      </c>
      <c r="F314" s="228" t="s">
        <v>40</v>
      </c>
      <c r="G314" s="228" t="s">
        <v>118</v>
      </c>
      <c r="H314" s="228"/>
      <c r="I314" s="228" t="s">
        <v>118</v>
      </c>
      <c r="J314" s="228"/>
      <c r="K314" s="229">
        <v>43236</v>
      </c>
      <c r="L314" s="230"/>
      <c r="M314" s="230">
        <v>3</v>
      </c>
      <c r="N314" s="228"/>
      <c r="O314" s="228" t="s">
        <v>119</v>
      </c>
      <c r="P314" s="231"/>
      <c r="Q314" s="231"/>
      <c r="R314" s="228" t="s">
        <v>24</v>
      </c>
      <c r="S314" s="228"/>
      <c r="T314" s="232" t="s">
        <v>120</v>
      </c>
      <c r="U314" s="228" t="s">
        <v>301</v>
      </c>
      <c r="V314" s="232" t="s">
        <v>120</v>
      </c>
      <c r="W314" s="228"/>
      <c r="X314" s="232" t="s">
        <v>120</v>
      </c>
      <c r="Y314" s="228" t="s">
        <v>316</v>
      </c>
      <c r="Z314" s="233" t="s">
        <v>120</v>
      </c>
      <c r="AA314" s="234"/>
      <c r="AB314" s="234"/>
      <c r="AC314" s="235"/>
      <c r="AD314" s="228" t="s">
        <v>120</v>
      </c>
      <c r="AE314" s="232" t="s">
        <v>120</v>
      </c>
      <c r="AF314" s="229" t="s">
        <v>207</v>
      </c>
      <c r="AG314" s="236"/>
      <c r="AH314" s="236">
        <v>3.5</v>
      </c>
      <c r="AI314" s="228" t="s">
        <v>208</v>
      </c>
      <c r="AJ314" s="232" t="s">
        <v>120</v>
      </c>
      <c r="AK314" s="228" t="s">
        <v>123</v>
      </c>
      <c r="AL314" s="228"/>
      <c r="AM314" s="232"/>
      <c r="AN314" s="228"/>
      <c r="AO314" s="228"/>
      <c r="AP314" s="237"/>
      <c r="AQ314" s="228"/>
      <c r="AR314" s="232"/>
      <c r="AS314" s="228"/>
      <c r="AT314" s="229"/>
      <c r="AU314" s="229">
        <v>43453.378976273103</v>
      </c>
      <c r="AV314" s="229"/>
      <c r="AW314" s="229"/>
      <c r="AX314" s="229"/>
      <c r="AY314" s="229"/>
      <c r="AZ314" s="238">
        <v>43236</v>
      </c>
      <c r="BA314" s="1" t="s">
        <v>7684</v>
      </c>
      <c r="BB314"/>
      <c r="BC314">
        <v>35</v>
      </c>
      <c r="BD314">
        <v>914</v>
      </c>
      <c r="BE31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4" s="240">
        <f>COUNTIFS(_05preva_view43[Site ID],_05preva_view43[[#This Row],[Site ID]],_05preva_view43[Prevalidation Status],"Under Prevalidation")</f>
        <v>0</v>
      </c>
      <c r="BG31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4" s="242" t="str">
        <f>CONCATENATE(_05preva_view43[[#This Row],[Site ID]]," (",_05preva_view43[[#This Row],[tenant id]],") Application",IF(_05preva_view43[[#This Row],[Colo Rev]]&gt;0," Rev "&amp;_05preva_view43[[#This Row],[Colo Rev]],""),".xlsx")</f>
        <v>AYYN_0244 (YAW7770) Application.xlsx</v>
      </c>
      <c r="BI314" s="64" t="e">
        <f t="shared" ca="1" si="5"/>
        <v>#VALUE!</v>
      </c>
      <c r="BJ314" s="104" t="e">
        <f ca="1">LEFT(CELL("filename",A299),_05preva_view43[[#This Row],[Find Process &amp; Database]]-1)</f>
        <v>#VALUE!</v>
      </c>
      <c r="BK314" s="104" t="e">
        <f ca="1">_05preva_view43[Folder Path1]&amp;"Process &amp; Database\Documentation\Colo Applications"</f>
        <v>#VALUE!</v>
      </c>
      <c r="BL314" s="104" t="e">
        <f ca="1">_05preva_view43[Folder Path2]&amp;"\Colo App "&amp;_05preva_view43[[#This Row],[Operator]]&amp;"\"</f>
        <v>#VALUE!</v>
      </c>
      <c r="BM314" s="63" t="e">
        <f ca="1">_05preva_view43[[#This Row],[Folder Path3]]&amp;_05preva_view43[[#This Row],[File Name]]</f>
        <v>#VALUE!</v>
      </c>
      <c r="BN314" s="104"/>
      <c r="CF314" s="5"/>
      <c r="CG314" s="5"/>
      <c r="CH314" s="3"/>
      <c r="CJ314" s="5"/>
      <c r="CN314" s="3"/>
      <c r="CO314" s="3"/>
      <c r="CP314" s="5"/>
      <c r="CR314" s="3"/>
      <c r="DN314" s="5"/>
      <c r="DP314" s="3"/>
      <c r="EB314" s="7"/>
      <c r="EC314" s="7"/>
      <c r="EF314" s="4"/>
      <c r="EG314" s="4"/>
      <c r="EQ314" s="2"/>
      <c r="ER314" s="2"/>
    </row>
    <row r="315" spans="1:148">
      <c r="A315" s="227">
        <v>79</v>
      </c>
      <c r="B315" s="228" t="s">
        <v>322</v>
      </c>
      <c r="C315" s="228" t="s">
        <v>116</v>
      </c>
      <c r="D315" s="228" t="s">
        <v>117</v>
      </c>
      <c r="E315" s="228" t="s">
        <v>323</v>
      </c>
      <c r="F315" s="228" t="s">
        <v>40</v>
      </c>
      <c r="G315" s="228" t="s">
        <v>1289</v>
      </c>
      <c r="H315" s="228" t="s">
        <v>1285</v>
      </c>
      <c r="I315" s="228" t="s">
        <v>118</v>
      </c>
      <c r="J315" s="228"/>
      <c r="K315" s="229">
        <v>43236</v>
      </c>
      <c r="L315" s="230"/>
      <c r="M315" s="230">
        <v>3</v>
      </c>
      <c r="N315" s="228"/>
      <c r="O315" s="228" t="s">
        <v>119</v>
      </c>
      <c r="P315" s="231"/>
      <c r="Q315" s="231"/>
      <c r="R315" s="228" t="s">
        <v>24</v>
      </c>
      <c r="S315" s="228"/>
      <c r="T315" s="232" t="s">
        <v>120</v>
      </c>
      <c r="U315" s="228" t="s">
        <v>301</v>
      </c>
      <c r="V315" s="232" t="s">
        <v>120</v>
      </c>
      <c r="W315" s="228"/>
      <c r="X315" s="232" t="s">
        <v>120</v>
      </c>
      <c r="Y315" s="228" t="s">
        <v>324</v>
      </c>
      <c r="Z315" s="233" t="s">
        <v>120</v>
      </c>
      <c r="AA315" s="234"/>
      <c r="AB315" s="234"/>
      <c r="AC315" s="235"/>
      <c r="AD315" s="228" t="s">
        <v>325</v>
      </c>
      <c r="AE315" s="232" t="s">
        <v>120</v>
      </c>
      <c r="AF315" s="229" t="s">
        <v>207</v>
      </c>
      <c r="AG315" s="236"/>
      <c r="AH315" s="236">
        <v>3.5</v>
      </c>
      <c r="AI315" s="228" t="s">
        <v>308</v>
      </c>
      <c r="AJ315" s="232" t="s">
        <v>120</v>
      </c>
      <c r="AK315" s="228" t="s">
        <v>123</v>
      </c>
      <c r="AL315" s="228"/>
      <c r="AM315" s="232"/>
      <c r="AN315" s="228"/>
      <c r="AO315" s="228"/>
      <c r="AP315" s="237"/>
      <c r="AQ315" s="228"/>
      <c r="AR315" s="232"/>
      <c r="AS315" s="228"/>
      <c r="AT315" s="229"/>
      <c r="AU315" s="229">
        <v>43453.378977662003</v>
      </c>
      <c r="AV315" s="229"/>
      <c r="AW315" s="229"/>
      <c r="AX315" s="229"/>
      <c r="AY315" s="229"/>
      <c r="AZ315" s="238">
        <v>43236</v>
      </c>
      <c r="BA315" s="1" t="s">
        <v>7684</v>
      </c>
      <c r="BB315">
        <v>130</v>
      </c>
      <c r="BC315">
        <v>45</v>
      </c>
      <c r="BD315">
        <v>1880</v>
      </c>
      <c r="BE31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5" s="240">
        <f>COUNTIFS(_05preva_view43[Site ID],_05preva_view43[[#This Row],[Site ID]],_05preva_view43[Prevalidation Status],"Under Prevalidation")</f>
        <v>0</v>
      </c>
      <c r="BG31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5" s="242" t="str">
        <f>CONCATENATE(_05preva_view43[[#This Row],[Site ID]]," (",_05preva_view43[[#This Row],[tenant id]],") Application",IF(_05preva_view43[[#This Row],[Colo Rev]]&gt;0," Rev "&amp;_05preva_view43[[#This Row],[Colo Rev]],""),".xlsx")</f>
        <v>ACBA_0094 (BAW5558) Application.xlsx</v>
      </c>
      <c r="BI315" s="64" t="e">
        <f t="shared" ca="1" si="5"/>
        <v>#VALUE!</v>
      </c>
      <c r="BJ315" s="104" t="e">
        <f ca="1">LEFT(CELL("filename",A300),_05preva_view43[[#This Row],[Find Process &amp; Database]]-1)</f>
        <v>#VALUE!</v>
      </c>
      <c r="BK315" s="104" t="e">
        <f ca="1">_05preva_view43[Folder Path1]&amp;"Process &amp; Database\Documentation\Colo Applications"</f>
        <v>#VALUE!</v>
      </c>
      <c r="BL315" s="104" t="e">
        <f ca="1">_05preva_view43[Folder Path2]&amp;"\Colo App "&amp;_05preva_view43[[#This Row],[Operator]]&amp;"\"</f>
        <v>#VALUE!</v>
      </c>
      <c r="BM315" s="63" t="e">
        <f ca="1">_05preva_view43[[#This Row],[Folder Path3]]&amp;_05preva_view43[[#This Row],[File Name]]</f>
        <v>#VALUE!</v>
      </c>
      <c r="BN315" s="104"/>
      <c r="CF315" s="5"/>
      <c r="CG315" s="5"/>
      <c r="CH315" s="3"/>
      <c r="CJ315" s="5"/>
      <c r="CN315" s="3"/>
      <c r="CO315" s="3"/>
      <c r="CP315" s="5"/>
      <c r="CR315" s="3"/>
      <c r="DN315" s="5"/>
      <c r="DP315" s="3"/>
      <c r="EB315" s="7"/>
      <c r="EC315" s="7"/>
      <c r="EF315" s="4"/>
      <c r="EG315" s="4"/>
      <c r="EQ315" s="2"/>
      <c r="ER315" s="2"/>
    </row>
    <row r="316" spans="1:148">
      <c r="A316" s="227">
        <v>83</v>
      </c>
      <c r="B316" s="228" t="s">
        <v>326</v>
      </c>
      <c r="C316" s="228" t="s">
        <v>116</v>
      </c>
      <c r="D316" s="228" t="s">
        <v>153</v>
      </c>
      <c r="E316" s="228" t="s">
        <v>327</v>
      </c>
      <c r="F316" s="228" t="s">
        <v>40</v>
      </c>
      <c r="G316" s="228" t="s">
        <v>118</v>
      </c>
      <c r="H316" s="228"/>
      <c r="I316" s="228" t="s">
        <v>118</v>
      </c>
      <c r="J316" s="228"/>
      <c r="K316" s="229">
        <v>43236</v>
      </c>
      <c r="L316" s="230"/>
      <c r="M316" s="230">
        <v>3</v>
      </c>
      <c r="N316" s="228"/>
      <c r="O316" s="228" t="s">
        <v>119</v>
      </c>
      <c r="P316" s="231"/>
      <c r="Q316" s="231"/>
      <c r="R316" s="228" t="s">
        <v>24</v>
      </c>
      <c r="S316" s="228"/>
      <c r="T316" s="232" t="s">
        <v>120</v>
      </c>
      <c r="U316" s="228" t="s">
        <v>301</v>
      </c>
      <c r="V316" s="232" t="s">
        <v>120</v>
      </c>
      <c r="W316" s="228"/>
      <c r="X316" s="232" t="s">
        <v>120</v>
      </c>
      <c r="Y316" s="228" t="s">
        <v>120</v>
      </c>
      <c r="Z316" s="233" t="s">
        <v>120</v>
      </c>
      <c r="AA316" s="234"/>
      <c r="AB316" s="234"/>
      <c r="AC316" s="235"/>
      <c r="AD316" s="228" t="s">
        <v>120</v>
      </c>
      <c r="AE316" s="232" t="s">
        <v>120</v>
      </c>
      <c r="AF316" s="229" t="s">
        <v>207</v>
      </c>
      <c r="AG316" s="236"/>
      <c r="AH316" s="236">
        <v>3.5</v>
      </c>
      <c r="AI316" s="228" t="s">
        <v>308</v>
      </c>
      <c r="AJ316" s="232" t="s">
        <v>120</v>
      </c>
      <c r="AK316" s="228" t="s">
        <v>123</v>
      </c>
      <c r="AL316" s="228"/>
      <c r="AM316" s="232"/>
      <c r="AN316" s="228"/>
      <c r="AO316" s="228"/>
      <c r="AP316" s="237"/>
      <c r="AQ316" s="228"/>
      <c r="AR316" s="232"/>
      <c r="AS316" s="228"/>
      <c r="AT316" s="229"/>
      <c r="AU316" s="229">
        <v>43453.378979745401</v>
      </c>
      <c r="AV316" s="229"/>
      <c r="AW316" s="229"/>
      <c r="AX316" s="229"/>
      <c r="AY316" s="229"/>
      <c r="AZ316" s="238">
        <v>43236</v>
      </c>
      <c r="BA316" s="1" t="s">
        <v>7684</v>
      </c>
      <c r="BB316"/>
      <c r="BC316">
        <v>60</v>
      </c>
      <c r="BD316">
        <v>1783</v>
      </c>
      <c r="BE31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6" s="240">
        <f>COUNTIFS(_05preva_view43[Site ID],_05preva_view43[[#This Row],[Site ID]],_05preva_view43[Prevalidation Status],"Under Prevalidation")</f>
        <v>0</v>
      </c>
      <c r="BG31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6" s="242" t="str">
        <f>CONCATENATE(_05preva_view43[[#This Row],[Site ID]]," (",_05preva_view43[[#This Row],[tenant id]],") Application",IF(_05preva_view43[[#This Row],[Colo Rev]]&gt;0," Rev "&amp;_05preva_view43[[#This Row],[Colo Rev]],""),".xlsx")</f>
        <v>ACBA_0056 (BAW5560) Application.xlsx</v>
      </c>
      <c r="BI316" s="64" t="e">
        <f t="shared" ca="1" si="5"/>
        <v>#VALUE!</v>
      </c>
      <c r="BJ316" s="104" t="e">
        <f ca="1">LEFT(CELL("filename",A301),_05preva_view43[[#This Row],[Find Process &amp; Database]]-1)</f>
        <v>#VALUE!</v>
      </c>
      <c r="BK316" s="104" t="e">
        <f ca="1">_05preva_view43[Folder Path1]&amp;"Process &amp; Database\Documentation\Colo Applications"</f>
        <v>#VALUE!</v>
      </c>
      <c r="BL316" s="104" t="e">
        <f ca="1">_05preva_view43[Folder Path2]&amp;"\Colo App "&amp;_05preva_view43[[#This Row],[Operator]]&amp;"\"</f>
        <v>#VALUE!</v>
      </c>
      <c r="BM316" s="63" t="e">
        <f ca="1">_05preva_view43[[#This Row],[Folder Path3]]&amp;_05preva_view43[[#This Row],[File Name]]</f>
        <v>#VALUE!</v>
      </c>
      <c r="BN316" s="104"/>
      <c r="CF316" s="5"/>
      <c r="CG316" s="5"/>
      <c r="CH316" s="3"/>
      <c r="CJ316" s="5"/>
      <c r="CN316" s="3"/>
      <c r="CO316" s="3"/>
      <c r="CP316" s="5"/>
      <c r="CR316" s="3"/>
      <c r="DN316" s="5"/>
      <c r="DP316" s="3"/>
      <c r="EB316" s="7"/>
      <c r="EC316" s="7"/>
      <c r="EF316" s="4"/>
      <c r="EG316" s="4"/>
      <c r="EQ316" s="2"/>
      <c r="ER316" s="2"/>
    </row>
    <row r="317" spans="1:148">
      <c r="A317" s="227">
        <v>85</v>
      </c>
      <c r="B317" s="228" t="s">
        <v>328</v>
      </c>
      <c r="C317" s="228" t="s">
        <v>116</v>
      </c>
      <c r="D317" s="228" t="s">
        <v>153</v>
      </c>
      <c r="E317" s="228" t="s">
        <v>329</v>
      </c>
      <c r="F317" s="228" t="s">
        <v>40</v>
      </c>
      <c r="G317" s="228" t="s">
        <v>1289</v>
      </c>
      <c r="H317" s="228" t="s">
        <v>1285</v>
      </c>
      <c r="I317" s="228" t="s">
        <v>118</v>
      </c>
      <c r="J317" s="228"/>
      <c r="K317" s="229">
        <v>43236</v>
      </c>
      <c r="L317" s="230"/>
      <c r="M317" s="230">
        <v>3</v>
      </c>
      <c r="N317" s="228"/>
      <c r="O317" s="228" t="s">
        <v>119</v>
      </c>
      <c r="P317" s="231"/>
      <c r="Q317" s="231"/>
      <c r="R317" s="228" t="s">
        <v>24</v>
      </c>
      <c r="S317" s="228"/>
      <c r="T317" s="232" t="s">
        <v>120</v>
      </c>
      <c r="U317" s="228" t="s">
        <v>301</v>
      </c>
      <c r="V317" s="232" t="s">
        <v>120</v>
      </c>
      <c r="W317" s="228"/>
      <c r="X317" s="232" t="s">
        <v>120</v>
      </c>
      <c r="Y317" s="228" t="s">
        <v>120</v>
      </c>
      <c r="Z317" s="233" t="s">
        <v>120</v>
      </c>
      <c r="AA317" s="234"/>
      <c r="AB317" s="234"/>
      <c r="AC317" s="235"/>
      <c r="AD317" s="228" t="s">
        <v>120</v>
      </c>
      <c r="AE317" s="232" t="s">
        <v>125</v>
      </c>
      <c r="AF317" s="229"/>
      <c r="AG317" s="236"/>
      <c r="AH317" s="236"/>
      <c r="AI317" s="228" t="s">
        <v>330</v>
      </c>
      <c r="AJ317" s="232" t="s">
        <v>120</v>
      </c>
      <c r="AK317" s="228" t="s">
        <v>123</v>
      </c>
      <c r="AL317" s="228"/>
      <c r="AM317" s="232"/>
      <c r="AN317" s="228"/>
      <c r="AO317" s="228"/>
      <c r="AP317" s="237"/>
      <c r="AQ317" s="228"/>
      <c r="AR317" s="232"/>
      <c r="AS317" s="228"/>
      <c r="AT317" s="229"/>
      <c r="AU317" s="229"/>
      <c r="AV317" s="229"/>
      <c r="AW317" s="229"/>
      <c r="AX317" s="229"/>
      <c r="AY317" s="229"/>
      <c r="AZ317" s="238"/>
      <c r="BA317" s="1" t="s">
        <v>7684</v>
      </c>
      <c r="BB317">
        <v>160</v>
      </c>
      <c r="BC317">
        <v>40</v>
      </c>
      <c r="BD317">
        <v>512</v>
      </c>
      <c r="BE31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7" s="240">
        <f>COUNTIFS(_05preva_view43[Site ID],_05preva_view43[[#This Row],[Site ID]],_05preva_view43[Prevalidation Status],"Under Prevalidation")</f>
        <v>0</v>
      </c>
      <c r="BG31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7" s="242" t="str">
        <f>CONCATENATE(_05preva_view43[[#This Row],[Site ID]]," (",_05preva_view43[[#This Row],[tenant id]],") Application",IF(_05preva_view43[[#This Row],[Colo Rev]]&gt;0," Rev "&amp;_05preva_view43[[#This Row],[Colo Rev]],""),".xlsx")</f>
        <v>ASMO_0267 (MOW6300) Application.xlsx</v>
      </c>
      <c r="BI317" s="64" t="e">
        <f t="shared" ca="1" si="5"/>
        <v>#VALUE!</v>
      </c>
      <c r="BJ317" s="104" t="e">
        <f ca="1">LEFT(CELL("filename",A302),_05preva_view43[[#This Row],[Find Process &amp; Database]]-1)</f>
        <v>#VALUE!</v>
      </c>
      <c r="BK317" s="104" t="e">
        <f ca="1">_05preva_view43[Folder Path1]&amp;"Process &amp; Database\Documentation\Colo Applications"</f>
        <v>#VALUE!</v>
      </c>
      <c r="BL317" s="104" t="e">
        <f ca="1">_05preva_view43[Folder Path2]&amp;"\Colo App "&amp;_05preva_view43[[#This Row],[Operator]]&amp;"\"</f>
        <v>#VALUE!</v>
      </c>
      <c r="BM317" s="63" t="e">
        <f ca="1">_05preva_view43[[#This Row],[Folder Path3]]&amp;_05preva_view43[[#This Row],[File Name]]</f>
        <v>#VALUE!</v>
      </c>
      <c r="BN317" s="104"/>
      <c r="CF317" s="5"/>
      <c r="CG317" s="5"/>
      <c r="CH317" s="3"/>
      <c r="CJ317" s="5"/>
      <c r="CN317" s="3"/>
      <c r="CO317" s="3"/>
      <c r="CP317" s="5"/>
      <c r="CR317" s="3"/>
      <c r="DN317" s="5"/>
      <c r="DP317" s="3"/>
      <c r="EB317" s="7"/>
      <c r="EC317" s="7"/>
      <c r="EF317" s="4"/>
      <c r="EG317" s="4"/>
      <c r="EQ317" s="2"/>
      <c r="ER317" s="2"/>
    </row>
    <row r="318" spans="1:148">
      <c r="A318" s="227">
        <v>90</v>
      </c>
      <c r="B318" s="228" t="s">
        <v>335</v>
      </c>
      <c r="C318" s="228" t="s">
        <v>116</v>
      </c>
      <c r="D318" s="228" t="s">
        <v>153</v>
      </c>
      <c r="E318" s="228" t="s">
        <v>336</v>
      </c>
      <c r="F318" s="228" t="s">
        <v>40</v>
      </c>
      <c r="G318" s="228" t="s">
        <v>1289</v>
      </c>
      <c r="H318" s="228" t="s">
        <v>1285</v>
      </c>
      <c r="I318" s="228" t="s">
        <v>118</v>
      </c>
      <c r="J318" s="228"/>
      <c r="K318" s="229">
        <v>43236</v>
      </c>
      <c r="L318" s="230"/>
      <c r="M318" s="230">
        <v>3</v>
      </c>
      <c r="N318" s="228"/>
      <c r="O318" s="228" t="s">
        <v>119</v>
      </c>
      <c r="P318" s="231"/>
      <c r="Q318" s="231"/>
      <c r="R318" s="228" t="s">
        <v>24</v>
      </c>
      <c r="S318" s="228"/>
      <c r="T318" s="232" t="s">
        <v>120</v>
      </c>
      <c r="U318" s="228" t="s">
        <v>301</v>
      </c>
      <c r="V318" s="232" t="s">
        <v>120</v>
      </c>
      <c r="W318" s="228"/>
      <c r="X318" s="232" t="s">
        <v>120</v>
      </c>
      <c r="Y318" s="228" t="s">
        <v>120</v>
      </c>
      <c r="Z318" s="233" t="s">
        <v>120</v>
      </c>
      <c r="AA318" s="234"/>
      <c r="AB318" s="234"/>
      <c r="AC318" s="235"/>
      <c r="AD318" s="228" t="s">
        <v>120</v>
      </c>
      <c r="AE318" s="232" t="s">
        <v>120</v>
      </c>
      <c r="AF318" s="229" t="s">
        <v>207</v>
      </c>
      <c r="AG318" s="236"/>
      <c r="AH318" s="236">
        <v>3.5</v>
      </c>
      <c r="AI318" s="228" t="s">
        <v>208</v>
      </c>
      <c r="AJ318" s="232" t="s">
        <v>120</v>
      </c>
      <c r="AK318" s="228" t="s">
        <v>123</v>
      </c>
      <c r="AL318" s="228"/>
      <c r="AM318" s="232"/>
      <c r="AN318" s="228"/>
      <c r="AO318" s="228"/>
      <c r="AP318" s="237"/>
      <c r="AQ318" s="228"/>
      <c r="AR318" s="232"/>
      <c r="AS318" s="228"/>
      <c r="AT318" s="229"/>
      <c r="AU318" s="229">
        <v>43453.378984143499</v>
      </c>
      <c r="AV318" s="229"/>
      <c r="AW318" s="229"/>
      <c r="AX318" s="229"/>
      <c r="AY318" s="229"/>
      <c r="AZ318" s="238">
        <v>43236</v>
      </c>
      <c r="BA318" s="1" t="s">
        <v>7684</v>
      </c>
      <c r="BB318"/>
      <c r="BC318">
        <v>50</v>
      </c>
      <c r="BD318">
        <v>664</v>
      </c>
      <c r="BE31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8" s="240">
        <f>COUNTIFS(_05preva_view43[Site ID],_05preva_view43[[#This Row],[Site ID]],_05preva_view43[Prevalidation Status],"Under Prevalidation")</f>
        <v>0</v>
      </c>
      <c r="BG31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8" s="242" t="str">
        <f>CONCATENATE(_05preva_view43[[#This Row],[Site ID]]," (",_05preva_view43[[#This Row],[tenant id]],") Application",IF(_05preva_view43[[#This Row],[Colo Rev]]&gt;0," Rev "&amp;_05preva_view43[[#This Row],[Colo Rev]],""),".xlsx")</f>
        <v>ASMO_0263 (MOW6303) Application.xlsx</v>
      </c>
      <c r="BI318" s="64" t="e">
        <f t="shared" ca="1" si="5"/>
        <v>#VALUE!</v>
      </c>
      <c r="BJ318" s="104" t="e">
        <f ca="1">LEFT(CELL("filename",A303),_05preva_view43[[#This Row],[Find Process &amp; Database]]-1)</f>
        <v>#VALUE!</v>
      </c>
      <c r="BK318" s="104" t="e">
        <f ca="1">_05preva_view43[Folder Path1]&amp;"Process &amp; Database\Documentation\Colo Applications"</f>
        <v>#VALUE!</v>
      </c>
      <c r="BL318" s="104" t="e">
        <f ca="1">_05preva_view43[Folder Path2]&amp;"\Colo App "&amp;_05preva_view43[[#This Row],[Operator]]&amp;"\"</f>
        <v>#VALUE!</v>
      </c>
      <c r="BM318" s="63" t="e">
        <f ca="1">_05preva_view43[[#This Row],[Folder Path3]]&amp;_05preva_view43[[#This Row],[File Name]]</f>
        <v>#VALUE!</v>
      </c>
      <c r="BN318" s="104"/>
      <c r="CF318" s="5"/>
      <c r="CG318" s="5"/>
      <c r="CH318" s="3"/>
      <c r="CJ318" s="5"/>
      <c r="CN318" s="3"/>
      <c r="CO318" s="3"/>
      <c r="CP318" s="5"/>
      <c r="CR318" s="3"/>
      <c r="DN318" s="5"/>
      <c r="DP318" s="3"/>
      <c r="EB318" s="7"/>
      <c r="EC318" s="7"/>
      <c r="EF318" s="4"/>
      <c r="EG318" s="4"/>
      <c r="EQ318" s="2"/>
      <c r="ER318" s="2"/>
    </row>
    <row r="319" spans="1:148">
      <c r="A319" s="227">
        <v>93</v>
      </c>
      <c r="B319" s="228" t="s">
        <v>340</v>
      </c>
      <c r="C319" s="228" t="s">
        <v>116</v>
      </c>
      <c r="D319" s="228" t="s">
        <v>153</v>
      </c>
      <c r="E319" s="228" t="s">
        <v>341</v>
      </c>
      <c r="F319" s="228" t="s">
        <v>40</v>
      </c>
      <c r="G319" s="228" t="s">
        <v>118</v>
      </c>
      <c r="H319" s="228"/>
      <c r="I319" s="228" t="s">
        <v>118</v>
      </c>
      <c r="J319" s="228"/>
      <c r="K319" s="229">
        <v>43236</v>
      </c>
      <c r="L319" s="230"/>
      <c r="M319" s="230">
        <v>3</v>
      </c>
      <c r="N319" s="228"/>
      <c r="O319" s="228" t="s">
        <v>119</v>
      </c>
      <c r="P319" s="231"/>
      <c r="Q319" s="231"/>
      <c r="R319" s="228" t="s">
        <v>24</v>
      </c>
      <c r="S319" s="228"/>
      <c r="T319" s="232" t="s">
        <v>120</v>
      </c>
      <c r="U319" s="228" t="s">
        <v>338</v>
      </c>
      <c r="V319" s="232" t="s">
        <v>120</v>
      </c>
      <c r="W319" s="228"/>
      <c r="X319" s="232" t="s">
        <v>120</v>
      </c>
      <c r="Y319" s="228" t="s">
        <v>320</v>
      </c>
      <c r="Z319" s="233" t="s">
        <v>125</v>
      </c>
      <c r="AA319" s="234"/>
      <c r="AB319" s="234"/>
      <c r="AC319" s="235" t="s">
        <v>123</v>
      </c>
      <c r="AD319" s="228" t="s">
        <v>339</v>
      </c>
      <c r="AE319" s="232" t="s">
        <v>125</v>
      </c>
      <c r="AF319" s="229"/>
      <c r="AG319" s="236"/>
      <c r="AH319" s="236"/>
      <c r="AI319" s="228" t="s">
        <v>308</v>
      </c>
      <c r="AJ319" s="232" t="s">
        <v>120</v>
      </c>
      <c r="AK319" s="228" t="s">
        <v>206</v>
      </c>
      <c r="AL319" s="228"/>
      <c r="AM319" s="232"/>
      <c r="AN319" s="228"/>
      <c r="AO319" s="228"/>
      <c r="AP319" s="237"/>
      <c r="AQ319" s="228"/>
      <c r="AR319" s="232"/>
      <c r="AS319" s="228"/>
      <c r="AT319" s="229"/>
      <c r="AU319" s="229"/>
      <c r="AV319" s="229"/>
      <c r="AW319" s="229"/>
      <c r="AX319" s="229"/>
      <c r="AY319" s="229"/>
      <c r="AZ319" s="238"/>
      <c r="BA319" s="1" t="s">
        <v>7684</v>
      </c>
      <c r="BB319">
        <v>195</v>
      </c>
      <c r="BC319">
        <v>35</v>
      </c>
      <c r="BD319">
        <v>18</v>
      </c>
      <c r="BE31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19" s="240">
        <f>COUNTIFS(_05preva_view43[Site ID],_05preva_view43[[#This Row],[Site ID]],_05preva_view43[Prevalidation Status],"Under Prevalidation")</f>
        <v>0</v>
      </c>
      <c r="BG31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19" s="242" t="str">
        <f>CONCATENATE(_05preva_view43[[#This Row],[Site ID]]," (",_05preva_view43[[#This Row],[tenant id]],") Application",IF(_05preva_view43[[#This Row],[Colo Rev]]&gt;0," Rev "&amp;_05preva_view43[[#This Row],[Colo Rev]],""),".xlsx")</f>
        <v>AYYN_0534 (YAW7825) Application.xlsx</v>
      </c>
      <c r="BI319" s="64" t="e">
        <f t="shared" ca="1" si="5"/>
        <v>#VALUE!</v>
      </c>
      <c r="BJ319" s="104" t="e">
        <f ca="1">LEFT(CELL("filename",A304),_05preva_view43[[#This Row],[Find Process &amp; Database]]-1)</f>
        <v>#VALUE!</v>
      </c>
      <c r="BK319" s="104" t="e">
        <f ca="1">_05preva_view43[Folder Path1]&amp;"Process &amp; Database\Documentation\Colo Applications"</f>
        <v>#VALUE!</v>
      </c>
      <c r="BL319" s="104" t="e">
        <f ca="1">_05preva_view43[Folder Path2]&amp;"\Colo App "&amp;_05preva_view43[[#This Row],[Operator]]&amp;"\"</f>
        <v>#VALUE!</v>
      </c>
      <c r="BM319" s="63" t="e">
        <f ca="1">_05preva_view43[[#This Row],[Folder Path3]]&amp;_05preva_view43[[#This Row],[File Name]]</f>
        <v>#VALUE!</v>
      </c>
      <c r="BN319" s="104"/>
      <c r="CF319" s="5"/>
      <c r="CG319" s="5"/>
      <c r="CH319" s="3"/>
      <c r="CJ319" s="5"/>
      <c r="CN319" s="3"/>
      <c r="CO319" s="3"/>
      <c r="CP319" s="5"/>
      <c r="CR319" s="3"/>
      <c r="DN319" s="5"/>
      <c r="DP319" s="3"/>
      <c r="EB319" s="7"/>
      <c r="EC319" s="7"/>
      <c r="EF319" s="4"/>
      <c r="EG319" s="4"/>
      <c r="EQ319" s="2"/>
      <c r="ER319" s="2"/>
    </row>
    <row r="320" spans="1:148">
      <c r="A320" s="227">
        <v>96</v>
      </c>
      <c r="B320" s="228" t="s">
        <v>342</v>
      </c>
      <c r="C320" s="228" t="s">
        <v>116</v>
      </c>
      <c r="D320" s="228" t="s">
        <v>153</v>
      </c>
      <c r="E320" s="228" t="s">
        <v>343</v>
      </c>
      <c r="F320" s="228" t="s">
        <v>40</v>
      </c>
      <c r="G320" s="228" t="s">
        <v>1289</v>
      </c>
      <c r="H320" s="228" t="s">
        <v>1290</v>
      </c>
      <c r="I320" s="228" t="s">
        <v>118</v>
      </c>
      <c r="J320" s="228"/>
      <c r="K320" s="229">
        <v>43236</v>
      </c>
      <c r="L320" s="230"/>
      <c r="M320" s="230">
        <v>3</v>
      </c>
      <c r="N320" s="228"/>
      <c r="O320" s="228" t="s">
        <v>119</v>
      </c>
      <c r="P320" s="231"/>
      <c r="Q320" s="231"/>
      <c r="R320" s="228" t="s">
        <v>24</v>
      </c>
      <c r="S320" s="228"/>
      <c r="T320" s="232" t="s">
        <v>120</v>
      </c>
      <c r="U320" s="228" t="s">
        <v>301</v>
      </c>
      <c r="V320" s="232" t="s">
        <v>120</v>
      </c>
      <c r="W320" s="228"/>
      <c r="X320" s="232" t="s">
        <v>120</v>
      </c>
      <c r="Y320" s="228" t="s">
        <v>120</v>
      </c>
      <c r="Z320" s="233" t="s">
        <v>125</v>
      </c>
      <c r="AA320" s="234"/>
      <c r="AB320" s="234"/>
      <c r="AC320" s="235"/>
      <c r="AD320" s="228" t="s">
        <v>344</v>
      </c>
      <c r="AE320" s="232" t="s">
        <v>125</v>
      </c>
      <c r="AF320" s="229"/>
      <c r="AG320" s="236"/>
      <c r="AH320" s="236"/>
      <c r="AI320" s="228" t="s">
        <v>345</v>
      </c>
      <c r="AJ320" s="232" t="s">
        <v>120</v>
      </c>
      <c r="AK320" s="228" t="s">
        <v>123</v>
      </c>
      <c r="AL320" s="228"/>
      <c r="AM320" s="232"/>
      <c r="AN320" s="228"/>
      <c r="AO320" s="228"/>
      <c r="AP320" s="237"/>
      <c r="AQ320" s="228"/>
      <c r="AR320" s="232"/>
      <c r="AS320" s="228"/>
      <c r="AT320" s="229"/>
      <c r="AU320" s="229"/>
      <c r="AV320" s="229"/>
      <c r="AW320" s="229"/>
      <c r="AX320" s="229"/>
      <c r="AY320" s="229"/>
      <c r="AZ320" s="238"/>
      <c r="BA320" s="1" t="s">
        <v>7684</v>
      </c>
      <c r="BB320">
        <v>195</v>
      </c>
      <c r="BC320">
        <v>35</v>
      </c>
      <c r="BD320">
        <v>1131</v>
      </c>
      <c r="BE32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0" s="240">
        <f>COUNTIFS(_05preva_view43[Site ID],_05preva_view43[[#This Row],[Site ID]],_05preva_view43[Prevalidation Status],"Under Prevalidation")</f>
        <v>0</v>
      </c>
      <c r="BG32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0" s="242" t="str">
        <f>CONCATENATE(_05preva_view43[[#This Row],[Site ID]]," (",_05preva_view43[[#This Row],[tenant id]],") Application",IF(_05preva_view43[[#This Row],[Colo Rev]]&gt;0," Rev "&amp;_05preva_view43[[#This Row],[Colo Rev]],""),".xlsx")</f>
        <v>AYYN_0128 (YAW7818) Application.xlsx</v>
      </c>
      <c r="BI320" s="64" t="e">
        <f t="shared" ca="1" si="5"/>
        <v>#VALUE!</v>
      </c>
      <c r="BJ320" s="104" t="e">
        <f ca="1">LEFT(CELL("filename",A305),_05preva_view43[[#This Row],[Find Process &amp; Database]]-1)</f>
        <v>#VALUE!</v>
      </c>
      <c r="BK320" s="104" t="e">
        <f ca="1">_05preva_view43[Folder Path1]&amp;"Process &amp; Database\Documentation\Colo Applications"</f>
        <v>#VALUE!</v>
      </c>
      <c r="BL320" s="104" t="e">
        <f ca="1">_05preva_view43[Folder Path2]&amp;"\Colo App "&amp;_05preva_view43[[#This Row],[Operator]]&amp;"\"</f>
        <v>#VALUE!</v>
      </c>
      <c r="BM320" s="63" t="e">
        <f ca="1">_05preva_view43[[#This Row],[Folder Path3]]&amp;_05preva_view43[[#This Row],[File Name]]</f>
        <v>#VALUE!</v>
      </c>
      <c r="BN320" s="104"/>
      <c r="CF320" s="5"/>
      <c r="CG320" s="5"/>
      <c r="CH320" s="3"/>
      <c r="CJ320" s="5"/>
      <c r="CN320" s="3"/>
      <c r="CO320" s="3"/>
      <c r="CP320" s="5"/>
      <c r="CR320" s="3"/>
      <c r="DN320" s="5"/>
      <c r="DP320" s="3"/>
      <c r="EB320" s="7"/>
      <c r="EC320" s="7"/>
      <c r="EF320" s="4"/>
      <c r="EG320" s="4"/>
      <c r="EQ320" s="2"/>
      <c r="ER320" s="2"/>
    </row>
    <row r="321" spans="1:148">
      <c r="A321" s="227">
        <v>98</v>
      </c>
      <c r="B321" s="228" t="s">
        <v>346</v>
      </c>
      <c r="C321" s="228" t="s">
        <v>116</v>
      </c>
      <c r="D321" s="228" t="s">
        <v>153</v>
      </c>
      <c r="E321" s="228" t="s">
        <v>347</v>
      </c>
      <c r="F321" s="228" t="s">
        <v>40</v>
      </c>
      <c r="G321" s="228" t="s">
        <v>1289</v>
      </c>
      <c r="H321" s="228" t="s">
        <v>1290</v>
      </c>
      <c r="I321" s="228" t="s">
        <v>118</v>
      </c>
      <c r="J321" s="228"/>
      <c r="K321" s="229">
        <v>43236</v>
      </c>
      <c r="L321" s="230"/>
      <c r="M321" s="230">
        <v>3</v>
      </c>
      <c r="N321" s="228"/>
      <c r="O321" s="228" t="s">
        <v>119</v>
      </c>
      <c r="P321" s="231"/>
      <c r="Q321" s="231"/>
      <c r="R321" s="228" t="s">
        <v>24</v>
      </c>
      <c r="S321" s="228"/>
      <c r="T321" s="232" t="s">
        <v>120</v>
      </c>
      <c r="U321" s="228" t="s">
        <v>301</v>
      </c>
      <c r="V321" s="232" t="s">
        <v>120</v>
      </c>
      <c r="W321" s="228"/>
      <c r="X321" s="232" t="s">
        <v>120</v>
      </c>
      <c r="Y321" s="228" t="s">
        <v>120</v>
      </c>
      <c r="Z321" s="233" t="s">
        <v>120</v>
      </c>
      <c r="AA321" s="234"/>
      <c r="AB321" s="234"/>
      <c r="AC321" s="235"/>
      <c r="AD321" s="228" t="s">
        <v>331</v>
      </c>
      <c r="AE321" s="232" t="s">
        <v>120</v>
      </c>
      <c r="AF321" s="229" t="s">
        <v>207</v>
      </c>
      <c r="AG321" s="236"/>
      <c r="AH321" s="236">
        <v>3.5</v>
      </c>
      <c r="AI321" s="228" t="s">
        <v>308</v>
      </c>
      <c r="AJ321" s="232" t="s">
        <v>120</v>
      </c>
      <c r="AK321" s="228" t="s">
        <v>123</v>
      </c>
      <c r="AL321" s="228"/>
      <c r="AM321" s="232"/>
      <c r="AN321" s="228"/>
      <c r="AO321" s="228"/>
      <c r="AP321" s="237"/>
      <c r="AQ321" s="228"/>
      <c r="AR321" s="232"/>
      <c r="AS321" s="228"/>
      <c r="AT321" s="229"/>
      <c r="AU321" s="229">
        <v>43453.378986458301</v>
      </c>
      <c r="AV321" s="229"/>
      <c r="AW321" s="229"/>
      <c r="AX321" s="229"/>
      <c r="AY321" s="229"/>
      <c r="AZ321" s="238">
        <v>43236</v>
      </c>
      <c r="BA321" s="1" t="s">
        <v>7684</v>
      </c>
      <c r="BB321">
        <v>195</v>
      </c>
      <c r="BC321">
        <v>35</v>
      </c>
      <c r="BD321">
        <v>1244</v>
      </c>
      <c r="BE32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1" s="240">
        <f>COUNTIFS(_05preva_view43[Site ID],_05preva_view43[[#This Row],[Site ID]],_05preva_view43[Prevalidation Status],"Under Prevalidation")</f>
        <v>0</v>
      </c>
      <c r="BG32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1" s="242" t="str">
        <f>CONCATENATE(_05preva_view43[[#This Row],[Site ID]]," (",_05preva_view43[[#This Row],[tenant id]],") Application",IF(_05preva_view43[[#This Row],[Colo Rev]]&gt;0," Rev "&amp;_05preva_view43[[#This Row],[Colo Rev]],""),".xlsx")</f>
        <v>AYYN_0104 (YAW7816) Application.xlsx</v>
      </c>
      <c r="BI321" s="64" t="e">
        <f t="shared" ca="1" si="5"/>
        <v>#VALUE!</v>
      </c>
      <c r="BJ321" s="104" t="e">
        <f ca="1">LEFT(CELL("filename",A306),_05preva_view43[[#This Row],[Find Process &amp; Database]]-1)</f>
        <v>#VALUE!</v>
      </c>
      <c r="BK321" s="104" t="e">
        <f ca="1">_05preva_view43[Folder Path1]&amp;"Process &amp; Database\Documentation\Colo Applications"</f>
        <v>#VALUE!</v>
      </c>
      <c r="BL321" s="104" t="e">
        <f ca="1">_05preva_view43[Folder Path2]&amp;"\Colo App "&amp;_05preva_view43[[#This Row],[Operator]]&amp;"\"</f>
        <v>#VALUE!</v>
      </c>
      <c r="BM321" s="63" t="e">
        <f ca="1">_05preva_view43[[#This Row],[Folder Path3]]&amp;_05preva_view43[[#This Row],[File Name]]</f>
        <v>#VALUE!</v>
      </c>
      <c r="BN321" s="104"/>
      <c r="CF321" s="5"/>
      <c r="CG321" s="5"/>
      <c r="CH321" s="3"/>
      <c r="CJ321" s="5"/>
      <c r="CN321" s="3"/>
      <c r="CO321" s="3"/>
      <c r="CP321" s="5"/>
      <c r="CR321" s="3"/>
      <c r="DN321" s="5"/>
      <c r="DP321" s="3"/>
      <c r="EB321" s="7"/>
      <c r="EC321" s="7"/>
      <c r="EF321" s="4"/>
      <c r="EG321" s="4"/>
      <c r="EQ321" s="2"/>
      <c r="ER321" s="2"/>
    </row>
    <row r="322" spans="1:148">
      <c r="A322" s="227">
        <v>99</v>
      </c>
      <c r="B322" s="228" t="s">
        <v>348</v>
      </c>
      <c r="C322" s="228" t="s">
        <v>116</v>
      </c>
      <c r="D322" s="228" t="s">
        <v>153</v>
      </c>
      <c r="E322" s="228" t="s">
        <v>349</v>
      </c>
      <c r="F322" s="228" t="s">
        <v>40</v>
      </c>
      <c r="G322" s="228" t="s">
        <v>118</v>
      </c>
      <c r="H322" s="228"/>
      <c r="I322" s="228" t="s">
        <v>118</v>
      </c>
      <c r="J322" s="228"/>
      <c r="K322" s="229">
        <v>43236</v>
      </c>
      <c r="L322" s="230"/>
      <c r="M322" s="230">
        <v>3</v>
      </c>
      <c r="N322" s="228"/>
      <c r="O322" s="228" t="s">
        <v>119</v>
      </c>
      <c r="P322" s="231"/>
      <c r="Q322" s="231"/>
      <c r="R322" s="228" t="s">
        <v>24</v>
      </c>
      <c r="S322" s="228"/>
      <c r="T322" s="232" t="s">
        <v>120</v>
      </c>
      <c r="U322" s="228" t="s">
        <v>301</v>
      </c>
      <c r="V322" s="232" t="s">
        <v>120</v>
      </c>
      <c r="W322" s="228"/>
      <c r="X322" s="232" t="s">
        <v>120</v>
      </c>
      <c r="Y322" s="228" t="s">
        <v>120</v>
      </c>
      <c r="Z322" s="233" t="s">
        <v>120</v>
      </c>
      <c r="AA322" s="234"/>
      <c r="AB322" s="234"/>
      <c r="AC322" s="235"/>
      <c r="AD322" s="228" t="s">
        <v>331</v>
      </c>
      <c r="AE322" s="232" t="s">
        <v>120</v>
      </c>
      <c r="AF322" s="229" t="s">
        <v>120</v>
      </c>
      <c r="AG322" s="236"/>
      <c r="AH322" s="236">
        <v>2</v>
      </c>
      <c r="AI322" s="228" t="s">
        <v>120</v>
      </c>
      <c r="AJ322" s="232" t="s">
        <v>120</v>
      </c>
      <c r="AK322" s="228" t="s">
        <v>123</v>
      </c>
      <c r="AL322" s="228"/>
      <c r="AM322" s="232"/>
      <c r="AN322" s="228"/>
      <c r="AO322" s="228"/>
      <c r="AP322" s="237"/>
      <c r="AQ322" s="228"/>
      <c r="AR322" s="232"/>
      <c r="AS322" s="228"/>
      <c r="AT322" s="229"/>
      <c r="AU322" s="229">
        <v>43453.378988194403</v>
      </c>
      <c r="AV322" s="229"/>
      <c r="AW322" s="229"/>
      <c r="AX322" s="229"/>
      <c r="AY322" s="229"/>
      <c r="AZ322" s="238">
        <v>43236</v>
      </c>
      <c r="BA322" s="1" t="s">
        <v>7684</v>
      </c>
      <c r="BB322">
        <v>160</v>
      </c>
      <c r="BC322">
        <v>35</v>
      </c>
      <c r="BD322">
        <v>1786</v>
      </c>
      <c r="BE32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2" s="240">
        <f>COUNTIFS(_05preva_view43[Site ID],_05preva_view43[[#This Row],[Site ID]],_05preva_view43[Prevalidation Status],"Under Prevalidation")</f>
        <v>0</v>
      </c>
      <c r="BG32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2" s="242" t="str">
        <f>CONCATENATE(_05preva_view43[[#This Row],[Site ID]]," (",_05preva_view43[[#This Row],[tenant id]],") Application",IF(_05preva_view43[[#This Row],[Colo Rev]]&gt;0," Rev "&amp;_05preva_view43[[#This Row],[Colo Rev]],""),".xlsx")</f>
        <v>AYYN_0580 (YAW7405) Application.xlsx</v>
      </c>
      <c r="BI322" s="64" t="e">
        <f t="shared" ca="1" si="5"/>
        <v>#VALUE!</v>
      </c>
      <c r="BJ322" s="104" t="e">
        <f ca="1">LEFT(CELL("filename",A307),_05preva_view43[[#This Row],[Find Process &amp; Database]]-1)</f>
        <v>#VALUE!</v>
      </c>
      <c r="BK322" s="104" t="e">
        <f ca="1">_05preva_view43[Folder Path1]&amp;"Process &amp; Database\Documentation\Colo Applications"</f>
        <v>#VALUE!</v>
      </c>
      <c r="BL322" s="104" t="e">
        <f ca="1">_05preva_view43[Folder Path2]&amp;"\Colo App "&amp;_05preva_view43[[#This Row],[Operator]]&amp;"\"</f>
        <v>#VALUE!</v>
      </c>
      <c r="BM322" s="63" t="e">
        <f ca="1">_05preva_view43[[#This Row],[Folder Path3]]&amp;_05preva_view43[[#This Row],[File Name]]</f>
        <v>#VALUE!</v>
      </c>
      <c r="BN322" s="104"/>
      <c r="CF322" s="5"/>
      <c r="CG322" s="5"/>
      <c r="CH322" s="3"/>
      <c r="CJ322" s="5"/>
      <c r="CN322" s="3"/>
      <c r="CO322" s="3"/>
      <c r="CP322" s="5"/>
      <c r="CR322" s="3"/>
      <c r="DN322" s="5"/>
      <c r="DP322" s="3"/>
      <c r="EB322" s="7"/>
      <c r="EC322" s="7"/>
      <c r="EF322" s="4"/>
      <c r="EG322" s="4"/>
      <c r="EQ322" s="2"/>
      <c r="ER322" s="2"/>
    </row>
    <row r="323" spans="1:148">
      <c r="A323" s="227">
        <v>103</v>
      </c>
      <c r="B323" s="228" t="s">
        <v>351</v>
      </c>
      <c r="C323" s="228" t="s">
        <v>116</v>
      </c>
      <c r="D323" s="228" t="s">
        <v>153</v>
      </c>
      <c r="E323" s="228" t="s">
        <v>352</v>
      </c>
      <c r="F323" s="228" t="s">
        <v>40</v>
      </c>
      <c r="G323" s="228" t="s">
        <v>1289</v>
      </c>
      <c r="H323" s="228" t="s">
        <v>1290</v>
      </c>
      <c r="I323" s="228" t="s">
        <v>118</v>
      </c>
      <c r="J323" s="228"/>
      <c r="K323" s="229">
        <v>43236</v>
      </c>
      <c r="L323" s="230"/>
      <c r="M323" s="230">
        <v>3</v>
      </c>
      <c r="N323" s="228"/>
      <c r="O323" s="228" t="s">
        <v>119</v>
      </c>
      <c r="P323" s="231"/>
      <c r="Q323" s="231"/>
      <c r="R323" s="228" t="s">
        <v>24</v>
      </c>
      <c r="S323" s="228"/>
      <c r="T323" s="232" t="s">
        <v>120</v>
      </c>
      <c r="U323" s="228" t="s">
        <v>319</v>
      </c>
      <c r="V323" s="232" t="s">
        <v>120</v>
      </c>
      <c r="W323" s="228"/>
      <c r="X323" s="232" t="s">
        <v>120</v>
      </c>
      <c r="Y323" s="228" t="s">
        <v>320</v>
      </c>
      <c r="Z323" s="233" t="s">
        <v>125</v>
      </c>
      <c r="AA323" s="234"/>
      <c r="AB323" s="234"/>
      <c r="AC323" s="235" t="s">
        <v>123</v>
      </c>
      <c r="AD323" s="228" t="s">
        <v>339</v>
      </c>
      <c r="AE323" s="232" t="s">
        <v>125</v>
      </c>
      <c r="AF323" s="229"/>
      <c r="AG323" s="236"/>
      <c r="AH323" s="236"/>
      <c r="AI323" s="228" t="s">
        <v>208</v>
      </c>
      <c r="AJ323" s="232" t="s">
        <v>120</v>
      </c>
      <c r="AK323" s="228" t="s">
        <v>206</v>
      </c>
      <c r="AL323" s="228"/>
      <c r="AM323" s="232"/>
      <c r="AN323" s="228"/>
      <c r="AO323" s="228"/>
      <c r="AP323" s="237"/>
      <c r="AQ323" s="228"/>
      <c r="AR323" s="232"/>
      <c r="AS323" s="228"/>
      <c r="AT323" s="229"/>
      <c r="AU323" s="229"/>
      <c r="AV323" s="229"/>
      <c r="AW323" s="229"/>
      <c r="AX323" s="229"/>
      <c r="AY323" s="229"/>
      <c r="AZ323" s="238"/>
      <c r="BA323" s="1" t="s">
        <v>7684</v>
      </c>
      <c r="BB323">
        <v>160</v>
      </c>
      <c r="BC323">
        <v>35</v>
      </c>
      <c r="BD323">
        <v>1292</v>
      </c>
      <c r="BE32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3" s="240">
        <f>COUNTIFS(_05preva_view43[Site ID],_05preva_view43[[#This Row],[Site ID]],_05preva_view43[Prevalidation Status],"Under Prevalidation")</f>
        <v>0</v>
      </c>
      <c r="BG32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3" s="242" t="str">
        <f>CONCATENATE(_05preva_view43[[#This Row],[Site ID]]," (",_05preva_view43[[#This Row],[tenant id]],") Application",IF(_05preva_view43[[#This Row],[Colo Rev]]&gt;0," Rev "&amp;_05preva_view43[[#This Row],[Colo Rev]],""),".xlsx")</f>
        <v>AYYN_0576 (YAW7812) Application.xlsx</v>
      </c>
      <c r="BI323" s="64" t="e">
        <f t="shared" ca="1" si="5"/>
        <v>#VALUE!</v>
      </c>
      <c r="BJ323" s="104" t="e">
        <f ca="1">LEFT(CELL("filename",A308),_05preva_view43[[#This Row],[Find Process &amp; Database]]-1)</f>
        <v>#VALUE!</v>
      </c>
      <c r="BK323" s="104" t="e">
        <f ca="1">_05preva_view43[Folder Path1]&amp;"Process &amp; Database\Documentation\Colo Applications"</f>
        <v>#VALUE!</v>
      </c>
      <c r="BL323" s="104" t="e">
        <f ca="1">_05preva_view43[Folder Path2]&amp;"\Colo App "&amp;_05preva_view43[[#This Row],[Operator]]&amp;"\"</f>
        <v>#VALUE!</v>
      </c>
      <c r="BM323" s="63" t="e">
        <f ca="1">_05preva_view43[[#This Row],[Folder Path3]]&amp;_05preva_view43[[#This Row],[File Name]]</f>
        <v>#VALUE!</v>
      </c>
      <c r="BN323" s="104"/>
      <c r="CF323" s="5"/>
      <c r="CG323" s="5"/>
      <c r="CH323" s="3"/>
      <c r="CJ323" s="5"/>
      <c r="CN323" s="3"/>
      <c r="CO323" s="3"/>
      <c r="CP323" s="5"/>
      <c r="CR323" s="3"/>
      <c r="DN323" s="5"/>
      <c r="DP323" s="3"/>
      <c r="EB323" s="7"/>
      <c r="EC323" s="7"/>
      <c r="EF323" s="4"/>
      <c r="EG323" s="4"/>
      <c r="EQ323" s="2"/>
      <c r="ER323" s="2"/>
    </row>
    <row r="324" spans="1:148">
      <c r="A324" s="227">
        <v>105</v>
      </c>
      <c r="B324" s="228" t="s">
        <v>354</v>
      </c>
      <c r="C324" s="228" t="s">
        <v>116</v>
      </c>
      <c r="D324" s="228" t="s">
        <v>153</v>
      </c>
      <c r="E324" s="228" t="s">
        <v>355</v>
      </c>
      <c r="F324" s="228" t="s">
        <v>40</v>
      </c>
      <c r="G324" s="228" t="s">
        <v>1289</v>
      </c>
      <c r="H324" s="228" t="s">
        <v>1290</v>
      </c>
      <c r="I324" s="228" t="s">
        <v>118</v>
      </c>
      <c r="J324" s="228"/>
      <c r="K324" s="229">
        <v>43236</v>
      </c>
      <c r="L324" s="230"/>
      <c r="M324" s="230">
        <v>3</v>
      </c>
      <c r="N324" s="228"/>
      <c r="O324" s="228" t="s">
        <v>119</v>
      </c>
      <c r="P324" s="231"/>
      <c r="Q324" s="231"/>
      <c r="R324" s="228" t="s">
        <v>24</v>
      </c>
      <c r="S324" s="228"/>
      <c r="T324" s="232" t="s">
        <v>120</v>
      </c>
      <c r="U324" s="228" t="s">
        <v>301</v>
      </c>
      <c r="V324" s="232" t="s">
        <v>120</v>
      </c>
      <c r="W324" s="228"/>
      <c r="X324" s="232" t="s">
        <v>120</v>
      </c>
      <c r="Y324" s="228" t="s">
        <v>120</v>
      </c>
      <c r="Z324" s="233" t="s">
        <v>120</v>
      </c>
      <c r="AA324" s="234"/>
      <c r="AB324" s="234"/>
      <c r="AC324" s="235"/>
      <c r="AD324" s="228" t="s">
        <v>331</v>
      </c>
      <c r="AE324" s="232" t="s">
        <v>120</v>
      </c>
      <c r="AF324" s="229" t="s">
        <v>207</v>
      </c>
      <c r="AG324" s="236"/>
      <c r="AH324" s="236">
        <v>3.5</v>
      </c>
      <c r="AI324" s="228" t="s">
        <v>308</v>
      </c>
      <c r="AJ324" s="232" t="s">
        <v>120</v>
      </c>
      <c r="AK324" s="228" t="s">
        <v>123</v>
      </c>
      <c r="AL324" s="228"/>
      <c r="AM324" s="232"/>
      <c r="AN324" s="228"/>
      <c r="AO324" s="228"/>
      <c r="AP324" s="237"/>
      <c r="AQ324" s="228"/>
      <c r="AR324" s="232"/>
      <c r="AS324" s="228"/>
      <c r="AT324" s="229"/>
      <c r="AU324" s="229">
        <v>43453.378991435202</v>
      </c>
      <c r="AV324" s="229"/>
      <c r="AW324" s="229"/>
      <c r="AX324" s="229"/>
      <c r="AY324" s="229"/>
      <c r="AZ324" s="238">
        <v>43236</v>
      </c>
      <c r="BA324" s="1" t="s">
        <v>7684</v>
      </c>
      <c r="BB324">
        <v>195</v>
      </c>
      <c r="BC324">
        <v>35</v>
      </c>
      <c r="BD324">
        <v>1091</v>
      </c>
      <c r="BE32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4" s="240">
        <f>COUNTIFS(_05preva_view43[Site ID],_05preva_view43[[#This Row],[Site ID]],_05preva_view43[Prevalidation Status],"Under Prevalidation")</f>
        <v>0</v>
      </c>
      <c r="BG32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4" s="242" t="str">
        <f>CONCATENATE(_05preva_view43[[#This Row],[Site ID]]," (",_05preva_view43[[#This Row],[tenant id]],") Application",IF(_05preva_view43[[#This Row],[Colo Rev]]&gt;0," Rev "&amp;_05preva_view43[[#This Row],[Colo Rev]],""),".xlsx")</f>
        <v>AYYN_0331 (YAW7807) Application.xlsx</v>
      </c>
      <c r="BI324" s="64" t="e">
        <f t="shared" ca="1" si="5"/>
        <v>#VALUE!</v>
      </c>
      <c r="BJ324" s="104" t="e">
        <f ca="1">LEFT(CELL("filename",A309),_05preva_view43[[#This Row],[Find Process &amp; Database]]-1)</f>
        <v>#VALUE!</v>
      </c>
      <c r="BK324" s="104" t="e">
        <f ca="1">_05preva_view43[Folder Path1]&amp;"Process &amp; Database\Documentation\Colo Applications"</f>
        <v>#VALUE!</v>
      </c>
      <c r="BL324" s="104" t="e">
        <f ca="1">_05preva_view43[Folder Path2]&amp;"\Colo App "&amp;_05preva_view43[[#This Row],[Operator]]&amp;"\"</f>
        <v>#VALUE!</v>
      </c>
      <c r="BM324" s="63" t="e">
        <f ca="1">_05preva_view43[[#This Row],[Folder Path3]]&amp;_05preva_view43[[#This Row],[File Name]]</f>
        <v>#VALUE!</v>
      </c>
      <c r="BN324" s="104"/>
      <c r="CF324" s="5"/>
      <c r="CG324" s="5"/>
      <c r="CH324" s="3"/>
      <c r="CJ324" s="5"/>
      <c r="CN324" s="3"/>
      <c r="CO324" s="3"/>
      <c r="CP324" s="5"/>
      <c r="CR324" s="3"/>
      <c r="DN324" s="5"/>
      <c r="DP324" s="3"/>
      <c r="EB324" s="7"/>
      <c r="EC324" s="7"/>
      <c r="EF324" s="4"/>
      <c r="EG324" s="4"/>
      <c r="EQ324" s="2"/>
      <c r="ER324" s="2"/>
    </row>
    <row r="325" spans="1:148">
      <c r="A325" s="227">
        <v>107</v>
      </c>
      <c r="B325" s="228" t="s">
        <v>356</v>
      </c>
      <c r="C325" s="228" t="s">
        <v>116</v>
      </c>
      <c r="D325" s="228" t="s">
        <v>117</v>
      </c>
      <c r="E325" s="228" t="s">
        <v>357</v>
      </c>
      <c r="F325" s="228" t="s">
        <v>40</v>
      </c>
      <c r="G325" s="228" t="s">
        <v>1289</v>
      </c>
      <c r="H325" s="228" t="s">
        <v>1285</v>
      </c>
      <c r="I325" s="228" t="s">
        <v>118</v>
      </c>
      <c r="J325" s="228"/>
      <c r="K325" s="229">
        <v>43236</v>
      </c>
      <c r="L325" s="230"/>
      <c r="M325" s="230">
        <v>3</v>
      </c>
      <c r="N325" s="228"/>
      <c r="O325" s="228" t="s">
        <v>119</v>
      </c>
      <c r="P325" s="231"/>
      <c r="Q325" s="231"/>
      <c r="R325" s="228" t="s">
        <v>24</v>
      </c>
      <c r="S325" s="228"/>
      <c r="T325" s="232" t="s">
        <v>120</v>
      </c>
      <c r="U325" s="228" t="s">
        <v>301</v>
      </c>
      <c r="V325" s="232" t="s">
        <v>120</v>
      </c>
      <c r="W325" s="228"/>
      <c r="X325" s="232" t="s">
        <v>120</v>
      </c>
      <c r="Y325" s="228" t="s">
        <v>120</v>
      </c>
      <c r="Z325" s="233" t="s">
        <v>120</v>
      </c>
      <c r="AA325" s="234"/>
      <c r="AB325" s="234"/>
      <c r="AC325" s="235"/>
      <c r="AD325" s="228" t="s">
        <v>120</v>
      </c>
      <c r="AE325" s="232" t="s">
        <v>120</v>
      </c>
      <c r="AF325" s="229" t="s">
        <v>358</v>
      </c>
      <c r="AG325" s="236"/>
      <c r="AH325" s="236">
        <v>3.5</v>
      </c>
      <c r="AI325" s="228" t="s">
        <v>211</v>
      </c>
      <c r="AJ325" s="232" t="s">
        <v>120</v>
      </c>
      <c r="AK325" s="228" t="s">
        <v>123</v>
      </c>
      <c r="AL325" s="228"/>
      <c r="AM325" s="232"/>
      <c r="AN325" s="228"/>
      <c r="AO325" s="228"/>
      <c r="AP325" s="237"/>
      <c r="AQ325" s="228"/>
      <c r="AR325" s="232"/>
      <c r="AS325" s="228"/>
      <c r="AT325" s="229"/>
      <c r="AU325" s="229">
        <v>43453.378993518498</v>
      </c>
      <c r="AV325" s="229"/>
      <c r="AW325" s="229"/>
      <c r="AX325" s="229"/>
      <c r="AY325" s="229"/>
      <c r="AZ325" s="238">
        <v>43236</v>
      </c>
      <c r="BA325" s="1" t="s">
        <v>7684</v>
      </c>
      <c r="BB325"/>
      <c r="BC325">
        <v>45</v>
      </c>
      <c r="BD325">
        <v>1156</v>
      </c>
      <c r="BE32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5" s="240">
        <f>COUNTIFS(_05preva_view43[Site ID],_05preva_view43[[#This Row],[Site ID]],_05preva_view43[Prevalidation Status],"Under Prevalidation")</f>
        <v>0</v>
      </c>
      <c r="BG32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5" s="242" t="str">
        <f>CONCATENATE(_05preva_view43[[#This Row],[Site ID]]," (",_05preva_view43[[#This Row],[tenant id]],") Application",IF(_05preva_view43[[#This Row],[Colo Rev]]&gt;0," Rev "&amp;_05preva_view43[[#This Row],[Colo Rev]],""),".xlsx")</f>
        <v>ACBA_0108 (BAW5569) Application.xlsx</v>
      </c>
      <c r="BI325" s="64" t="e">
        <f t="shared" ca="1" si="5"/>
        <v>#VALUE!</v>
      </c>
      <c r="BJ325" s="104" t="e">
        <f ca="1">LEFT(CELL("filename",A310),_05preva_view43[[#This Row],[Find Process &amp; Database]]-1)</f>
        <v>#VALUE!</v>
      </c>
      <c r="BK325" s="104" t="e">
        <f ca="1">_05preva_view43[Folder Path1]&amp;"Process &amp; Database\Documentation\Colo Applications"</f>
        <v>#VALUE!</v>
      </c>
      <c r="BL325" s="104" t="e">
        <f ca="1">_05preva_view43[Folder Path2]&amp;"\Colo App "&amp;_05preva_view43[[#This Row],[Operator]]&amp;"\"</f>
        <v>#VALUE!</v>
      </c>
      <c r="BM325" s="63" t="e">
        <f ca="1">_05preva_view43[[#This Row],[Folder Path3]]&amp;_05preva_view43[[#This Row],[File Name]]</f>
        <v>#VALUE!</v>
      </c>
      <c r="BN325" s="104"/>
      <c r="CF325" s="5"/>
      <c r="CG325" s="5"/>
      <c r="CH325" s="3"/>
      <c r="CJ325" s="5"/>
      <c r="CN325" s="3"/>
      <c r="CO325" s="3"/>
      <c r="CP325" s="5"/>
      <c r="CR325" s="3"/>
      <c r="DN325" s="5"/>
      <c r="DP325" s="3"/>
      <c r="EB325" s="7"/>
      <c r="EC325" s="7"/>
      <c r="EF325" s="4"/>
      <c r="EG325" s="4"/>
      <c r="EQ325" s="2"/>
      <c r="ER325" s="2"/>
    </row>
    <row r="326" spans="1:148">
      <c r="A326" s="227">
        <v>108</v>
      </c>
      <c r="B326" s="228" t="s">
        <v>359</v>
      </c>
      <c r="C326" s="228" t="s">
        <v>116</v>
      </c>
      <c r="D326" s="228" t="s">
        <v>153</v>
      </c>
      <c r="E326" s="228" t="s">
        <v>360</v>
      </c>
      <c r="F326" s="228" t="s">
        <v>40</v>
      </c>
      <c r="G326" s="228" t="s">
        <v>1289</v>
      </c>
      <c r="H326" s="228" t="s">
        <v>1285</v>
      </c>
      <c r="I326" s="228" t="s">
        <v>118</v>
      </c>
      <c r="J326" s="228"/>
      <c r="K326" s="229">
        <v>43236</v>
      </c>
      <c r="L326" s="230"/>
      <c r="M326" s="230">
        <v>3</v>
      </c>
      <c r="N326" s="228"/>
      <c r="O326" s="228" t="s">
        <v>119</v>
      </c>
      <c r="P326" s="231"/>
      <c r="Q326" s="231"/>
      <c r="R326" s="228" t="s">
        <v>24</v>
      </c>
      <c r="S326" s="228"/>
      <c r="T326" s="232" t="s">
        <v>120</v>
      </c>
      <c r="U326" s="228" t="s">
        <v>301</v>
      </c>
      <c r="V326" s="232" t="s">
        <v>120</v>
      </c>
      <c r="W326" s="228"/>
      <c r="X326" s="232" t="s">
        <v>120</v>
      </c>
      <c r="Y326" s="228" t="s">
        <v>120</v>
      </c>
      <c r="Z326" s="233" t="s">
        <v>120</v>
      </c>
      <c r="AA326" s="234"/>
      <c r="AB326" s="234"/>
      <c r="AC326" s="235"/>
      <c r="AD326" s="228" t="s">
        <v>120</v>
      </c>
      <c r="AE326" s="232" t="s">
        <v>120</v>
      </c>
      <c r="AF326" s="229" t="s">
        <v>207</v>
      </c>
      <c r="AG326" s="236"/>
      <c r="AH326" s="236">
        <v>3.5</v>
      </c>
      <c r="AI326" s="228" t="s">
        <v>208</v>
      </c>
      <c r="AJ326" s="232" t="s">
        <v>120</v>
      </c>
      <c r="AK326" s="228" t="s">
        <v>123</v>
      </c>
      <c r="AL326" s="228" t="s">
        <v>361</v>
      </c>
      <c r="AM326" s="232"/>
      <c r="AN326" s="228"/>
      <c r="AO326" s="228"/>
      <c r="AP326" s="237"/>
      <c r="AQ326" s="228"/>
      <c r="AR326" s="232"/>
      <c r="AS326" s="228"/>
      <c r="AT326" s="229"/>
      <c r="AU326" s="229">
        <v>43453.378994328697</v>
      </c>
      <c r="AV326" s="229"/>
      <c r="AW326" s="229"/>
      <c r="AX326" s="229"/>
      <c r="AY326" s="229"/>
      <c r="AZ326" s="238">
        <v>43236</v>
      </c>
      <c r="BA326" s="1" t="s">
        <v>7684</v>
      </c>
      <c r="BB326"/>
      <c r="BC326">
        <v>60</v>
      </c>
      <c r="BD326">
        <v>311</v>
      </c>
      <c r="BE32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6" s="240">
        <f>COUNTIFS(_05preva_view43[Site ID],_05preva_view43[[#This Row],[Site ID]],_05preva_view43[Prevalidation Status],"Under Prevalidation")</f>
        <v>0</v>
      </c>
      <c r="BG32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6" s="242" t="str">
        <f>CONCATENATE(_05preva_view43[[#This Row],[Site ID]]," (",_05preva_view43[[#This Row],[tenant id]],") Application",IF(_05preva_view43[[#This Row],[Colo Rev]]&gt;0," Rev "&amp;_05preva_view43[[#This Row],[Colo Rev]],""),".xlsx")</f>
        <v>ASMO_0305 (MOW6308) Application.xlsx</v>
      </c>
      <c r="BI326" s="64" t="e">
        <f t="shared" ca="1" si="5"/>
        <v>#VALUE!</v>
      </c>
      <c r="BJ326" s="104" t="e">
        <f ca="1">LEFT(CELL("filename",A311),_05preva_view43[[#This Row],[Find Process &amp; Database]]-1)</f>
        <v>#VALUE!</v>
      </c>
      <c r="BK326" s="104" t="e">
        <f ca="1">_05preva_view43[Folder Path1]&amp;"Process &amp; Database\Documentation\Colo Applications"</f>
        <v>#VALUE!</v>
      </c>
      <c r="BL326" s="104" t="e">
        <f ca="1">_05preva_view43[Folder Path2]&amp;"\Colo App "&amp;_05preva_view43[[#This Row],[Operator]]&amp;"\"</f>
        <v>#VALUE!</v>
      </c>
      <c r="BM326" s="63" t="e">
        <f ca="1">_05preva_view43[[#This Row],[Folder Path3]]&amp;_05preva_view43[[#This Row],[File Name]]</f>
        <v>#VALUE!</v>
      </c>
      <c r="BN326" s="104"/>
      <c r="CF326" s="5"/>
      <c r="CG326" s="5"/>
      <c r="CH326" s="3"/>
      <c r="CJ326" s="5"/>
      <c r="CN326" s="3"/>
      <c r="CO326" s="3"/>
      <c r="CP326" s="5"/>
      <c r="CR326" s="3"/>
      <c r="DN326" s="5"/>
      <c r="DP326" s="3"/>
      <c r="EB326" s="7"/>
      <c r="EC326" s="7"/>
      <c r="EF326" s="4"/>
      <c r="EG326" s="4"/>
      <c r="EQ326" s="2"/>
      <c r="ER326" s="2"/>
    </row>
    <row r="327" spans="1:148">
      <c r="A327" s="227">
        <v>113</v>
      </c>
      <c r="B327" s="228" t="s">
        <v>362</v>
      </c>
      <c r="C327" s="228" t="s">
        <v>116</v>
      </c>
      <c r="D327" s="228" t="s">
        <v>153</v>
      </c>
      <c r="E327" s="228" t="s">
        <v>363</v>
      </c>
      <c r="F327" s="228" t="s">
        <v>40</v>
      </c>
      <c r="G327" s="228" t="s">
        <v>118</v>
      </c>
      <c r="H327" s="228"/>
      <c r="I327" s="228" t="s">
        <v>118</v>
      </c>
      <c r="J327" s="228"/>
      <c r="K327" s="229">
        <v>43236</v>
      </c>
      <c r="L327" s="230"/>
      <c r="M327" s="230">
        <v>3</v>
      </c>
      <c r="N327" s="228"/>
      <c r="O327" s="228" t="s">
        <v>119</v>
      </c>
      <c r="P327" s="231"/>
      <c r="Q327" s="231"/>
      <c r="R327" s="228" t="s">
        <v>24</v>
      </c>
      <c r="S327" s="228"/>
      <c r="T327" s="232" t="s">
        <v>120</v>
      </c>
      <c r="U327" s="228" t="s">
        <v>319</v>
      </c>
      <c r="V327" s="232" t="s">
        <v>120</v>
      </c>
      <c r="W327" s="228"/>
      <c r="X327" s="232" t="s">
        <v>120</v>
      </c>
      <c r="Y327" s="228" t="s">
        <v>320</v>
      </c>
      <c r="Z327" s="233" t="s">
        <v>120</v>
      </c>
      <c r="AA327" s="234"/>
      <c r="AB327" s="234"/>
      <c r="AC327" s="235" t="s">
        <v>123</v>
      </c>
      <c r="AD327" s="228" t="s">
        <v>331</v>
      </c>
      <c r="AE327" s="232" t="s">
        <v>120</v>
      </c>
      <c r="AF327" s="229" t="s">
        <v>364</v>
      </c>
      <c r="AG327" s="236"/>
      <c r="AH327" s="236">
        <v>2</v>
      </c>
      <c r="AI327" s="228" t="s">
        <v>365</v>
      </c>
      <c r="AJ327" s="232" t="s">
        <v>120</v>
      </c>
      <c r="AK327" s="228" t="s">
        <v>206</v>
      </c>
      <c r="AL327" s="228"/>
      <c r="AM327" s="232"/>
      <c r="AN327" s="228"/>
      <c r="AO327" s="228"/>
      <c r="AP327" s="237"/>
      <c r="AQ327" s="228"/>
      <c r="AR327" s="232"/>
      <c r="AS327" s="228"/>
      <c r="AT327" s="229"/>
      <c r="AU327" s="229">
        <v>43453.378997800901</v>
      </c>
      <c r="AV327" s="229"/>
      <c r="AW327" s="229"/>
      <c r="AX327" s="229"/>
      <c r="AY327" s="229"/>
      <c r="AZ327" s="238">
        <v>43236</v>
      </c>
      <c r="BA327" s="1" t="s">
        <v>7684</v>
      </c>
      <c r="BB327">
        <v>160</v>
      </c>
      <c r="BC327">
        <v>45</v>
      </c>
      <c r="BD327">
        <v>259</v>
      </c>
      <c r="BE32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7" s="240">
        <f>COUNTIFS(_05preva_view43[Site ID],_05preva_view43[[#This Row],[Site ID]],_05preva_view43[Prevalidation Status],"Under Prevalidation")</f>
        <v>0</v>
      </c>
      <c r="BG32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7" s="242" t="str">
        <f>CONCATENATE(_05preva_view43[[#This Row],[Site ID]]," (",_05preva_view43[[#This Row],[tenant id]],") Application",IF(_05preva_view43[[#This Row],[Colo Rev]]&gt;0," Rev "&amp;_05preva_view43[[#This Row],[Colo Rev]],""),".xlsx")</f>
        <v>ASMO_0180 (MOW6311) Application.xlsx</v>
      </c>
      <c r="BI327" s="64" t="e">
        <f t="shared" ca="1" si="5"/>
        <v>#VALUE!</v>
      </c>
      <c r="BJ327" s="104" t="e">
        <f ca="1">LEFT(CELL("filename",A312),_05preva_view43[[#This Row],[Find Process &amp; Database]]-1)</f>
        <v>#VALUE!</v>
      </c>
      <c r="BK327" s="104" t="e">
        <f ca="1">_05preva_view43[Folder Path1]&amp;"Process &amp; Database\Documentation\Colo Applications"</f>
        <v>#VALUE!</v>
      </c>
      <c r="BL327" s="104" t="e">
        <f ca="1">_05preva_view43[Folder Path2]&amp;"\Colo App "&amp;_05preva_view43[[#This Row],[Operator]]&amp;"\"</f>
        <v>#VALUE!</v>
      </c>
      <c r="BM327" s="63" t="e">
        <f ca="1">_05preva_view43[[#This Row],[Folder Path3]]&amp;_05preva_view43[[#This Row],[File Name]]</f>
        <v>#VALUE!</v>
      </c>
      <c r="BN327" s="104"/>
      <c r="CF327" s="5"/>
      <c r="CG327" s="5"/>
      <c r="CH327" s="3"/>
      <c r="CJ327" s="5"/>
      <c r="CN327" s="3"/>
      <c r="CO327" s="3"/>
      <c r="CP327" s="5"/>
      <c r="CR327" s="3"/>
      <c r="DN327" s="5"/>
      <c r="DP327" s="3"/>
      <c r="EB327" s="7"/>
      <c r="EC327" s="7"/>
      <c r="EF327" s="4"/>
      <c r="EG327" s="4"/>
      <c r="EQ327" s="2"/>
      <c r="ER327" s="2"/>
    </row>
    <row r="328" spans="1:148">
      <c r="A328" s="227">
        <v>114</v>
      </c>
      <c r="B328" s="228" t="s">
        <v>366</v>
      </c>
      <c r="C328" s="228" t="s">
        <v>116</v>
      </c>
      <c r="D328" s="228" t="s">
        <v>153</v>
      </c>
      <c r="E328" s="228" t="s">
        <v>367</v>
      </c>
      <c r="F328" s="228" t="s">
        <v>40</v>
      </c>
      <c r="G328" s="228" t="s">
        <v>118</v>
      </c>
      <c r="H328" s="228"/>
      <c r="I328" s="228" t="s">
        <v>118</v>
      </c>
      <c r="J328" s="228"/>
      <c r="K328" s="229">
        <v>43236</v>
      </c>
      <c r="L328" s="230"/>
      <c r="M328" s="230">
        <v>3</v>
      </c>
      <c r="N328" s="228"/>
      <c r="O328" s="228" t="s">
        <v>119</v>
      </c>
      <c r="P328" s="231"/>
      <c r="Q328" s="231"/>
      <c r="R328" s="228" t="s">
        <v>24</v>
      </c>
      <c r="S328" s="228"/>
      <c r="T328" s="232" t="s">
        <v>120</v>
      </c>
      <c r="U328" s="228" t="s">
        <v>319</v>
      </c>
      <c r="V328" s="232" t="s">
        <v>120</v>
      </c>
      <c r="W328" s="228"/>
      <c r="X328" s="232" t="s">
        <v>120</v>
      </c>
      <c r="Y328" s="228" t="s">
        <v>320</v>
      </c>
      <c r="Z328" s="233" t="s">
        <v>125</v>
      </c>
      <c r="AA328" s="234"/>
      <c r="AB328" s="234"/>
      <c r="AC328" s="235" t="s">
        <v>123</v>
      </c>
      <c r="AD328" s="228" t="s">
        <v>321</v>
      </c>
      <c r="AE328" s="232" t="s">
        <v>125</v>
      </c>
      <c r="AF328" s="229"/>
      <c r="AG328" s="236"/>
      <c r="AH328" s="236"/>
      <c r="AI328" s="228" t="s">
        <v>295</v>
      </c>
      <c r="AJ328" s="232" t="s">
        <v>120</v>
      </c>
      <c r="AK328" s="228" t="s">
        <v>206</v>
      </c>
      <c r="AL328" s="228"/>
      <c r="AM328" s="232"/>
      <c r="AN328" s="228"/>
      <c r="AO328" s="228"/>
      <c r="AP328" s="237"/>
      <c r="AQ328" s="228"/>
      <c r="AR328" s="232"/>
      <c r="AS328" s="228"/>
      <c r="AT328" s="229"/>
      <c r="AU328" s="229"/>
      <c r="AV328" s="229"/>
      <c r="AW328" s="229"/>
      <c r="AX328" s="229"/>
      <c r="AY328" s="229"/>
      <c r="AZ328" s="238">
        <v>43236</v>
      </c>
      <c r="BA328" s="1" t="s">
        <v>7691</v>
      </c>
      <c r="BB328"/>
      <c r="BC328">
        <v>6</v>
      </c>
      <c r="BD328">
        <v>1021</v>
      </c>
      <c r="BE32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8" s="240">
        <f>COUNTIFS(_05preva_view43[Site ID],_05preva_view43[[#This Row],[Site ID]],_05preva_view43[Prevalidation Status],"Under Prevalidation")</f>
        <v>0</v>
      </c>
      <c r="BG32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8" s="242" t="str">
        <f>CONCATENATE(_05preva_view43[[#This Row],[Site ID]]," (",_05preva_view43[[#This Row],[tenant id]],") Application",IF(_05preva_view43[[#This Row],[Colo Rev]]&gt;0," Rev "&amp;_05preva_view43[[#This Row],[Colo Rev]],""),".xlsx")</f>
        <v>AYYN_0536 (YAW7758) Application.xlsx</v>
      </c>
      <c r="BI328" s="64" t="e">
        <f t="shared" ca="1" si="5"/>
        <v>#VALUE!</v>
      </c>
      <c r="BJ328" s="104" t="e">
        <f ca="1">LEFT(CELL("filename",A313),_05preva_view43[[#This Row],[Find Process &amp; Database]]-1)</f>
        <v>#VALUE!</v>
      </c>
      <c r="BK328" s="104" t="e">
        <f ca="1">_05preva_view43[Folder Path1]&amp;"Process &amp; Database\Documentation\Colo Applications"</f>
        <v>#VALUE!</v>
      </c>
      <c r="BL328" s="104" t="e">
        <f ca="1">_05preva_view43[Folder Path2]&amp;"\Colo App "&amp;_05preva_view43[[#This Row],[Operator]]&amp;"\"</f>
        <v>#VALUE!</v>
      </c>
      <c r="BM328" s="63" t="e">
        <f ca="1">_05preva_view43[[#This Row],[Folder Path3]]&amp;_05preva_view43[[#This Row],[File Name]]</f>
        <v>#VALUE!</v>
      </c>
      <c r="BN328" s="104"/>
      <c r="CF328" s="5"/>
      <c r="CG328" s="5"/>
      <c r="CH328" s="3"/>
      <c r="CJ328" s="5"/>
      <c r="CN328" s="3"/>
      <c r="CO328" s="3"/>
      <c r="CP328" s="5"/>
      <c r="CR328" s="3"/>
      <c r="DN328" s="5"/>
      <c r="DP328" s="3"/>
      <c r="EB328" s="7"/>
      <c r="EC328" s="7"/>
      <c r="EF328" s="4"/>
      <c r="EG328" s="4"/>
      <c r="EQ328" s="2"/>
      <c r="ER328" s="2"/>
    </row>
    <row r="329" spans="1:148">
      <c r="A329" s="227">
        <v>120</v>
      </c>
      <c r="B329" s="228" t="s">
        <v>369</v>
      </c>
      <c r="C329" s="228" t="s">
        <v>116</v>
      </c>
      <c r="D329" s="228" t="s">
        <v>153</v>
      </c>
      <c r="E329" s="228" t="s">
        <v>370</v>
      </c>
      <c r="F329" s="228" t="s">
        <v>40</v>
      </c>
      <c r="G329" s="228" t="s">
        <v>1289</v>
      </c>
      <c r="H329" s="228" t="s">
        <v>1290</v>
      </c>
      <c r="I329" s="228" t="s">
        <v>118</v>
      </c>
      <c r="J329" s="228"/>
      <c r="K329" s="229">
        <v>43236</v>
      </c>
      <c r="L329" s="230"/>
      <c r="M329" s="230">
        <v>3</v>
      </c>
      <c r="N329" s="228"/>
      <c r="O329" s="228" t="s">
        <v>119</v>
      </c>
      <c r="P329" s="231"/>
      <c r="Q329" s="231"/>
      <c r="R329" s="228" t="s">
        <v>24</v>
      </c>
      <c r="S329" s="228"/>
      <c r="T329" s="232" t="s">
        <v>120</v>
      </c>
      <c r="U329" s="228" t="s">
        <v>301</v>
      </c>
      <c r="V329" s="232" t="s">
        <v>120</v>
      </c>
      <c r="W329" s="228"/>
      <c r="X329" s="232" t="s">
        <v>120</v>
      </c>
      <c r="Y329" s="228" t="s">
        <v>371</v>
      </c>
      <c r="Z329" s="233" t="s">
        <v>120</v>
      </c>
      <c r="AA329" s="234"/>
      <c r="AB329" s="234"/>
      <c r="AC329" s="235"/>
      <c r="AD329" s="228" t="s">
        <v>120</v>
      </c>
      <c r="AE329" s="232" t="s">
        <v>120</v>
      </c>
      <c r="AF329" s="229" t="s">
        <v>358</v>
      </c>
      <c r="AG329" s="236"/>
      <c r="AH329" s="236">
        <v>3.5</v>
      </c>
      <c r="AI329" s="228" t="s">
        <v>345</v>
      </c>
      <c r="AJ329" s="232" t="s">
        <v>120</v>
      </c>
      <c r="AK329" s="228" t="s">
        <v>123</v>
      </c>
      <c r="AL329" s="228"/>
      <c r="AM329" s="232"/>
      <c r="AN329" s="228"/>
      <c r="AO329" s="228"/>
      <c r="AP329" s="237"/>
      <c r="AQ329" s="228"/>
      <c r="AR329" s="232"/>
      <c r="AS329" s="228"/>
      <c r="AT329" s="229"/>
      <c r="AU329" s="229">
        <v>43453.379002314803</v>
      </c>
      <c r="AV329" s="229"/>
      <c r="AW329" s="229"/>
      <c r="AX329" s="229"/>
      <c r="AY329" s="229"/>
      <c r="AZ329" s="238">
        <v>43236</v>
      </c>
      <c r="BA329" s="1" t="s">
        <v>7684</v>
      </c>
      <c r="BB329"/>
      <c r="BC329">
        <v>60</v>
      </c>
      <c r="BD329">
        <v>1139</v>
      </c>
      <c r="BE32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29" s="240">
        <f>COUNTIFS(_05preva_view43[Site ID],_05preva_view43[[#This Row],[Site ID]],_05preva_view43[Prevalidation Status],"Under Prevalidation")</f>
        <v>0</v>
      </c>
      <c r="BG32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29" s="242" t="str">
        <f>CONCATENATE(_05preva_view43[[#This Row],[Site ID]]," (",_05preva_view43[[#This Row],[tenant id]],") Application",IF(_05preva_view43[[#This Row],[Colo Rev]]&gt;0," Rev "&amp;_05preva_view43[[#This Row],[Colo Rev]],""),".xlsx")</f>
        <v>ACBA_0051 (BAW5574) Application.xlsx</v>
      </c>
      <c r="BI329" s="64" t="e">
        <f t="shared" ca="1" si="5"/>
        <v>#VALUE!</v>
      </c>
      <c r="BJ329" s="104" t="e">
        <f ca="1">LEFT(CELL("filename",A314),_05preva_view43[[#This Row],[Find Process &amp; Database]]-1)</f>
        <v>#VALUE!</v>
      </c>
      <c r="BK329" s="104" t="e">
        <f ca="1">_05preva_view43[Folder Path1]&amp;"Process &amp; Database\Documentation\Colo Applications"</f>
        <v>#VALUE!</v>
      </c>
      <c r="BL329" s="104" t="e">
        <f ca="1">_05preva_view43[Folder Path2]&amp;"\Colo App "&amp;_05preva_view43[[#This Row],[Operator]]&amp;"\"</f>
        <v>#VALUE!</v>
      </c>
      <c r="BM329" s="63" t="e">
        <f ca="1">_05preva_view43[[#This Row],[Folder Path3]]&amp;_05preva_view43[[#This Row],[File Name]]</f>
        <v>#VALUE!</v>
      </c>
      <c r="BN329" s="104"/>
      <c r="CF329" s="5"/>
      <c r="CG329" s="5"/>
      <c r="CH329" s="3"/>
      <c r="CJ329" s="5"/>
      <c r="CN329" s="3"/>
      <c r="CO329" s="3"/>
      <c r="CP329" s="5"/>
      <c r="CR329" s="3"/>
      <c r="DN329" s="5"/>
      <c r="DP329" s="3"/>
      <c r="EB329" s="7"/>
      <c r="EC329" s="7"/>
      <c r="EF329" s="4"/>
      <c r="EG329" s="4"/>
      <c r="EQ329" s="2"/>
      <c r="ER329" s="2"/>
    </row>
    <row r="330" spans="1:148">
      <c r="A330" s="227">
        <v>124</v>
      </c>
      <c r="B330" s="228" t="s">
        <v>372</v>
      </c>
      <c r="C330" s="228" t="s">
        <v>116</v>
      </c>
      <c r="D330" s="228" t="s">
        <v>153</v>
      </c>
      <c r="E330" s="228" t="s">
        <v>373</v>
      </c>
      <c r="F330" s="228" t="s">
        <v>40</v>
      </c>
      <c r="G330" s="228" t="s">
        <v>118</v>
      </c>
      <c r="H330" s="228"/>
      <c r="I330" s="228" t="s">
        <v>118</v>
      </c>
      <c r="J330" s="228"/>
      <c r="K330" s="229">
        <v>43236</v>
      </c>
      <c r="L330" s="230"/>
      <c r="M330" s="230">
        <v>3</v>
      </c>
      <c r="N330" s="228"/>
      <c r="O330" s="228" t="s">
        <v>119</v>
      </c>
      <c r="P330" s="231"/>
      <c r="Q330" s="231"/>
      <c r="R330" s="228" t="s">
        <v>24</v>
      </c>
      <c r="S330" s="228"/>
      <c r="T330" s="232" t="s">
        <v>120</v>
      </c>
      <c r="U330" s="228" t="s">
        <v>334</v>
      </c>
      <c r="V330" s="232" t="s">
        <v>120</v>
      </c>
      <c r="W330" s="228"/>
      <c r="X330" s="232" t="s">
        <v>120</v>
      </c>
      <c r="Y330" s="228" t="s">
        <v>320</v>
      </c>
      <c r="Z330" s="233" t="s">
        <v>125</v>
      </c>
      <c r="AA330" s="234"/>
      <c r="AB330" s="234"/>
      <c r="AC330" s="235" t="s">
        <v>123</v>
      </c>
      <c r="AD330" s="228" t="s">
        <v>321</v>
      </c>
      <c r="AE330" s="232" t="s">
        <v>125</v>
      </c>
      <c r="AF330" s="229"/>
      <c r="AG330" s="236"/>
      <c r="AH330" s="236"/>
      <c r="AI330" s="228" t="s">
        <v>295</v>
      </c>
      <c r="AJ330" s="232" t="s">
        <v>120</v>
      </c>
      <c r="AK330" s="228" t="s">
        <v>206</v>
      </c>
      <c r="AL330" s="228"/>
      <c r="AM330" s="232"/>
      <c r="AN330" s="228"/>
      <c r="AO330" s="228"/>
      <c r="AP330" s="237"/>
      <c r="AQ330" s="228"/>
      <c r="AR330" s="232"/>
      <c r="AS330" s="228"/>
      <c r="AT330" s="229"/>
      <c r="AU330" s="229"/>
      <c r="AV330" s="229"/>
      <c r="AW330" s="229"/>
      <c r="AX330" s="229"/>
      <c r="AY330" s="229"/>
      <c r="AZ330" s="238"/>
      <c r="BA330" s="1" t="s">
        <v>7691</v>
      </c>
      <c r="BB330"/>
      <c r="BC330">
        <v>6</v>
      </c>
      <c r="BD330">
        <v>1439</v>
      </c>
      <c r="BE33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0" s="240">
        <f>COUNTIFS(_05preva_view43[Site ID],_05preva_view43[[#This Row],[Site ID]],_05preva_view43[Prevalidation Status],"Under Prevalidation")</f>
        <v>0</v>
      </c>
      <c r="BG33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0" s="242" t="str">
        <f>CONCATENATE(_05preva_view43[[#This Row],[Site ID]]," (",_05preva_view43[[#This Row],[tenant id]],") Application",IF(_05preva_view43[[#This Row],[Colo Rev]]&gt;0," Rev "&amp;_05preva_view43[[#This Row],[Colo Rev]],""),".xlsx")</f>
        <v>AYYN_0309 (YAW7787) Application.xlsx</v>
      </c>
      <c r="BI330" s="64" t="e">
        <f t="shared" ca="1" si="5"/>
        <v>#VALUE!</v>
      </c>
      <c r="BJ330" s="104" t="e">
        <f ca="1">LEFT(CELL("filename",A315),_05preva_view43[[#This Row],[Find Process &amp; Database]]-1)</f>
        <v>#VALUE!</v>
      </c>
      <c r="BK330" s="104" t="e">
        <f ca="1">_05preva_view43[Folder Path1]&amp;"Process &amp; Database\Documentation\Colo Applications"</f>
        <v>#VALUE!</v>
      </c>
      <c r="BL330" s="104" t="e">
        <f ca="1">_05preva_view43[Folder Path2]&amp;"\Colo App "&amp;_05preva_view43[[#This Row],[Operator]]&amp;"\"</f>
        <v>#VALUE!</v>
      </c>
      <c r="BM330" s="63" t="e">
        <f ca="1">_05preva_view43[[#This Row],[Folder Path3]]&amp;_05preva_view43[[#This Row],[File Name]]</f>
        <v>#VALUE!</v>
      </c>
      <c r="BN330" s="104"/>
      <c r="CF330" s="5"/>
      <c r="CG330" s="5"/>
      <c r="CH330" s="3"/>
      <c r="CJ330" s="5"/>
      <c r="CN330" s="3"/>
      <c r="CO330" s="3"/>
      <c r="CP330" s="5"/>
      <c r="CR330" s="3"/>
      <c r="DN330" s="5"/>
      <c r="DP330" s="3"/>
      <c r="EB330" s="7"/>
      <c r="EC330" s="7"/>
      <c r="EF330" s="4"/>
      <c r="EG330" s="4"/>
      <c r="EQ330" s="2"/>
      <c r="ER330" s="2"/>
    </row>
    <row r="331" spans="1:148">
      <c r="A331" s="227">
        <v>125</v>
      </c>
      <c r="B331" s="228" t="s">
        <v>374</v>
      </c>
      <c r="C331" s="228" t="s">
        <v>116</v>
      </c>
      <c r="D331" s="228" t="s">
        <v>153</v>
      </c>
      <c r="E331" s="228" t="s">
        <v>375</v>
      </c>
      <c r="F331" s="228" t="s">
        <v>40</v>
      </c>
      <c r="G331" s="228" t="s">
        <v>118</v>
      </c>
      <c r="H331" s="228"/>
      <c r="I331" s="228" t="s">
        <v>118</v>
      </c>
      <c r="J331" s="228"/>
      <c r="K331" s="229">
        <v>43236</v>
      </c>
      <c r="L331" s="230"/>
      <c r="M331" s="230">
        <v>3</v>
      </c>
      <c r="N331" s="228"/>
      <c r="O331" s="228" t="s">
        <v>119</v>
      </c>
      <c r="P331" s="231"/>
      <c r="Q331" s="231"/>
      <c r="R331" s="228" t="s">
        <v>24</v>
      </c>
      <c r="S331" s="228"/>
      <c r="T331" s="232" t="s">
        <v>120</v>
      </c>
      <c r="U331" s="228" t="s">
        <v>301</v>
      </c>
      <c r="V331" s="232" t="s">
        <v>120</v>
      </c>
      <c r="W331" s="228"/>
      <c r="X331" s="232" t="s">
        <v>120</v>
      </c>
      <c r="Y331" s="228" t="s">
        <v>120</v>
      </c>
      <c r="Z331" s="233" t="s">
        <v>120</v>
      </c>
      <c r="AA331" s="234"/>
      <c r="AB331" s="234"/>
      <c r="AC331" s="235"/>
      <c r="AD331" s="228" t="s">
        <v>120</v>
      </c>
      <c r="AE331" s="232" t="s">
        <v>120</v>
      </c>
      <c r="AF331" s="229" t="s">
        <v>207</v>
      </c>
      <c r="AG331" s="236"/>
      <c r="AH331" s="236">
        <v>3.5</v>
      </c>
      <c r="AI331" s="228" t="s">
        <v>368</v>
      </c>
      <c r="AJ331" s="232" t="s">
        <v>120</v>
      </c>
      <c r="AK331" s="228" t="s">
        <v>123</v>
      </c>
      <c r="AL331" s="228"/>
      <c r="AM331" s="232"/>
      <c r="AN331" s="228"/>
      <c r="AO331" s="228"/>
      <c r="AP331" s="237"/>
      <c r="AQ331" s="228"/>
      <c r="AR331" s="232"/>
      <c r="AS331" s="228"/>
      <c r="AT331" s="229"/>
      <c r="AU331" s="229">
        <v>43453.379004629598</v>
      </c>
      <c r="AV331" s="229"/>
      <c r="AW331" s="229"/>
      <c r="AX331" s="229"/>
      <c r="AY331" s="229"/>
      <c r="AZ331" s="238">
        <v>43236</v>
      </c>
      <c r="BA331" s="1" t="s">
        <v>7684</v>
      </c>
      <c r="BB331"/>
      <c r="BC331">
        <v>50</v>
      </c>
      <c r="BD331">
        <v>276</v>
      </c>
      <c r="BE33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1" s="240">
        <f>COUNTIFS(_05preva_view43[Site ID],_05preva_view43[[#This Row],[Site ID]],_05preva_view43[Prevalidation Status],"Under Prevalidation")</f>
        <v>0</v>
      </c>
      <c r="BG33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1" s="242" t="str">
        <f>CONCATENATE(_05preva_view43[[#This Row],[Site ID]]," (",_05preva_view43[[#This Row],[tenant id]],") Application",IF(_05preva_view43[[#This Row],[Colo Rev]]&gt;0," Rev "&amp;_05preva_view43[[#This Row],[Colo Rev]],""),".xlsx")</f>
        <v>ACAY_0142 (AYW5565) Application.xlsx</v>
      </c>
      <c r="BI331" s="64" t="e">
        <f t="shared" ca="1" si="5"/>
        <v>#VALUE!</v>
      </c>
      <c r="BJ331" s="104" t="e">
        <f ca="1">LEFT(CELL("filename",A316),_05preva_view43[[#This Row],[Find Process &amp; Database]]-1)</f>
        <v>#VALUE!</v>
      </c>
      <c r="BK331" s="104" t="e">
        <f ca="1">_05preva_view43[Folder Path1]&amp;"Process &amp; Database\Documentation\Colo Applications"</f>
        <v>#VALUE!</v>
      </c>
      <c r="BL331" s="104" t="e">
        <f ca="1">_05preva_view43[Folder Path2]&amp;"\Colo App "&amp;_05preva_view43[[#This Row],[Operator]]&amp;"\"</f>
        <v>#VALUE!</v>
      </c>
      <c r="BM331" s="63" t="e">
        <f ca="1">_05preva_view43[[#This Row],[Folder Path3]]&amp;_05preva_view43[[#This Row],[File Name]]</f>
        <v>#VALUE!</v>
      </c>
      <c r="BN331" s="104"/>
      <c r="CF331" s="5"/>
      <c r="CG331" s="5"/>
      <c r="CH331" s="3"/>
      <c r="CJ331" s="5"/>
      <c r="CN331" s="3"/>
      <c r="CO331" s="3"/>
      <c r="CP331" s="5"/>
      <c r="CR331" s="3"/>
      <c r="DN331" s="5"/>
      <c r="DP331" s="3"/>
      <c r="EB331" s="7"/>
      <c r="EC331" s="7"/>
      <c r="EF331" s="4"/>
      <c r="EG331" s="4"/>
      <c r="EQ331" s="2"/>
      <c r="ER331" s="2"/>
    </row>
    <row r="332" spans="1:148">
      <c r="A332" s="227">
        <v>126</v>
      </c>
      <c r="B332" s="228" t="s">
        <v>376</v>
      </c>
      <c r="C332" s="228" t="s">
        <v>116</v>
      </c>
      <c r="D332" s="228" t="s">
        <v>117</v>
      </c>
      <c r="E332" s="228" t="s">
        <v>377</v>
      </c>
      <c r="F332" s="228" t="s">
        <v>40</v>
      </c>
      <c r="G332" s="228" t="s">
        <v>1289</v>
      </c>
      <c r="H332" s="228" t="s">
        <v>1285</v>
      </c>
      <c r="I332" s="228" t="s">
        <v>118</v>
      </c>
      <c r="J332" s="228"/>
      <c r="K332" s="229">
        <v>43236</v>
      </c>
      <c r="L332" s="230"/>
      <c r="M332" s="230">
        <v>3</v>
      </c>
      <c r="N332" s="228"/>
      <c r="O332" s="228" t="s">
        <v>119</v>
      </c>
      <c r="P332" s="231"/>
      <c r="Q332" s="231"/>
      <c r="R332" s="228" t="s">
        <v>24</v>
      </c>
      <c r="S332" s="228"/>
      <c r="T332" s="232" t="s">
        <v>120</v>
      </c>
      <c r="U332" s="228" t="s">
        <v>301</v>
      </c>
      <c r="V332" s="232" t="s">
        <v>120</v>
      </c>
      <c r="W332" s="228"/>
      <c r="X332" s="232" t="s">
        <v>120</v>
      </c>
      <c r="Y332" s="228" t="s">
        <v>120</v>
      </c>
      <c r="Z332" s="233" t="s">
        <v>120</v>
      </c>
      <c r="AA332" s="234"/>
      <c r="AB332" s="234"/>
      <c r="AC332" s="235"/>
      <c r="AD332" s="228" t="s">
        <v>120</v>
      </c>
      <c r="AE332" s="232" t="s">
        <v>120</v>
      </c>
      <c r="AF332" s="229" t="s">
        <v>207</v>
      </c>
      <c r="AG332" s="236"/>
      <c r="AH332" s="236">
        <v>3.5</v>
      </c>
      <c r="AI332" s="228" t="s">
        <v>308</v>
      </c>
      <c r="AJ332" s="232" t="s">
        <v>120</v>
      </c>
      <c r="AK332" s="228" t="s">
        <v>123</v>
      </c>
      <c r="AL332" s="228"/>
      <c r="AM332" s="232"/>
      <c r="AN332" s="228"/>
      <c r="AO332" s="228"/>
      <c r="AP332" s="237"/>
      <c r="AQ332" s="228"/>
      <c r="AR332" s="232"/>
      <c r="AS332" s="228"/>
      <c r="AT332" s="229"/>
      <c r="AU332" s="229">
        <v>43453.379005439798</v>
      </c>
      <c r="AV332" s="229"/>
      <c r="AW332" s="229"/>
      <c r="AX332" s="229"/>
      <c r="AY332" s="229"/>
      <c r="AZ332" s="238">
        <v>43236</v>
      </c>
      <c r="BA332" s="1" t="s">
        <v>7684</v>
      </c>
      <c r="BB332"/>
      <c r="BC332">
        <v>60</v>
      </c>
      <c r="BD332">
        <v>1177</v>
      </c>
      <c r="BE33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2" s="240">
        <f>COUNTIFS(_05preva_view43[Site ID],_05preva_view43[[#This Row],[Site ID]],_05preva_view43[Prevalidation Status],"Under Prevalidation")</f>
        <v>0</v>
      </c>
      <c r="BG33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2" s="242" t="str">
        <f>CONCATENATE(_05preva_view43[[#This Row],[Site ID]]," (",_05preva_view43[[#This Row],[tenant id]],") Application",IF(_05preva_view43[[#This Row],[Colo Rev]]&gt;0," Rev "&amp;_05preva_view43[[#This Row],[Colo Rev]],""),".xlsx")</f>
        <v>ACBA_0089 (BAW5581) Application.xlsx</v>
      </c>
      <c r="BI332" s="64" t="e">
        <f t="shared" ca="1" si="5"/>
        <v>#VALUE!</v>
      </c>
      <c r="BJ332" s="104" t="e">
        <f ca="1">LEFT(CELL("filename",A317),_05preva_view43[[#This Row],[Find Process &amp; Database]]-1)</f>
        <v>#VALUE!</v>
      </c>
      <c r="BK332" s="104" t="e">
        <f ca="1">_05preva_view43[Folder Path1]&amp;"Process &amp; Database\Documentation\Colo Applications"</f>
        <v>#VALUE!</v>
      </c>
      <c r="BL332" s="104" t="e">
        <f ca="1">_05preva_view43[Folder Path2]&amp;"\Colo App "&amp;_05preva_view43[[#This Row],[Operator]]&amp;"\"</f>
        <v>#VALUE!</v>
      </c>
      <c r="BM332" s="63" t="e">
        <f ca="1">_05preva_view43[[#This Row],[Folder Path3]]&amp;_05preva_view43[[#This Row],[File Name]]</f>
        <v>#VALUE!</v>
      </c>
      <c r="BN332" s="104"/>
      <c r="CF332" s="5"/>
      <c r="CG332" s="5"/>
      <c r="CH332" s="3"/>
      <c r="CJ332" s="5"/>
      <c r="CN332" s="3"/>
      <c r="CO332" s="3"/>
      <c r="CP332" s="5"/>
      <c r="CR332" s="3"/>
      <c r="DN332" s="5"/>
      <c r="DP332" s="3"/>
      <c r="EB332" s="7"/>
      <c r="EC332" s="7"/>
      <c r="EF332" s="4"/>
      <c r="EG332" s="4"/>
      <c r="EQ332" s="2"/>
      <c r="ER332" s="2"/>
    </row>
    <row r="333" spans="1:148">
      <c r="A333" s="227">
        <v>127</v>
      </c>
      <c r="B333" s="228" t="s">
        <v>378</v>
      </c>
      <c r="C333" s="228" t="s">
        <v>116</v>
      </c>
      <c r="D333" s="228" t="s">
        <v>153</v>
      </c>
      <c r="E333" s="228" t="s">
        <v>379</v>
      </c>
      <c r="F333" s="228" t="s">
        <v>40</v>
      </c>
      <c r="G333" s="228" t="s">
        <v>118</v>
      </c>
      <c r="H333" s="228"/>
      <c r="I333" s="228" t="s">
        <v>118</v>
      </c>
      <c r="J333" s="228"/>
      <c r="K333" s="229">
        <v>43236</v>
      </c>
      <c r="L333" s="230"/>
      <c r="M333" s="230">
        <v>3</v>
      </c>
      <c r="N333" s="228"/>
      <c r="O333" s="228" t="s">
        <v>119</v>
      </c>
      <c r="P333" s="231"/>
      <c r="Q333" s="231"/>
      <c r="R333" s="228" t="s">
        <v>24</v>
      </c>
      <c r="S333" s="228"/>
      <c r="T333" s="232" t="s">
        <v>120</v>
      </c>
      <c r="U333" s="228" t="s">
        <v>319</v>
      </c>
      <c r="V333" s="232" t="s">
        <v>120</v>
      </c>
      <c r="W333" s="228"/>
      <c r="X333" s="232" t="s">
        <v>120</v>
      </c>
      <c r="Y333" s="228" t="s">
        <v>320</v>
      </c>
      <c r="Z333" s="233" t="s">
        <v>120</v>
      </c>
      <c r="AA333" s="234"/>
      <c r="AB333" s="234"/>
      <c r="AC333" s="235" t="s">
        <v>123</v>
      </c>
      <c r="AD333" s="228" t="s">
        <v>331</v>
      </c>
      <c r="AE333" s="232" t="s">
        <v>120</v>
      </c>
      <c r="AF333" s="229" t="s">
        <v>380</v>
      </c>
      <c r="AG333" s="236"/>
      <c r="AH333" s="236">
        <v>2</v>
      </c>
      <c r="AI333" s="228" t="s">
        <v>381</v>
      </c>
      <c r="AJ333" s="232" t="s">
        <v>120</v>
      </c>
      <c r="AK333" s="228" t="s">
        <v>123</v>
      </c>
      <c r="AL333" s="228"/>
      <c r="AM333" s="232"/>
      <c r="AN333" s="228"/>
      <c r="AO333" s="228"/>
      <c r="AP333" s="237"/>
      <c r="AQ333" s="228"/>
      <c r="AR333" s="232"/>
      <c r="AS333" s="228"/>
      <c r="AT333" s="229"/>
      <c r="AU333" s="229">
        <v>43453.379006249997</v>
      </c>
      <c r="AV333" s="229"/>
      <c r="AW333" s="229"/>
      <c r="AX333" s="229"/>
      <c r="AY333" s="229"/>
      <c r="AZ333" s="238">
        <v>43236</v>
      </c>
      <c r="BA333" s="1" t="s">
        <v>7684</v>
      </c>
      <c r="BB333">
        <v>195</v>
      </c>
      <c r="BC333">
        <v>35</v>
      </c>
      <c r="BD333">
        <v>1266</v>
      </c>
      <c r="BE33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3" s="240">
        <f>COUNTIFS(_05preva_view43[Site ID],_05preva_view43[[#This Row],[Site ID]],_05preva_view43[Prevalidation Status],"Under Prevalidation")</f>
        <v>0</v>
      </c>
      <c r="BG33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3" s="242" t="str">
        <f>CONCATENATE(_05preva_view43[[#This Row],[Site ID]]," (",_05preva_view43[[#This Row],[tenant id]],") Application",IF(_05preva_view43[[#This Row],[Colo Rev]]&gt;0," Rev "&amp;_05preva_view43[[#This Row],[Colo Rev]],""),".xlsx")</f>
        <v>AYYN_0088 (YAW4651) Application.xlsx</v>
      </c>
      <c r="BI333" s="64" t="e">
        <f t="shared" ca="1" si="5"/>
        <v>#VALUE!</v>
      </c>
      <c r="BJ333" s="104" t="e">
        <f ca="1">LEFT(CELL("filename",A318),_05preva_view43[[#This Row],[Find Process &amp; Database]]-1)</f>
        <v>#VALUE!</v>
      </c>
      <c r="BK333" s="104" t="e">
        <f ca="1">_05preva_view43[Folder Path1]&amp;"Process &amp; Database\Documentation\Colo Applications"</f>
        <v>#VALUE!</v>
      </c>
      <c r="BL333" s="104" t="e">
        <f ca="1">_05preva_view43[Folder Path2]&amp;"\Colo App "&amp;_05preva_view43[[#This Row],[Operator]]&amp;"\"</f>
        <v>#VALUE!</v>
      </c>
      <c r="BM333" s="63" t="e">
        <f ca="1">_05preva_view43[[#This Row],[Folder Path3]]&amp;_05preva_view43[[#This Row],[File Name]]</f>
        <v>#VALUE!</v>
      </c>
      <c r="BN333" s="104"/>
      <c r="CF333" s="5"/>
      <c r="CG333" s="5"/>
      <c r="CH333" s="3"/>
      <c r="CJ333" s="5"/>
      <c r="CN333" s="3"/>
      <c r="CO333" s="3"/>
      <c r="CP333" s="5"/>
      <c r="CR333" s="3"/>
      <c r="DN333" s="5"/>
      <c r="DP333" s="3"/>
      <c r="EB333" s="7"/>
      <c r="EC333" s="7"/>
      <c r="EF333" s="4"/>
      <c r="EG333" s="4"/>
      <c r="EQ333" s="2"/>
      <c r="ER333" s="2"/>
    </row>
    <row r="334" spans="1:148">
      <c r="A334" s="227">
        <v>128</v>
      </c>
      <c r="B334" s="228" t="s">
        <v>382</v>
      </c>
      <c r="C334" s="228" t="s">
        <v>116</v>
      </c>
      <c r="D334" s="228" t="s">
        <v>153</v>
      </c>
      <c r="E334" s="228" t="s">
        <v>383</v>
      </c>
      <c r="F334" s="228" t="s">
        <v>40</v>
      </c>
      <c r="G334" s="228" t="s">
        <v>1289</v>
      </c>
      <c r="H334" s="228" t="s">
        <v>1285</v>
      </c>
      <c r="I334" s="228" t="s">
        <v>118</v>
      </c>
      <c r="J334" s="228"/>
      <c r="K334" s="229">
        <v>43236</v>
      </c>
      <c r="L334" s="230"/>
      <c r="M334" s="230">
        <v>3</v>
      </c>
      <c r="N334" s="228"/>
      <c r="O334" s="228" t="s">
        <v>119</v>
      </c>
      <c r="P334" s="231"/>
      <c r="Q334" s="231"/>
      <c r="R334" s="228" t="s">
        <v>24</v>
      </c>
      <c r="S334" s="228"/>
      <c r="T334" s="232" t="s">
        <v>120</v>
      </c>
      <c r="U334" s="228" t="s">
        <v>301</v>
      </c>
      <c r="V334" s="232" t="s">
        <v>120</v>
      </c>
      <c r="W334" s="228"/>
      <c r="X334" s="232" t="s">
        <v>120</v>
      </c>
      <c r="Y334" s="228" t="s">
        <v>120</v>
      </c>
      <c r="Z334" s="233" t="s">
        <v>120</v>
      </c>
      <c r="AA334" s="234"/>
      <c r="AB334" s="234"/>
      <c r="AC334" s="235"/>
      <c r="AD334" s="228" t="s">
        <v>120</v>
      </c>
      <c r="AE334" s="232" t="s">
        <v>120</v>
      </c>
      <c r="AF334" s="229" t="s">
        <v>207</v>
      </c>
      <c r="AG334" s="236"/>
      <c r="AH334" s="236">
        <v>3.5</v>
      </c>
      <c r="AI334" s="228" t="s">
        <v>208</v>
      </c>
      <c r="AJ334" s="232" t="s">
        <v>120</v>
      </c>
      <c r="AK334" s="228" t="s">
        <v>123</v>
      </c>
      <c r="AL334" s="228"/>
      <c r="AM334" s="232"/>
      <c r="AN334" s="228"/>
      <c r="AO334" s="228"/>
      <c r="AP334" s="237"/>
      <c r="AQ334" s="228"/>
      <c r="AR334" s="232"/>
      <c r="AS334" s="228"/>
      <c r="AT334" s="229"/>
      <c r="AU334" s="229">
        <v>43453.379008449097</v>
      </c>
      <c r="AV334" s="229"/>
      <c r="AW334" s="229"/>
      <c r="AX334" s="229"/>
      <c r="AY334" s="229"/>
      <c r="AZ334" s="238">
        <v>43236</v>
      </c>
      <c r="BA334" s="1" t="s">
        <v>7684</v>
      </c>
      <c r="BB334"/>
      <c r="BC334">
        <v>50</v>
      </c>
      <c r="BD334">
        <v>782</v>
      </c>
      <c r="BE33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4" s="240">
        <f>COUNTIFS(_05preva_view43[Site ID],_05preva_view43[[#This Row],[Site ID]],_05preva_view43[Prevalidation Status],"Under Prevalidation")</f>
        <v>0</v>
      </c>
      <c r="BG33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4" s="242" t="str">
        <f>CONCATENATE(_05preva_view43[[#This Row],[Site ID]]," (",_05preva_view43[[#This Row],[tenant id]],") Application",IF(_05preva_view43[[#This Row],[Colo Rev]]&gt;0," Rev "&amp;_05preva_view43[[#This Row],[Colo Rev]],""),".xlsx")</f>
        <v>ACAY_0123 (AYW5569) Application.xlsx</v>
      </c>
      <c r="BI334" s="64" t="e">
        <f t="shared" ca="1" si="5"/>
        <v>#VALUE!</v>
      </c>
      <c r="BJ334" s="104" t="e">
        <f ca="1">LEFT(CELL("filename",A319),_05preva_view43[[#This Row],[Find Process &amp; Database]]-1)</f>
        <v>#VALUE!</v>
      </c>
      <c r="BK334" s="104" t="e">
        <f ca="1">_05preva_view43[Folder Path1]&amp;"Process &amp; Database\Documentation\Colo Applications"</f>
        <v>#VALUE!</v>
      </c>
      <c r="BL334" s="104" t="e">
        <f ca="1">_05preva_view43[Folder Path2]&amp;"\Colo App "&amp;_05preva_view43[[#This Row],[Operator]]&amp;"\"</f>
        <v>#VALUE!</v>
      </c>
      <c r="BM334" s="63" t="e">
        <f ca="1">_05preva_view43[[#This Row],[Folder Path3]]&amp;_05preva_view43[[#This Row],[File Name]]</f>
        <v>#VALUE!</v>
      </c>
      <c r="BN334" s="104"/>
      <c r="CF334" s="5"/>
      <c r="CG334" s="5"/>
      <c r="CH334" s="3"/>
      <c r="CJ334" s="5"/>
      <c r="CN334" s="3"/>
      <c r="CO334" s="3"/>
      <c r="CP334" s="5"/>
      <c r="CR334" s="3"/>
      <c r="DN334" s="5"/>
      <c r="DP334" s="3"/>
      <c r="EB334" s="7"/>
      <c r="EC334" s="7"/>
      <c r="EF334" s="4"/>
      <c r="EG334" s="4"/>
      <c r="EQ334" s="2"/>
      <c r="ER334" s="2"/>
    </row>
    <row r="335" spans="1:148">
      <c r="A335" s="227">
        <v>129</v>
      </c>
      <c r="B335" s="228" t="s">
        <v>384</v>
      </c>
      <c r="C335" s="228" t="s">
        <v>116</v>
      </c>
      <c r="D335" s="228" t="s">
        <v>153</v>
      </c>
      <c r="E335" s="228" t="s">
        <v>385</v>
      </c>
      <c r="F335" s="228" t="s">
        <v>40</v>
      </c>
      <c r="G335" s="228" t="s">
        <v>118</v>
      </c>
      <c r="H335" s="228"/>
      <c r="I335" s="228" t="s">
        <v>118</v>
      </c>
      <c r="J335" s="228"/>
      <c r="K335" s="229">
        <v>43236</v>
      </c>
      <c r="L335" s="230"/>
      <c r="M335" s="230">
        <v>3</v>
      </c>
      <c r="N335" s="228"/>
      <c r="O335" s="228" t="s">
        <v>119</v>
      </c>
      <c r="P335" s="231"/>
      <c r="Q335" s="231"/>
      <c r="R335" s="228" t="s">
        <v>24</v>
      </c>
      <c r="S335" s="228"/>
      <c r="T335" s="232" t="s">
        <v>120</v>
      </c>
      <c r="U335" s="228" t="s">
        <v>301</v>
      </c>
      <c r="V335" s="232" t="s">
        <v>120</v>
      </c>
      <c r="W335" s="228"/>
      <c r="X335" s="232" t="s">
        <v>120</v>
      </c>
      <c r="Y335" s="228" t="s">
        <v>120</v>
      </c>
      <c r="Z335" s="233" t="s">
        <v>120</v>
      </c>
      <c r="AA335" s="234"/>
      <c r="AB335" s="234"/>
      <c r="AC335" s="235"/>
      <c r="AD335" s="228" t="s">
        <v>120</v>
      </c>
      <c r="AE335" s="232" t="s">
        <v>120</v>
      </c>
      <c r="AF335" s="229" t="s">
        <v>120</v>
      </c>
      <c r="AG335" s="236"/>
      <c r="AH335" s="236">
        <v>2</v>
      </c>
      <c r="AI335" s="228" t="s">
        <v>386</v>
      </c>
      <c r="AJ335" s="232" t="s">
        <v>120</v>
      </c>
      <c r="AK335" s="228" t="s">
        <v>123</v>
      </c>
      <c r="AL335" s="228"/>
      <c r="AM335" s="232"/>
      <c r="AN335" s="228"/>
      <c r="AO335" s="228"/>
      <c r="AP335" s="237"/>
      <c r="AQ335" s="228"/>
      <c r="AR335" s="232"/>
      <c r="AS335" s="228"/>
      <c r="AT335" s="229"/>
      <c r="AU335" s="229">
        <v>43453.379009259297</v>
      </c>
      <c r="AV335" s="229"/>
      <c r="AW335" s="229"/>
      <c r="AX335" s="229"/>
      <c r="AY335" s="229"/>
      <c r="AZ335" s="238">
        <v>43236</v>
      </c>
      <c r="BA335" s="1" t="s">
        <v>7684</v>
      </c>
      <c r="BB335">
        <v>160</v>
      </c>
      <c r="BC335">
        <v>45</v>
      </c>
      <c r="BD335">
        <v>151</v>
      </c>
      <c r="BE33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5" s="240">
        <f>COUNTIFS(_05preva_view43[Site ID],_05preva_view43[[#This Row],[Site ID]],_05preva_view43[Prevalidation Status],"Under Prevalidation")</f>
        <v>0</v>
      </c>
      <c r="BG33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5" s="242" t="str">
        <f>CONCATENATE(_05preva_view43[[#This Row],[Site ID]]," (",_05preva_view43[[#This Row],[tenant id]],") Application",IF(_05preva_view43[[#This Row],[Colo Rev]]&gt;0," Rev "&amp;_05preva_view43[[#This Row],[Colo Rev]],""),".xlsx")</f>
        <v>ACBA_0032 (BAW5234) Application.xlsx</v>
      </c>
      <c r="BI335" s="64" t="e">
        <f t="shared" ca="1" si="5"/>
        <v>#VALUE!</v>
      </c>
      <c r="BJ335" s="104" t="e">
        <f ca="1">LEFT(CELL("filename",A320),_05preva_view43[[#This Row],[Find Process &amp; Database]]-1)</f>
        <v>#VALUE!</v>
      </c>
      <c r="BK335" s="104" t="e">
        <f ca="1">_05preva_view43[Folder Path1]&amp;"Process &amp; Database\Documentation\Colo Applications"</f>
        <v>#VALUE!</v>
      </c>
      <c r="BL335" s="104" t="e">
        <f ca="1">_05preva_view43[Folder Path2]&amp;"\Colo App "&amp;_05preva_view43[[#This Row],[Operator]]&amp;"\"</f>
        <v>#VALUE!</v>
      </c>
      <c r="BM335" s="63" t="e">
        <f ca="1">_05preva_view43[[#This Row],[Folder Path3]]&amp;_05preva_view43[[#This Row],[File Name]]</f>
        <v>#VALUE!</v>
      </c>
      <c r="BN335" s="104"/>
      <c r="CF335" s="5"/>
      <c r="CG335" s="5"/>
      <c r="CH335" s="3"/>
      <c r="CJ335" s="5"/>
      <c r="CN335" s="3"/>
      <c r="CO335" s="3"/>
      <c r="CP335" s="5"/>
      <c r="CR335" s="3"/>
      <c r="DN335" s="5"/>
      <c r="DP335" s="3"/>
      <c r="EB335" s="7"/>
      <c r="EC335" s="7"/>
      <c r="EF335" s="4"/>
      <c r="EG335" s="4"/>
      <c r="EQ335" s="2"/>
      <c r="ER335" s="2"/>
    </row>
    <row r="336" spans="1:148">
      <c r="A336" s="227">
        <v>130</v>
      </c>
      <c r="B336" s="228" t="s">
        <v>387</v>
      </c>
      <c r="C336" s="228" t="s">
        <v>116</v>
      </c>
      <c r="D336" s="228" t="s">
        <v>153</v>
      </c>
      <c r="E336" s="228" t="s">
        <v>388</v>
      </c>
      <c r="F336" s="228" t="s">
        <v>40</v>
      </c>
      <c r="G336" s="228" t="s">
        <v>1289</v>
      </c>
      <c r="H336" s="228" t="s">
        <v>1285</v>
      </c>
      <c r="I336" s="228" t="s">
        <v>118</v>
      </c>
      <c r="J336" s="228"/>
      <c r="K336" s="229">
        <v>43236</v>
      </c>
      <c r="L336" s="230"/>
      <c r="M336" s="230">
        <v>3</v>
      </c>
      <c r="N336" s="228"/>
      <c r="O336" s="228" t="s">
        <v>119</v>
      </c>
      <c r="P336" s="231"/>
      <c r="Q336" s="231"/>
      <c r="R336" s="228" t="s">
        <v>24</v>
      </c>
      <c r="S336" s="228"/>
      <c r="T336" s="232" t="s">
        <v>120</v>
      </c>
      <c r="U336" s="228" t="s">
        <v>301</v>
      </c>
      <c r="V336" s="232" t="s">
        <v>120</v>
      </c>
      <c r="W336" s="228"/>
      <c r="X336" s="232" t="s">
        <v>120</v>
      </c>
      <c r="Y336" s="228" t="s">
        <v>120</v>
      </c>
      <c r="Z336" s="233" t="s">
        <v>120</v>
      </c>
      <c r="AA336" s="234"/>
      <c r="AB336" s="234"/>
      <c r="AC336" s="235"/>
      <c r="AD336" s="228" t="s">
        <v>331</v>
      </c>
      <c r="AE336" s="232" t="s">
        <v>120</v>
      </c>
      <c r="AF336" s="229" t="s">
        <v>207</v>
      </c>
      <c r="AG336" s="236"/>
      <c r="AH336" s="236">
        <v>3.5</v>
      </c>
      <c r="AI336" s="228" t="s">
        <v>208</v>
      </c>
      <c r="AJ336" s="232" t="s">
        <v>120</v>
      </c>
      <c r="AK336" s="228" t="s">
        <v>123</v>
      </c>
      <c r="AL336" s="228"/>
      <c r="AM336" s="232"/>
      <c r="AN336" s="228"/>
      <c r="AO336" s="228"/>
      <c r="AP336" s="237"/>
      <c r="AQ336" s="228"/>
      <c r="AR336" s="232"/>
      <c r="AS336" s="228"/>
      <c r="AT336" s="229"/>
      <c r="AU336" s="229">
        <v>43453.379010185199</v>
      </c>
      <c r="AV336" s="229"/>
      <c r="AW336" s="229"/>
      <c r="AX336" s="229"/>
      <c r="AY336" s="229"/>
      <c r="AZ336" s="238">
        <v>43236</v>
      </c>
      <c r="BA336" s="1" t="s">
        <v>7684</v>
      </c>
      <c r="BB336"/>
      <c r="BC336">
        <v>35</v>
      </c>
      <c r="BD336">
        <v>217</v>
      </c>
      <c r="BE33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6" s="240">
        <f>COUNTIFS(_05preva_view43[Site ID],_05preva_view43[[#This Row],[Site ID]],_05preva_view43[Prevalidation Status],"Under Prevalidation")</f>
        <v>0</v>
      </c>
      <c r="BG33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6" s="242" t="str">
        <f>CONCATENATE(_05preva_view43[[#This Row],[Site ID]]," (",_05preva_view43[[#This Row],[tenant id]],") Application",IF(_05preva_view43[[#This Row],[Colo Rev]]&gt;0," Rev "&amp;_05preva_view43[[#This Row],[Colo Rev]],""),".xlsx")</f>
        <v>ASMO_0162 (MOW6294) Application.xlsx</v>
      </c>
      <c r="BI336" s="64" t="e">
        <f t="shared" ref="BI336:BI399" ca="1" si="6">FIND("Process &amp; Database\",CELL("filename",$A$1))</f>
        <v>#VALUE!</v>
      </c>
      <c r="BJ336" s="104" t="e">
        <f ca="1">LEFT(CELL("filename",A321),_05preva_view43[[#This Row],[Find Process &amp; Database]]-1)</f>
        <v>#VALUE!</v>
      </c>
      <c r="BK336" s="104" t="e">
        <f ca="1">_05preva_view43[Folder Path1]&amp;"Process &amp; Database\Documentation\Colo Applications"</f>
        <v>#VALUE!</v>
      </c>
      <c r="BL336" s="104" t="e">
        <f ca="1">_05preva_view43[Folder Path2]&amp;"\Colo App "&amp;_05preva_view43[[#This Row],[Operator]]&amp;"\"</f>
        <v>#VALUE!</v>
      </c>
      <c r="BM336" s="63" t="e">
        <f ca="1">_05preva_view43[[#This Row],[Folder Path3]]&amp;_05preva_view43[[#This Row],[File Name]]</f>
        <v>#VALUE!</v>
      </c>
      <c r="BN336" s="104"/>
      <c r="CF336" s="5"/>
      <c r="CG336" s="5"/>
      <c r="CH336" s="3"/>
      <c r="CJ336" s="5"/>
      <c r="CN336" s="3"/>
      <c r="CO336" s="3"/>
      <c r="CP336" s="5"/>
      <c r="CR336" s="3"/>
      <c r="DN336" s="5"/>
      <c r="DP336" s="3"/>
      <c r="EB336" s="7"/>
      <c r="EC336" s="7"/>
      <c r="EF336" s="4"/>
      <c r="EG336" s="4"/>
      <c r="EQ336" s="2"/>
      <c r="ER336" s="2"/>
    </row>
    <row r="337" spans="1:148">
      <c r="A337" s="227">
        <v>132</v>
      </c>
      <c r="B337" s="228" t="s">
        <v>389</v>
      </c>
      <c r="C337" s="228" t="s">
        <v>116</v>
      </c>
      <c r="D337" s="228" t="s">
        <v>153</v>
      </c>
      <c r="E337" s="228" t="s">
        <v>390</v>
      </c>
      <c r="F337" s="228" t="s">
        <v>40</v>
      </c>
      <c r="G337" s="228" t="s">
        <v>118</v>
      </c>
      <c r="H337" s="228"/>
      <c r="I337" s="228" t="s">
        <v>118</v>
      </c>
      <c r="J337" s="228"/>
      <c r="K337" s="229">
        <v>43236</v>
      </c>
      <c r="L337" s="230"/>
      <c r="M337" s="230">
        <v>3</v>
      </c>
      <c r="N337" s="228"/>
      <c r="O337" s="228" t="s">
        <v>119</v>
      </c>
      <c r="P337" s="231"/>
      <c r="Q337" s="231"/>
      <c r="R337" s="228" t="s">
        <v>24</v>
      </c>
      <c r="S337" s="228"/>
      <c r="T337" s="232" t="s">
        <v>120</v>
      </c>
      <c r="U337" s="228" t="s">
        <v>301</v>
      </c>
      <c r="V337" s="232" t="s">
        <v>120</v>
      </c>
      <c r="W337" s="228"/>
      <c r="X337" s="232" t="s">
        <v>120</v>
      </c>
      <c r="Y337" s="228" t="s">
        <v>120</v>
      </c>
      <c r="Z337" s="233" t="s">
        <v>120</v>
      </c>
      <c r="AA337" s="234"/>
      <c r="AB337" s="234"/>
      <c r="AC337" s="235"/>
      <c r="AD337" s="228" t="s">
        <v>120</v>
      </c>
      <c r="AE337" s="232" t="s">
        <v>120</v>
      </c>
      <c r="AF337" s="229" t="s">
        <v>120</v>
      </c>
      <c r="AG337" s="236"/>
      <c r="AH337" s="236">
        <v>2</v>
      </c>
      <c r="AI337" s="228" t="s">
        <v>277</v>
      </c>
      <c r="AJ337" s="232" t="s">
        <v>120</v>
      </c>
      <c r="AK337" s="228" t="s">
        <v>123</v>
      </c>
      <c r="AL337" s="228"/>
      <c r="AM337" s="232"/>
      <c r="AN337" s="228"/>
      <c r="AO337" s="228"/>
      <c r="AP337" s="237"/>
      <c r="AQ337" s="228"/>
      <c r="AR337" s="232"/>
      <c r="AS337" s="228"/>
      <c r="AT337" s="229"/>
      <c r="AU337" s="229">
        <v>43453.379013078702</v>
      </c>
      <c r="AV337" s="229"/>
      <c r="AW337" s="229"/>
      <c r="AX337" s="229"/>
      <c r="AY337" s="229"/>
      <c r="AZ337" s="238">
        <v>43236</v>
      </c>
      <c r="BA337" s="1" t="s">
        <v>7684</v>
      </c>
      <c r="BB337">
        <v>160</v>
      </c>
      <c r="BC337">
        <v>45</v>
      </c>
      <c r="BD337">
        <v>1716</v>
      </c>
      <c r="BE33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7" s="240">
        <f>COUNTIFS(_05preva_view43[Site ID],_05preva_view43[[#This Row],[Site ID]],_05preva_view43[Prevalidation Status],"Under Prevalidation")</f>
        <v>0</v>
      </c>
      <c r="BG33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7" s="242" t="str">
        <f>CONCATENATE(_05preva_view43[[#This Row],[Site ID]]," (",_05preva_view43[[#This Row],[tenant id]],") Application",IF(_05preva_view43[[#This Row],[Colo Rev]]&gt;0," Rev "&amp;_05preva_view43[[#This Row],[Colo Rev]],""),".xlsx")</f>
        <v>ASMO_0166 (MOW6237) Application.xlsx</v>
      </c>
      <c r="BI337" s="64" t="e">
        <f t="shared" ca="1" si="6"/>
        <v>#VALUE!</v>
      </c>
      <c r="BJ337" s="104" t="e">
        <f ca="1">LEFT(CELL("filename",A322),_05preva_view43[[#This Row],[Find Process &amp; Database]]-1)</f>
        <v>#VALUE!</v>
      </c>
      <c r="BK337" s="104" t="e">
        <f ca="1">_05preva_view43[Folder Path1]&amp;"Process &amp; Database\Documentation\Colo Applications"</f>
        <v>#VALUE!</v>
      </c>
      <c r="BL337" s="104" t="e">
        <f ca="1">_05preva_view43[Folder Path2]&amp;"\Colo App "&amp;_05preva_view43[[#This Row],[Operator]]&amp;"\"</f>
        <v>#VALUE!</v>
      </c>
      <c r="BM337" s="63" t="e">
        <f ca="1">_05preva_view43[[#This Row],[Folder Path3]]&amp;_05preva_view43[[#This Row],[File Name]]</f>
        <v>#VALUE!</v>
      </c>
      <c r="BN337" s="104"/>
      <c r="CF337" s="5"/>
      <c r="CG337" s="5"/>
      <c r="CH337" s="3"/>
      <c r="CJ337" s="5"/>
      <c r="CN337" s="3"/>
      <c r="CO337" s="3"/>
      <c r="CP337" s="5"/>
      <c r="CR337" s="3"/>
      <c r="DN337" s="5"/>
      <c r="DP337" s="3"/>
      <c r="EB337" s="7"/>
      <c r="EC337" s="7"/>
      <c r="EF337" s="4"/>
      <c r="EG337" s="4"/>
      <c r="EQ337" s="2"/>
      <c r="ER337" s="2"/>
    </row>
    <row r="338" spans="1:148">
      <c r="A338" s="227">
        <v>133</v>
      </c>
      <c r="B338" s="228" t="s">
        <v>391</v>
      </c>
      <c r="C338" s="228" t="s">
        <v>116</v>
      </c>
      <c r="D338" s="228" t="s">
        <v>153</v>
      </c>
      <c r="E338" s="228" t="s">
        <v>392</v>
      </c>
      <c r="F338" s="228" t="s">
        <v>40</v>
      </c>
      <c r="G338" s="228" t="s">
        <v>118</v>
      </c>
      <c r="H338" s="228"/>
      <c r="I338" s="228" t="s">
        <v>118</v>
      </c>
      <c r="J338" s="228"/>
      <c r="K338" s="229">
        <v>43236</v>
      </c>
      <c r="L338" s="230"/>
      <c r="M338" s="230">
        <v>3</v>
      </c>
      <c r="N338" s="228"/>
      <c r="O338" s="228" t="s">
        <v>119</v>
      </c>
      <c r="P338" s="231"/>
      <c r="Q338" s="231"/>
      <c r="R338" s="228" t="s">
        <v>24</v>
      </c>
      <c r="S338" s="228"/>
      <c r="T338" s="232" t="s">
        <v>120</v>
      </c>
      <c r="U338" s="228" t="s">
        <v>301</v>
      </c>
      <c r="V338" s="232" t="s">
        <v>120</v>
      </c>
      <c r="W338" s="228"/>
      <c r="X338" s="232" t="s">
        <v>120</v>
      </c>
      <c r="Y338" s="228" t="s">
        <v>120</v>
      </c>
      <c r="Z338" s="233" t="s">
        <v>120</v>
      </c>
      <c r="AA338" s="234"/>
      <c r="AB338" s="234"/>
      <c r="AC338" s="235" t="s">
        <v>350</v>
      </c>
      <c r="AD338" s="228" t="s">
        <v>393</v>
      </c>
      <c r="AE338" s="232" t="s">
        <v>125</v>
      </c>
      <c r="AF338" s="229"/>
      <c r="AG338" s="236"/>
      <c r="AH338" s="236"/>
      <c r="AI338" s="228" t="s">
        <v>394</v>
      </c>
      <c r="AJ338" s="232" t="s">
        <v>120</v>
      </c>
      <c r="AK338" s="228" t="s">
        <v>123</v>
      </c>
      <c r="AL338" s="228"/>
      <c r="AM338" s="232"/>
      <c r="AN338" s="228"/>
      <c r="AO338" s="228"/>
      <c r="AP338" s="237"/>
      <c r="AQ338" s="228"/>
      <c r="AR338" s="232"/>
      <c r="AS338" s="228"/>
      <c r="AT338" s="229"/>
      <c r="AU338" s="229"/>
      <c r="AV338" s="229"/>
      <c r="AW338" s="229"/>
      <c r="AX338" s="229"/>
      <c r="AY338" s="229"/>
      <c r="AZ338" s="238">
        <v>43236</v>
      </c>
      <c r="BA338" s="1" t="s">
        <v>7684</v>
      </c>
      <c r="BB338">
        <v>160</v>
      </c>
      <c r="BC338">
        <v>35</v>
      </c>
      <c r="BD338">
        <v>1280</v>
      </c>
      <c r="BE33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8" s="240">
        <f>COUNTIFS(_05preva_view43[Site ID],_05preva_view43[[#This Row],[Site ID]],_05preva_view43[Prevalidation Status],"Under Prevalidation")</f>
        <v>0</v>
      </c>
      <c r="BG33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8" s="242" t="str">
        <f>CONCATENATE(_05preva_view43[[#This Row],[Site ID]]," (",_05preva_view43[[#This Row],[tenant id]],") Application",IF(_05preva_view43[[#This Row],[Colo Rev]]&gt;0," Rev "&amp;_05preva_view43[[#This Row],[Colo Rev]],""),".xlsx")</f>
        <v>ASMO_0165 (MOW6176) Application.xlsx</v>
      </c>
      <c r="BI338" s="64" t="e">
        <f t="shared" ca="1" si="6"/>
        <v>#VALUE!</v>
      </c>
      <c r="BJ338" s="104" t="e">
        <f ca="1">LEFT(CELL("filename",A323),_05preva_view43[[#This Row],[Find Process &amp; Database]]-1)</f>
        <v>#VALUE!</v>
      </c>
      <c r="BK338" s="104" t="e">
        <f ca="1">_05preva_view43[Folder Path1]&amp;"Process &amp; Database\Documentation\Colo Applications"</f>
        <v>#VALUE!</v>
      </c>
      <c r="BL338" s="104" t="e">
        <f ca="1">_05preva_view43[Folder Path2]&amp;"\Colo App "&amp;_05preva_view43[[#This Row],[Operator]]&amp;"\"</f>
        <v>#VALUE!</v>
      </c>
      <c r="BM338" s="63" t="e">
        <f ca="1">_05preva_view43[[#This Row],[Folder Path3]]&amp;_05preva_view43[[#This Row],[File Name]]</f>
        <v>#VALUE!</v>
      </c>
      <c r="BN338" s="104"/>
      <c r="CF338" s="5"/>
      <c r="CG338" s="5"/>
      <c r="CH338" s="3"/>
      <c r="CJ338" s="5"/>
      <c r="CN338" s="3"/>
      <c r="CO338" s="3"/>
      <c r="CP338" s="5"/>
      <c r="CR338" s="3"/>
      <c r="DN338" s="5"/>
      <c r="DP338" s="3"/>
      <c r="EB338" s="7"/>
      <c r="EC338" s="7"/>
      <c r="EF338" s="4"/>
      <c r="EG338" s="4"/>
      <c r="EQ338" s="2"/>
      <c r="ER338" s="2"/>
    </row>
    <row r="339" spans="1:148">
      <c r="A339" s="227">
        <v>134</v>
      </c>
      <c r="B339" s="228" t="s">
        <v>395</v>
      </c>
      <c r="C339" s="228" t="s">
        <v>116</v>
      </c>
      <c r="D339" s="228" t="s">
        <v>153</v>
      </c>
      <c r="E339" s="228" t="s">
        <v>396</v>
      </c>
      <c r="F339" s="228" t="s">
        <v>40</v>
      </c>
      <c r="G339" s="228" t="s">
        <v>118</v>
      </c>
      <c r="H339" s="228"/>
      <c r="I339" s="228" t="s">
        <v>118</v>
      </c>
      <c r="J339" s="228"/>
      <c r="K339" s="229">
        <v>43236</v>
      </c>
      <c r="L339" s="230"/>
      <c r="M339" s="230">
        <v>3</v>
      </c>
      <c r="N339" s="228"/>
      <c r="O339" s="228" t="s">
        <v>119</v>
      </c>
      <c r="P339" s="231"/>
      <c r="Q339" s="231"/>
      <c r="R339" s="228" t="s">
        <v>24</v>
      </c>
      <c r="S339" s="228"/>
      <c r="T339" s="232" t="s">
        <v>120</v>
      </c>
      <c r="U339" s="228" t="s">
        <v>397</v>
      </c>
      <c r="V339" s="232" t="s">
        <v>125</v>
      </c>
      <c r="W339" s="228"/>
      <c r="X339" s="232" t="s">
        <v>120</v>
      </c>
      <c r="Y339" s="228" t="s">
        <v>320</v>
      </c>
      <c r="Z339" s="233" t="s">
        <v>125</v>
      </c>
      <c r="AA339" s="234"/>
      <c r="AB339" s="234"/>
      <c r="AC339" s="235" t="s">
        <v>123</v>
      </c>
      <c r="AD339" s="228" t="s">
        <v>344</v>
      </c>
      <c r="AE339" s="232" t="s">
        <v>125</v>
      </c>
      <c r="AF339" s="229"/>
      <c r="AG339" s="236"/>
      <c r="AH339" s="236"/>
      <c r="AI339" s="228" t="s">
        <v>399</v>
      </c>
      <c r="AJ339" s="232" t="s">
        <v>120</v>
      </c>
      <c r="AK339" s="228" t="s">
        <v>123</v>
      </c>
      <c r="AL339" s="228" t="s">
        <v>398</v>
      </c>
      <c r="AM339" s="232"/>
      <c r="AN339" s="228"/>
      <c r="AO339" s="228"/>
      <c r="AP339" s="237"/>
      <c r="AQ339" s="228"/>
      <c r="AR339" s="232"/>
      <c r="AS339" s="228"/>
      <c r="AT339" s="229"/>
      <c r="AU339" s="229"/>
      <c r="AV339" s="229"/>
      <c r="AW339" s="229"/>
      <c r="AX339" s="229"/>
      <c r="AY339" s="229"/>
      <c r="AZ339" s="238"/>
      <c r="BA339" s="1" t="s">
        <v>7684</v>
      </c>
      <c r="BB339">
        <v>160</v>
      </c>
      <c r="BC339">
        <v>45</v>
      </c>
      <c r="BD339">
        <v>1076</v>
      </c>
      <c r="BE33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39" s="240">
        <f>COUNTIFS(_05preva_view43[Site ID],_05preva_view43[[#This Row],[Site ID]],_05preva_view43[Prevalidation Status],"Under Prevalidation")</f>
        <v>0</v>
      </c>
      <c r="BG33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39" s="242" t="str">
        <f>CONCATENATE(_05preva_view43[[#This Row],[Site ID]]," (",_05preva_view43[[#This Row],[tenant id]],") Application",IF(_05preva_view43[[#This Row],[Colo Rev]]&gt;0," Rev "&amp;_05preva_view43[[#This Row],[Colo Rev]],""),".xlsx")</f>
        <v>ASMO_0171 (MOW6290) Application.xlsx</v>
      </c>
      <c r="BI339" s="64" t="e">
        <f t="shared" ca="1" si="6"/>
        <v>#VALUE!</v>
      </c>
      <c r="BJ339" s="104" t="e">
        <f ca="1">LEFT(CELL("filename",A324),_05preva_view43[[#This Row],[Find Process &amp; Database]]-1)</f>
        <v>#VALUE!</v>
      </c>
      <c r="BK339" s="104" t="e">
        <f ca="1">_05preva_view43[Folder Path1]&amp;"Process &amp; Database\Documentation\Colo Applications"</f>
        <v>#VALUE!</v>
      </c>
      <c r="BL339" s="104" t="e">
        <f ca="1">_05preva_view43[Folder Path2]&amp;"\Colo App "&amp;_05preva_view43[[#This Row],[Operator]]&amp;"\"</f>
        <v>#VALUE!</v>
      </c>
      <c r="BM339" s="63" t="e">
        <f ca="1">_05preva_view43[[#This Row],[Folder Path3]]&amp;_05preva_view43[[#This Row],[File Name]]</f>
        <v>#VALUE!</v>
      </c>
      <c r="BN339" s="104"/>
      <c r="CF339" s="5"/>
      <c r="CG339" s="5"/>
      <c r="CH339" s="3"/>
      <c r="CJ339" s="5"/>
      <c r="CN339" s="3"/>
      <c r="CO339" s="3"/>
      <c r="CP339" s="5"/>
      <c r="CR339" s="3"/>
      <c r="DN339" s="5"/>
      <c r="DP339" s="3"/>
      <c r="EB339" s="7"/>
      <c r="EC339" s="7"/>
      <c r="EF339" s="4"/>
      <c r="EG339" s="4"/>
      <c r="EQ339" s="2"/>
      <c r="ER339" s="2"/>
    </row>
    <row r="340" spans="1:148">
      <c r="A340" s="227">
        <v>137</v>
      </c>
      <c r="B340" s="228" t="s">
        <v>401</v>
      </c>
      <c r="C340" s="228" t="s">
        <v>116</v>
      </c>
      <c r="D340" s="228" t="s">
        <v>153</v>
      </c>
      <c r="E340" s="228" t="s">
        <v>402</v>
      </c>
      <c r="F340" s="228" t="s">
        <v>40</v>
      </c>
      <c r="G340" s="228" t="s">
        <v>118</v>
      </c>
      <c r="H340" s="228"/>
      <c r="I340" s="228" t="s">
        <v>118</v>
      </c>
      <c r="J340" s="228"/>
      <c r="K340" s="229">
        <v>43236</v>
      </c>
      <c r="L340" s="230"/>
      <c r="M340" s="230">
        <v>3</v>
      </c>
      <c r="N340" s="228"/>
      <c r="O340" s="228" t="s">
        <v>119</v>
      </c>
      <c r="P340" s="231"/>
      <c r="Q340" s="231"/>
      <c r="R340" s="228" t="s">
        <v>24</v>
      </c>
      <c r="S340" s="228"/>
      <c r="T340" s="232" t="s">
        <v>120</v>
      </c>
      <c r="U340" s="228" t="s">
        <v>301</v>
      </c>
      <c r="V340" s="232" t="s">
        <v>120</v>
      </c>
      <c r="W340" s="228"/>
      <c r="X340" s="232" t="s">
        <v>120</v>
      </c>
      <c r="Y340" s="228" t="s">
        <v>120</v>
      </c>
      <c r="Z340" s="233" t="s">
        <v>120</v>
      </c>
      <c r="AA340" s="234"/>
      <c r="AB340" s="234"/>
      <c r="AC340" s="235" t="s">
        <v>350</v>
      </c>
      <c r="AD340" s="228"/>
      <c r="AE340" s="232" t="s">
        <v>229</v>
      </c>
      <c r="AF340" s="229"/>
      <c r="AG340" s="236"/>
      <c r="AH340" s="236"/>
      <c r="AI340" s="228" t="s">
        <v>277</v>
      </c>
      <c r="AJ340" s="232" t="s">
        <v>120</v>
      </c>
      <c r="AK340" s="228" t="s">
        <v>123</v>
      </c>
      <c r="AL340" s="228"/>
      <c r="AM340" s="232"/>
      <c r="AN340" s="228"/>
      <c r="AO340" s="228"/>
      <c r="AP340" s="237"/>
      <c r="AQ340" s="228"/>
      <c r="AR340" s="232"/>
      <c r="AS340" s="228"/>
      <c r="AT340" s="229"/>
      <c r="AU340" s="229">
        <v>43453.379015509301</v>
      </c>
      <c r="AV340" s="229"/>
      <c r="AW340" s="229"/>
      <c r="AX340" s="229"/>
      <c r="AY340" s="229"/>
      <c r="AZ340" s="238">
        <v>43236</v>
      </c>
      <c r="BA340" s="1" t="s">
        <v>7684</v>
      </c>
      <c r="BB340"/>
      <c r="BC340">
        <v>45</v>
      </c>
      <c r="BD340">
        <v>639</v>
      </c>
      <c r="BE34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0" s="240">
        <f>COUNTIFS(_05preva_view43[Site ID],_05preva_view43[[#This Row],[Site ID]],_05preva_view43[Prevalidation Status],"Under Prevalidation")</f>
        <v>0</v>
      </c>
      <c r="BG34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0" s="242" t="str">
        <f>CONCATENATE(_05preva_view43[[#This Row],[Site ID]]," (",_05preva_view43[[#This Row],[tenant id]],") Application",IF(_05preva_view43[[#This Row],[Colo Rev]]&gt;0," Rev "&amp;_05preva_view43[[#This Row],[Colo Rev]],""),".xlsx")</f>
        <v>ACBA_0196 (BAW5585) Application.xlsx</v>
      </c>
      <c r="BI340" s="64" t="e">
        <f t="shared" ca="1" si="6"/>
        <v>#VALUE!</v>
      </c>
      <c r="BJ340" s="104" t="e">
        <f ca="1">LEFT(CELL("filename",A325),_05preva_view43[[#This Row],[Find Process &amp; Database]]-1)</f>
        <v>#VALUE!</v>
      </c>
      <c r="BK340" s="104" t="e">
        <f ca="1">_05preva_view43[Folder Path1]&amp;"Process &amp; Database\Documentation\Colo Applications"</f>
        <v>#VALUE!</v>
      </c>
      <c r="BL340" s="104" t="e">
        <f ca="1">_05preva_view43[Folder Path2]&amp;"\Colo App "&amp;_05preva_view43[[#This Row],[Operator]]&amp;"\"</f>
        <v>#VALUE!</v>
      </c>
      <c r="BM340" s="63" t="e">
        <f ca="1">_05preva_view43[[#This Row],[Folder Path3]]&amp;_05preva_view43[[#This Row],[File Name]]</f>
        <v>#VALUE!</v>
      </c>
      <c r="BN340" s="104"/>
      <c r="CF340" s="5"/>
      <c r="CG340" s="5"/>
      <c r="CH340" s="3"/>
      <c r="CJ340" s="5"/>
      <c r="CN340" s="3"/>
      <c r="CO340" s="3"/>
      <c r="CP340" s="5"/>
      <c r="CR340" s="3"/>
      <c r="DN340" s="5"/>
      <c r="DP340" s="3"/>
      <c r="EB340" s="7"/>
      <c r="EC340" s="7"/>
      <c r="EF340" s="4"/>
      <c r="EG340" s="4"/>
      <c r="EQ340" s="2"/>
      <c r="ER340" s="2"/>
    </row>
    <row r="341" spans="1:148">
      <c r="A341" s="227">
        <v>138</v>
      </c>
      <c r="B341" s="228" t="s">
        <v>403</v>
      </c>
      <c r="C341" s="228" t="s">
        <v>116</v>
      </c>
      <c r="D341" s="228" t="s">
        <v>153</v>
      </c>
      <c r="E341" s="228" t="s">
        <v>404</v>
      </c>
      <c r="F341" s="228" t="s">
        <v>40</v>
      </c>
      <c r="G341" s="228" t="s">
        <v>118</v>
      </c>
      <c r="H341" s="228"/>
      <c r="I341" s="228" t="s">
        <v>118</v>
      </c>
      <c r="J341" s="228"/>
      <c r="K341" s="229">
        <v>43236</v>
      </c>
      <c r="L341" s="230"/>
      <c r="M341" s="230">
        <v>3</v>
      </c>
      <c r="N341" s="228"/>
      <c r="O341" s="228" t="s">
        <v>119</v>
      </c>
      <c r="P341" s="231"/>
      <c r="Q341" s="231"/>
      <c r="R341" s="228" t="s">
        <v>24</v>
      </c>
      <c r="S341" s="228"/>
      <c r="T341" s="232" t="s">
        <v>120</v>
      </c>
      <c r="U341" s="228" t="s">
        <v>319</v>
      </c>
      <c r="V341" s="232" t="s">
        <v>120</v>
      </c>
      <c r="W341" s="228"/>
      <c r="X341" s="232" t="s">
        <v>120</v>
      </c>
      <c r="Y341" s="228" t="s">
        <v>320</v>
      </c>
      <c r="Z341" s="233" t="s">
        <v>120</v>
      </c>
      <c r="AA341" s="234"/>
      <c r="AB341" s="234"/>
      <c r="AC341" s="235" t="s">
        <v>123</v>
      </c>
      <c r="AD341" s="228" t="s">
        <v>325</v>
      </c>
      <c r="AE341" s="232" t="s">
        <v>120</v>
      </c>
      <c r="AF341" s="229" t="s">
        <v>364</v>
      </c>
      <c r="AG341" s="236"/>
      <c r="AH341" s="236">
        <v>2</v>
      </c>
      <c r="AI341" s="228" t="s">
        <v>381</v>
      </c>
      <c r="AJ341" s="232" t="s">
        <v>120</v>
      </c>
      <c r="AK341" s="228" t="s">
        <v>206</v>
      </c>
      <c r="AL341" s="228"/>
      <c r="AM341" s="232"/>
      <c r="AN341" s="228"/>
      <c r="AO341" s="228"/>
      <c r="AP341" s="237"/>
      <c r="AQ341" s="228"/>
      <c r="AR341" s="232"/>
      <c r="AS341" s="228"/>
      <c r="AT341" s="229"/>
      <c r="AU341" s="229">
        <v>43453.379016319399</v>
      </c>
      <c r="AV341" s="229"/>
      <c r="AW341" s="229"/>
      <c r="AX341" s="229"/>
      <c r="AY341" s="229"/>
      <c r="AZ341" s="238">
        <v>43236</v>
      </c>
      <c r="BA341" s="1" t="s">
        <v>7684</v>
      </c>
      <c r="BB341">
        <v>160</v>
      </c>
      <c r="BC341">
        <v>45</v>
      </c>
      <c r="BD341">
        <v>1455</v>
      </c>
      <c r="BE34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1" s="240">
        <f>COUNTIFS(_05preva_view43[Site ID],_05preva_view43[[#This Row],[Site ID]],_05preva_view43[Prevalidation Status],"Under Prevalidation")</f>
        <v>0</v>
      </c>
      <c r="BG34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1" s="242" t="str">
        <f>CONCATENATE(_05preva_view43[[#This Row],[Site ID]]," (",_05preva_view43[[#This Row],[tenant id]],") Application",IF(_05preva_view43[[#This Row],[Colo Rev]]&gt;0," Rev "&amp;_05preva_view43[[#This Row],[Colo Rev]],""),".xlsx")</f>
        <v>ACBA_0038 (BAW5548) Application.xlsx</v>
      </c>
      <c r="BI341" s="64" t="e">
        <f t="shared" ca="1" si="6"/>
        <v>#VALUE!</v>
      </c>
      <c r="BJ341" s="104" t="e">
        <f ca="1">LEFT(CELL("filename",A326),_05preva_view43[[#This Row],[Find Process &amp; Database]]-1)</f>
        <v>#VALUE!</v>
      </c>
      <c r="BK341" s="104" t="e">
        <f ca="1">_05preva_view43[Folder Path1]&amp;"Process &amp; Database\Documentation\Colo Applications"</f>
        <v>#VALUE!</v>
      </c>
      <c r="BL341" s="104" t="e">
        <f ca="1">_05preva_view43[Folder Path2]&amp;"\Colo App "&amp;_05preva_view43[[#This Row],[Operator]]&amp;"\"</f>
        <v>#VALUE!</v>
      </c>
      <c r="BM341" s="63" t="e">
        <f ca="1">_05preva_view43[[#This Row],[Folder Path3]]&amp;_05preva_view43[[#This Row],[File Name]]</f>
        <v>#VALUE!</v>
      </c>
      <c r="BN341" s="104"/>
      <c r="CF341" s="5"/>
      <c r="CG341" s="5"/>
      <c r="CH341" s="3"/>
      <c r="CJ341" s="5"/>
      <c r="CN341" s="3"/>
      <c r="CO341" s="3"/>
      <c r="CP341" s="5"/>
      <c r="CR341" s="3"/>
      <c r="DN341" s="5"/>
      <c r="DP341" s="3"/>
      <c r="EB341" s="7"/>
      <c r="EC341" s="7"/>
      <c r="EF341" s="4"/>
      <c r="EG341" s="4"/>
      <c r="EQ341" s="2"/>
      <c r="ER341" s="2"/>
    </row>
    <row r="342" spans="1:148">
      <c r="A342" s="227">
        <v>139</v>
      </c>
      <c r="B342" s="228" t="s">
        <v>405</v>
      </c>
      <c r="C342" s="228" t="s">
        <v>116</v>
      </c>
      <c r="D342" s="228" t="s">
        <v>153</v>
      </c>
      <c r="E342" s="228" t="s">
        <v>406</v>
      </c>
      <c r="F342" s="228" t="s">
        <v>40</v>
      </c>
      <c r="G342" s="228" t="s">
        <v>118</v>
      </c>
      <c r="H342" s="228"/>
      <c r="I342" s="228" t="s">
        <v>118</v>
      </c>
      <c r="J342" s="228"/>
      <c r="K342" s="229">
        <v>43236</v>
      </c>
      <c r="L342" s="230"/>
      <c r="M342" s="230">
        <v>3</v>
      </c>
      <c r="N342" s="228"/>
      <c r="O342" s="228" t="s">
        <v>119</v>
      </c>
      <c r="P342" s="231"/>
      <c r="Q342" s="231"/>
      <c r="R342" s="228" t="s">
        <v>24</v>
      </c>
      <c r="S342" s="228"/>
      <c r="T342" s="232" t="s">
        <v>120</v>
      </c>
      <c r="U342" s="228" t="s">
        <v>301</v>
      </c>
      <c r="V342" s="232" t="s">
        <v>120</v>
      </c>
      <c r="W342" s="228"/>
      <c r="X342" s="232" t="s">
        <v>120</v>
      </c>
      <c r="Y342" s="228" t="s">
        <v>407</v>
      </c>
      <c r="Z342" s="233" t="s">
        <v>120</v>
      </c>
      <c r="AA342" s="234"/>
      <c r="AB342" s="234"/>
      <c r="AC342" s="235"/>
      <c r="AD342" s="228" t="s">
        <v>120</v>
      </c>
      <c r="AE342" s="232" t="s">
        <v>120</v>
      </c>
      <c r="AF342" s="229" t="s">
        <v>120</v>
      </c>
      <c r="AG342" s="236"/>
      <c r="AH342" s="236">
        <v>2</v>
      </c>
      <c r="AI342" s="228" t="s">
        <v>408</v>
      </c>
      <c r="AJ342" s="232" t="s">
        <v>120</v>
      </c>
      <c r="AK342" s="228" t="s">
        <v>123</v>
      </c>
      <c r="AL342" s="228"/>
      <c r="AM342" s="232"/>
      <c r="AN342" s="228"/>
      <c r="AO342" s="228"/>
      <c r="AP342" s="237"/>
      <c r="AQ342" s="228"/>
      <c r="AR342" s="232"/>
      <c r="AS342" s="228"/>
      <c r="AT342" s="229"/>
      <c r="AU342" s="229">
        <v>43453.379017245403</v>
      </c>
      <c r="AV342" s="229"/>
      <c r="AW342" s="229"/>
      <c r="AX342" s="229"/>
      <c r="AY342" s="229"/>
      <c r="AZ342" s="238">
        <v>43236</v>
      </c>
      <c r="BA342" s="1" t="s">
        <v>7684</v>
      </c>
      <c r="BB342">
        <v>160</v>
      </c>
      <c r="BC342">
        <v>45</v>
      </c>
      <c r="BD342">
        <v>1370</v>
      </c>
      <c r="BE34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2" s="240">
        <f>COUNTIFS(_05preva_view43[Site ID],_05preva_view43[[#This Row],[Site ID]],_05preva_view43[Prevalidation Status],"Under Prevalidation")</f>
        <v>0</v>
      </c>
      <c r="BG34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2" s="242" t="str">
        <f>CONCATENATE(_05preva_view43[[#This Row],[Site ID]]," (",_05preva_view43[[#This Row],[tenant id]],") Application",IF(_05preva_view43[[#This Row],[Colo Rev]]&gt;0," Rev "&amp;_05preva_view43[[#This Row],[Colo Rev]],""),".xlsx")</f>
        <v>ACBA_0030 (BAW5260) Application.xlsx</v>
      </c>
      <c r="BI342" s="64" t="e">
        <f t="shared" ca="1" si="6"/>
        <v>#VALUE!</v>
      </c>
      <c r="BJ342" s="104" t="e">
        <f ca="1">LEFT(CELL("filename",A327),_05preva_view43[[#This Row],[Find Process &amp; Database]]-1)</f>
        <v>#VALUE!</v>
      </c>
      <c r="BK342" s="104" t="e">
        <f ca="1">_05preva_view43[Folder Path1]&amp;"Process &amp; Database\Documentation\Colo Applications"</f>
        <v>#VALUE!</v>
      </c>
      <c r="BL342" s="104" t="e">
        <f ca="1">_05preva_view43[Folder Path2]&amp;"\Colo App "&amp;_05preva_view43[[#This Row],[Operator]]&amp;"\"</f>
        <v>#VALUE!</v>
      </c>
      <c r="BM342" s="63" t="e">
        <f ca="1">_05preva_view43[[#This Row],[Folder Path3]]&amp;_05preva_view43[[#This Row],[File Name]]</f>
        <v>#VALUE!</v>
      </c>
      <c r="BN342" s="104"/>
      <c r="CF342" s="5"/>
      <c r="CG342" s="5"/>
      <c r="CH342" s="3"/>
      <c r="CJ342" s="5"/>
      <c r="CN342" s="3"/>
      <c r="CO342" s="3"/>
      <c r="CP342" s="5"/>
      <c r="CR342" s="3"/>
      <c r="DN342" s="5"/>
      <c r="DP342" s="3"/>
      <c r="EB342" s="7"/>
      <c r="EC342" s="7"/>
      <c r="EF342" s="4"/>
      <c r="EG342" s="4"/>
      <c r="EQ342" s="2"/>
      <c r="ER342" s="2"/>
    </row>
    <row r="343" spans="1:148">
      <c r="A343" s="227">
        <v>141</v>
      </c>
      <c r="B343" s="228" t="s">
        <v>409</v>
      </c>
      <c r="C343" s="228" t="s">
        <v>116</v>
      </c>
      <c r="D343" s="228" t="s">
        <v>153</v>
      </c>
      <c r="E343" s="228" t="s">
        <v>410</v>
      </c>
      <c r="F343" s="228" t="s">
        <v>40</v>
      </c>
      <c r="G343" s="228" t="s">
        <v>118</v>
      </c>
      <c r="H343" s="228"/>
      <c r="I343" s="228" t="s">
        <v>118</v>
      </c>
      <c r="J343" s="228"/>
      <c r="K343" s="229">
        <v>43236</v>
      </c>
      <c r="L343" s="230"/>
      <c r="M343" s="230">
        <v>3</v>
      </c>
      <c r="N343" s="228"/>
      <c r="O343" s="228" t="s">
        <v>119</v>
      </c>
      <c r="P343" s="231"/>
      <c r="Q343" s="231"/>
      <c r="R343" s="228" t="s">
        <v>24</v>
      </c>
      <c r="S343" s="228"/>
      <c r="T343" s="232" t="s">
        <v>120</v>
      </c>
      <c r="U343" s="228" t="s">
        <v>301</v>
      </c>
      <c r="V343" s="232" t="s">
        <v>120</v>
      </c>
      <c r="W343" s="228"/>
      <c r="X343" s="232" t="s">
        <v>120</v>
      </c>
      <c r="Y343" s="228" t="s">
        <v>400</v>
      </c>
      <c r="Z343" s="233" t="s">
        <v>120</v>
      </c>
      <c r="AA343" s="234"/>
      <c r="AB343" s="234"/>
      <c r="AC343" s="235"/>
      <c r="AD343" s="228" t="s">
        <v>120</v>
      </c>
      <c r="AE343" s="232" t="s">
        <v>120</v>
      </c>
      <c r="AF343" s="229" t="s">
        <v>300</v>
      </c>
      <c r="AG343" s="236"/>
      <c r="AH343" s="236">
        <v>2</v>
      </c>
      <c r="AI343" s="228" t="s">
        <v>305</v>
      </c>
      <c r="AJ343" s="232" t="s">
        <v>120</v>
      </c>
      <c r="AK343" s="228" t="s">
        <v>123</v>
      </c>
      <c r="AL343" s="228"/>
      <c r="AM343" s="232"/>
      <c r="AN343" s="228"/>
      <c r="AO343" s="228"/>
      <c r="AP343" s="237"/>
      <c r="AQ343" s="228"/>
      <c r="AR343" s="232"/>
      <c r="AS343" s="228"/>
      <c r="AT343" s="229"/>
      <c r="AU343" s="229">
        <v>43453.379020254601</v>
      </c>
      <c r="AV343" s="229"/>
      <c r="AW343" s="229"/>
      <c r="AX343" s="229"/>
      <c r="AY343" s="229"/>
      <c r="AZ343" s="238">
        <v>43236</v>
      </c>
      <c r="BA343" s="1" t="s">
        <v>7684</v>
      </c>
      <c r="BB343">
        <v>160</v>
      </c>
      <c r="BC343">
        <v>45</v>
      </c>
      <c r="BD343">
        <v>1268</v>
      </c>
      <c r="BE34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3" s="240">
        <f>COUNTIFS(_05preva_view43[Site ID],_05preva_view43[[#This Row],[Site ID]],_05preva_view43[Prevalidation Status],"Under Prevalidation")</f>
        <v>0</v>
      </c>
      <c r="BG34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3" s="242" t="str">
        <f>CONCATENATE(_05preva_view43[[#This Row],[Site ID]]," (",_05preva_view43[[#This Row],[tenant id]],") Application",IF(_05preva_view43[[#This Row],[Colo Rev]]&gt;0," Rev "&amp;_05preva_view43[[#This Row],[Colo Rev]],""),".xlsx")</f>
        <v>ACBA_0028 (BAW5251) Application.xlsx</v>
      </c>
      <c r="BI343" s="64" t="e">
        <f t="shared" ca="1" si="6"/>
        <v>#VALUE!</v>
      </c>
      <c r="BJ343" s="104" t="e">
        <f ca="1">LEFT(CELL("filename",A328),_05preva_view43[[#This Row],[Find Process &amp; Database]]-1)</f>
        <v>#VALUE!</v>
      </c>
      <c r="BK343" s="104" t="e">
        <f ca="1">_05preva_view43[Folder Path1]&amp;"Process &amp; Database\Documentation\Colo Applications"</f>
        <v>#VALUE!</v>
      </c>
      <c r="BL343" s="104" t="e">
        <f ca="1">_05preva_view43[Folder Path2]&amp;"\Colo App "&amp;_05preva_view43[[#This Row],[Operator]]&amp;"\"</f>
        <v>#VALUE!</v>
      </c>
      <c r="BM343" s="63" t="e">
        <f ca="1">_05preva_view43[[#This Row],[Folder Path3]]&amp;_05preva_view43[[#This Row],[File Name]]</f>
        <v>#VALUE!</v>
      </c>
      <c r="BN343" s="104"/>
      <c r="CF343" s="5"/>
      <c r="CG343" s="5"/>
      <c r="CH343" s="3"/>
      <c r="CJ343" s="5"/>
      <c r="CN343" s="3"/>
      <c r="CO343" s="3"/>
      <c r="CP343" s="5"/>
      <c r="CR343" s="3"/>
      <c r="DN343" s="5"/>
      <c r="DP343" s="3"/>
      <c r="EB343" s="7"/>
      <c r="EC343" s="7"/>
      <c r="EF343" s="4"/>
      <c r="EG343" s="4"/>
      <c r="EQ343" s="2"/>
      <c r="ER343" s="2"/>
    </row>
    <row r="344" spans="1:148">
      <c r="A344" s="227">
        <v>143</v>
      </c>
      <c r="B344" s="228" t="s">
        <v>411</v>
      </c>
      <c r="C344" s="228" t="s">
        <v>116</v>
      </c>
      <c r="D344" s="228" t="s">
        <v>153</v>
      </c>
      <c r="E344" s="228" t="s">
        <v>412</v>
      </c>
      <c r="F344" s="228" t="s">
        <v>40</v>
      </c>
      <c r="G344" s="228" t="s">
        <v>118</v>
      </c>
      <c r="H344" s="228"/>
      <c r="I344" s="228" t="s">
        <v>118</v>
      </c>
      <c r="J344" s="228"/>
      <c r="K344" s="229">
        <v>43236</v>
      </c>
      <c r="L344" s="230"/>
      <c r="M344" s="230">
        <v>3</v>
      </c>
      <c r="N344" s="228"/>
      <c r="O344" s="228" t="s">
        <v>119</v>
      </c>
      <c r="P344" s="231"/>
      <c r="Q344" s="231"/>
      <c r="R344" s="228" t="s">
        <v>24</v>
      </c>
      <c r="S344" s="228"/>
      <c r="T344" s="232" t="s">
        <v>120</v>
      </c>
      <c r="U344" s="228" t="s">
        <v>301</v>
      </c>
      <c r="V344" s="232" t="s">
        <v>120</v>
      </c>
      <c r="W344" s="228"/>
      <c r="X344" s="232" t="s">
        <v>120</v>
      </c>
      <c r="Y344" s="228" t="s">
        <v>120</v>
      </c>
      <c r="Z344" s="233" t="s">
        <v>120</v>
      </c>
      <c r="AA344" s="234"/>
      <c r="AB344" s="234"/>
      <c r="AC344" s="235"/>
      <c r="AD344" s="228" t="s">
        <v>120</v>
      </c>
      <c r="AE344" s="232" t="s">
        <v>120</v>
      </c>
      <c r="AF344" s="229" t="s">
        <v>120</v>
      </c>
      <c r="AG344" s="236"/>
      <c r="AH344" s="236">
        <v>2</v>
      </c>
      <c r="AI344" s="228" t="s">
        <v>413</v>
      </c>
      <c r="AJ344" s="232" t="s">
        <v>120</v>
      </c>
      <c r="AK344" s="228" t="s">
        <v>123</v>
      </c>
      <c r="AL344" s="228"/>
      <c r="AM344" s="232"/>
      <c r="AN344" s="228"/>
      <c r="AO344" s="228"/>
      <c r="AP344" s="237"/>
      <c r="AQ344" s="228"/>
      <c r="AR344" s="232"/>
      <c r="AS344" s="228"/>
      <c r="AT344" s="229"/>
      <c r="AU344" s="229">
        <v>43453.379021759298</v>
      </c>
      <c r="AV344" s="229"/>
      <c r="AW344" s="229"/>
      <c r="AX344" s="229"/>
      <c r="AY344" s="229"/>
      <c r="AZ344" s="238">
        <v>43236</v>
      </c>
      <c r="BA344" s="1" t="s">
        <v>7684</v>
      </c>
      <c r="BB344"/>
      <c r="BC344">
        <v>35</v>
      </c>
      <c r="BD344">
        <v>695</v>
      </c>
      <c r="BE34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4" s="240">
        <f>COUNTIFS(_05preva_view43[Site ID],_05preva_view43[[#This Row],[Site ID]],_05preva_view43[Prevalidation Status],"Under Prevalidation")</f>
        <v>0</v>
      </c>
      <c r="BG34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4" s="242" t="str">
        <f>CONCATENATE(_05preva_view43[[#This Row],[Site ID]]," (",_05preva_view43[[#This Row],[tenant id]],") Application",IF(_05preva_view43[[#This Row],[Colo Rev]]&gt;0," Rev "&amp;_05preva_view43[[#This Row],[Colo Rev]],""),".xlsx")</f>
        <v>ACBA_0033 (BAW5224) Application.xlsx</v>
      </c>
      <c r="BI344" s="64" t="e">
        <f t="shared" ca="1" si="6"/>
        <v>#VALUE!</v>
      </c>
      <c r="BJ344" s="104" t="e">
        <f ca="1">LEFT(CELL("filename",A329),_05preva_view43[[#This Row],[Find Process &amp; Database]]-1)</f>
        <v>#VALUE!</v>
      </c>
      <c r="BK344" s="104" t="e">
        <f ca="1">_05preva_view43[Folder Path1]&amp;"Process &amp; Database\Documentation\Colo Applications"</f>
        <v>#VALUE!</v>
      </c>
      <c r="BL344" s="104" t="e">
        <f ca="1">_05preva_view43[Folder Path2]&amp;"\Colo App "&amp;_05preva_view43[[#This Row],[Operator]]&amp;"\"</f>
        <v>#VALUE!</v>
      </c>
      <c r="BM344" s="63" t="e">
        <f ca="1">_05preva_view43[[#This Row],[Folder Path3]]&amp;_05preva_view43[[#This Row],[File Name]]</f>
        <v>#VALUE!</v>
      </c>
      <c r="BN344" s="104"/>
      <c r="CF344" s="5"/>
      <c r="CG344" s="5"/>
      <c r="CH344" s="3"/>
      <c r="CJ344" s="5"/>
      <c r="CN344" s="3"/>
      <c r="CO344" s="3"/>
      <c r="CP344" s="5"/>
      <c r="CR344" s="3"/>
      <c r="DN344" s="5"/>
      <c r="DP344" s="3"/>
      <c r="EB344" s="7"/>
      <c r="EC344" s="7"/>
      <c r="EF344" s="4"/>
      <c r="EG344" s="4"/>
      <c r="EQ344" s="2"/>
      <c r="ER344" s="2"/>
    </row>
    <row r="345" spans="1:148">
      <c r="A345" s="227">
        <v>144</v>
      </c>
      <c r="B345" s="228" t="s">
        <v>414</v>
      </c>
      <c r="C345" s="228" t="s">
        <v>116</v>
      </c>
      <c r="D345" s="228" t="s">
        <v>117</v>
      </c>
      <c r="E345" s="228" t="s">
        <v>415</v>
      </c>
      <c r="F345" s="228" t="s">
        <v>40</v>
      </c>
      <c r="G345" s="228" t="s">
        <v>118</v>
      </c>
      <c r="H345" s="228"/>
      <c r="I345" s="228" t="s">
        <v>118</v>
      </c>
      <c r="J345" s="228"/>
      <c r="K345" s="229">
        <v>43236</v>
      </c>
      <c r="L345" s="230"/>
      <c r="M345" s="230">
        <v>3</v>
      </c>
      <c r="N345" s="228"/>
      <c r="O345" s="228" t="s">
        <v>119</v>
      </c>
      <c r="P345" s="231"/>
      <c r="Q345" s="231"/>
      <c r="R345" s="228" t="s">
        <v>24</v>
      </c>
      <c r="S345" s="228"/>
      <c r="T345" s="232" t="s">
        <v>120</v>
      </c>
      <c r="U345" s="228" t="s">
        <v>301</v>
      </c>
      <c r="V345" s="232" t="s">
        <v>120</v>
      </c>
      <c r="W345" s="228"/>
      <c r="X345" s="232" t="s">
        <v>120</v>
      </c>
      <c r="Y345" s="228" t="s">
        <v>120</v>
      </c>
      <c r="Z345" s="233" t="s">
        <v>120</v>
      </c>
      <c r="AA345" s="234"/>
      <c r="AB345" s="234"/>
      <c r="AC345" s="235"/>
      <c r="AD345" s="228" t="s">
        <v>120</v>
      </c>
      <c r="AE345" s="232" t="s">
        <v>120</v>
      </c>
      <c r="AF345" s="229" t="s">
        <v>207</v>
      </c>
      <c r="AG345" s="236"/>
      <c r="AH345" s="236">
        <v>3.5</v>
      </c>
      <c r="AI345" s="228" t="s">
        <v>208</v>
      </c>
      <c r="AJ345" s="232" t="s">
        <v>120</v>
      </c>
      <c r="AK345" s="228" t="s">
        <v>123</v>
      </c>
      <c r="AL345" s="228"/>
      <c r="AM345" s="232"/>
      <c r="AN345" s="228"/>
      <c r="AO345" s="228"/>
      <c r="AP345" s="237"/>
      <c r="AQ345" s="228"/>
      <c r="AR345" s="232"/>
      <c r="AS345" s="228"/>
      <c r="AT345" s="229"/>
      <c r="AU345" s="229">
        <v>43453.379022453701</v>
      </c>
      <c r="AV345" s="229"/>
      <c r="AW345" s="229"/>
      <c r="AX345" s="229"/>
      <c r="AY345" s="229"/>
      <c r="AZ345" s="238">
        <v>43236</v>
      </c>
      <c r="BA345" s="1" t="s">
        <v>7684</v>
      </c>
      <c r="BB345"/>
      <c r="BC345">
        <v>50</v>
      </c>
      <c r="BD345">
        <v>475</v>
      </c>
      <c r="BE34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5" s="240">
        <f>COUNTIFS(_05preva_view43[Site ID],_05preva_view43[[#This Row],[Site ID]],_05preva_view43[Prevalidation Status],"Under Prevalidation")</f>
        <v>0</v>
      </c>
      <c r="BG34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5" s="242" t="str">
        <f>CONCATENATE(_05preva_view43[[#This Row],[Site ID]]," (",_05preva_view43[[#This Row],[tenant id]],") Application",IF(_05preva_view43[[#This Row],[Colo Rev]]&gt;0," Rev "&amp;_05preva_view43[[#This Row],[Colo Rev]],""),".xlsx")</f>
        <v>ACBA_0185 (BAW5590) Application.xlsx</v>
      </c>
      <c r="BI345" s="64" t="e">
        <f t="shared" ca="1" si="6"/>
        <v>#VALUE!</v>
      </c>
      <c r="BJ345" s="104" t="e">
        <f ca="1">LEFT(CELL("filename",A330),_05preva_view43[[#This Row],[Find Process &amp; Database]]-1)</f>
        <v>#VALUE!</v>
      </c>
      <c r="BK345" s="104" t="e">
        <f ca="1">_05preva_view43[Folder Path1]&amp;"Process &amp; Database\Documentation\Colo Applications"</f>
        <v>#VALUE!</v>
      </c>
      <c r="BL345" s="104" t="e">
        <f ca="1">_05preva_view43[Folder Path2]&amp;"\Colo App "&amp;_05preva_view43[[#This Row],[Operator]]&amp;"\"</f>
        <v>#VALUE!</v>
      </c>
      <c r="BM345" s="63" t="e">
        <f ca="1">_05preva_view43[[#This Row],[Folder Path3]]&amp;_05preva_view43[[#This Row],[File Name]]</f>
        <v>#VALUE!</v>
      </c>
      <c r="BN345" s="104"/>
      <c r="CF345" s="5"/>
      <c r="CG345" s="5"/>
      <c r="CH345" s="3"/>
      <c r="CJ345" s="5"/>
      <c r="CN345" s="3"/>
      <c r="CO345" s="3"/>
      <c r="CP345" s="5"/>
      <c r="CR345" s="3"/>
      <c r="DN345" s="5"/>
      <c r="DP345" s="3"/>
      <c r="EB345" s="7"/>
      <c r="EC345" s="7"/>
      <c r="EF345" s="4"/>
      <c r="EG345" s="4"/>
      <c r="EQ345" s="2"/>
      <c r="ER345" s="2"/>
    </row>
    <row r="346" spans="1:148">
      <c r="A346" s="227">
        <v>145</v>
      </c>
      <c r="B346" s="228" t="s">
        <v>416</v>
      </c>
      <c r="C346" s="228" t="s">
        <v>116</v>
      </c>
      <c r="D346" s="228" t="s">
        <v>153</v>
      </c>
      <c r="E346" s="228" t="s">
        <v>417</v>
      </c>
      <c r="F346" s="228" t="s">
        <v>40</v>
      </c>
      <c r="G346" s="228" t="s">
        <v>118</v>
      </c>
      <c r="H346" s="228"/>
      <c r="I346" s="228" t="s">
        <v>118</v>
      </c>
      <c r="J346" s="228"/>
      <c r="K346" s="229">
        <v>43236</v>
      </c>
      <c r="L346" s="230"/>
      <c r="M346" s="230">
        <v>3</v>
      </c>
      <c r="N346" s="228"/>
      <c r="O346" s="228" t="s">
        <v>119</v>
      </c>
      <c r="P346" s="231"/>
      <c r="Q346" s="231"/>
      <c r="R346" s="228" t="s">
        <v>24</v>
      </c>
      <c r="S346" s="228"/>
      <c r="T346" s="232" t="s">
        <v>120</v>
      </c>
      <c r="U346" s="228" t="s">
        <v>319</v>
      </c>
      <c r="V346" s="232" t="s">
        <v>120</v>
      </c>
      <c r="W346" s="228"/>
      <c r="X346" s="232" t="s">
        <v>120</v>
      </c>
      <c r="Y346" s="228" t="s">
        <v>320</v>
      </c>
      <c r="Z346" s="233" t="s">
        <v>120</v>
      </c>
      <c r="AA346" s="234"/>
      <c r="AB346" s="234"/>
      <c r="AC346" s="235" t="s">
        <v>123</v>
      </c>
      <c r="AD346" s="228" t="s">
        <v>331</v>
      </c>
      <c r="AE346" s="232" t="s">
        <v>120</v>
      </c>
      <c r="AF346" s="229" t="s">
        <v>353</v>
      </c>
      <c r="AG346" s="236"/>
      <c r="AH346" s="236">
        <v>2</v>
      </c>
      <c r="AI346" s="228" t="s">
        <v>381</v>
      </c>
      <c r="AJ346" s="232" t="s">
        <v>120</v>
      </c>
      <c r="AK346" s="228" t="s">
        <v>123</v>
      </c>
      <c r="AL346" s="228"/>
      <c r="AM346" s="232"/>
      <c r="AN346" s="228"/>
      <c r="AO346" s="228"/>
      <c r="AP346" s="237"/>
      <c r="AQ346" s="228"/>
      <c r="AR346" s="232"/>
      <c r="AS346" s="228"/>
      <c r="AT346" s="229"/>
      <c r="AU346" s="229">
        <v>43453.379025115697</v>
      </c>
      <c r="AV346" s="229"/>
      <c r="AW346" s="229"/>
      <c r="AX346" s="229"/>
      <c r="AY346" s="229"/>
      <c r="AZ346" s="238">
        <v>43236</v>
      </c>
      <c r="BA346" s="1" t="s">
        <v>7684</v>
      </c>
      <c r="BB346">
        <v>195</v>
      </c>
      <c r="BC346">
        <v>60</v>
      </c>
      <c r="BD346">
        <v>1229</v>
      </c>
      <c r="BE34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6" s="240">
        <f>COUNTIFS(_05preva_view43[Site ID],_05preva_view43[[#This Row],[Site ID]],_05preva_view43[Prevalidation Status],"Under Prevalidation")</f>
        <v>0</v>
      </c>
      <c r="BG34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6" s="242" t="str">
        <f>CONCATENATE(_05preva_view43[[#This Row],[Site ID]]," (",_05preva_view43[[#This Row],[tenant id]],") Application",IF(_05preva_view43[[#This Row],[Colo Rev]]&gt;0," Rev "&amp;_05preva_view43[[#This Row],[Colo Rev]],""),".xlsx")</f>
        <v>ACAY_0022 (AYW5540) Application.xlsx</v>
      </c>
      <c r="BI346" s="64" t="e">
        <f t="shared" ca="1" si="6"/>
        <v>#VALUE!</v>
      </c>
      <c r="BJ346" s="104" t="e">
        <f ca="1">LEFT(CELL("filename",A331),_05preva_view43[[#This Row],[Find Process &amp; Database]]-1)</f>
        <v>#VALUE!</v>
      </c>
      <c r="BK346" s="104" t="e">
        <f ca="1">_05preva_view43[Folder Path1]&amp;"Process &amp; Database\Documentation\Colo Applications"</f>
        <v>#VALUE!</v>
      </c>
      <c r="BL346" s="104" t="e">
        <f ca="1">_05preva_view43[Folder Path2]&amp;"\Colo App "&amp;_05preva_view43[[#This Row],[Operator]]&amp;"\"</f>
        <v>#VALUE!</v>
      </c>
      <c r="BM346" s="63" t="e">
        <f ca="1">_05preva_view43[[#This Row],[Folder Path3]]&amp;_05preva_view43[[#This Row],[File Name]]</f>
        <v>#VALUE!</v>
      </c>
      <c r="BN346" s="104"/>
      <c r="CF346" s="5"/>
      <c r="CG346" s="5"/>
      <c r="CH346" s="3"/>
      <c r="CJ346" s="5"/>
      <c r="CN346" s="3"/>
      <c r="CO346" s="3"/>
      <c r="CP346" s="5"/>
      <c r="CR346" s="3"/>
      <c r="DN346" s="5"/>
      <c r="DP346" s="3"/>
      <c r="EB346" s="7"/>
      <c r="EC346" s="7"/>
      <c r="EF346" s="4"/>
      <c r="EG346" s="4"/>
      <c r="EQ346" s="2"/>
      <c r="ER346" s="2"/>
    </row>
    <row r="347" spans="1:148">
      <c r="A347" s="227">
        <v>147</v>
      </c>
      <c r="B347" s="228" t="s">
        <v>418</v>
      </c>
      <c r="C347" s="228" t="s">
        <v>116</v>
      </c>
      <c r="D347" s="228" t="s">
        <v>153</v>
      </c>
      <c r="E347" s="228" t="s">
        <v>419</v>
      </c>
      <c r="F347" s="228" t="s">
        <v>40</v>
      </c>
      <c r="G347" s="228" t="s">
        <v>118</v>
      </c>
      <c r="H347" s="228"/>
      <c r="I347" s="228" t="s">
        <v>118</v>
      </c>
      <c r="J347" s="228"/>
      <c r="K347" s="229">
        <v>43236</v>
      </c>
      <c r="L347" s="230"/>
      <c r="M347" s="230">
        <v>3</v>
      </c>
      <c r="N347" s="228"/>
      <c r="O347" s="228" t="s">
        <v>119</v>
      </c>
      <c r="P347" s="231"/>
      <c r="Q347" s="231"/>
      <c r="R347" s="228" t="s">
        <v>24</v>
      </c>
      <c r="S347" s="228"/>
      <c r="T347" s="232" t="s">
        <v>120</v>
      </c>
      <c r="U347" s="228" t="s">
        <v>301</v>
      </c>
      <c r="V347" s="232" t="s">
        <v>120</v>
      </c>
      <c r="W347" s="228"/>
      <c r="X347" s="232" t="s">
        <v>120</v>
      </c>
      <c r="Y347" s="228" t="s">
        <v>120</v>
      </c>
      <c r="Z347" s="233" t="s">
        <v>120</v>
      </c>
      <c r="AA347" s="234"/>
      <c r="AB347" s="234"/>
      <c r="AC347" s="235"/>
      <c r="AD347" s="228" t="s">
        <v>120</v>
      </c>
      <c r="AE347" s="232" t="s">
        <v>120</v>
      </c>
      <c r="AF347" s="229" t="s">
        <v>120</v>
      </c>
      <c r="AG347" s="236"/>
      <c r="AH347" s="236">
        <v>2</v>
      </c>
      <c r="AI347" s="228" t="s">
        <v>420</v>
      </c>
      <c r="AJ347" s="232" t="s">
        <v>120</v>
      </c>
      <c r="AK347" s="228" t="s">
        <v>123</v>
      </c>
      <c r="AL347" s="228"/>
      <c r="AM347" s="232"/>
      <c r="AN347" s="228"/>
      <c r="AO347" s="228"/>
      <c r="AP347" s="237"/>
      <c r="AQ347" s="228"/>
      <c r="AR347" s="232"/>
      <c r="AS347" s="228"/>
      <c r="AT347" s="229"/>
      <c r="AU347" s="229">
        <v>43453.379026967603</v>
      </c>
      <c r="AV347" s="229"/>
      <c r="AW347" s="229"/>
      <c r="AX347" s="229"/>
      <c r="AY347" s="229"/>
      <c r="AZ347" s="238">
        <v>43236</v>
      </c>
      <c r="BA347" s="1" t="s">
        <v>7684</v>
      </c>
      <c r="BB347">
        <v>195</v>
      </c>
      <c r="BC347">
        <v>45</v>
      </c>
      <c r="BD347">
        <v>1371</v>
      </c>
      <c r="BE34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7" s="240">
        <f>COUNTIFS(_05preva_view43[Site ID],_05preva_view43[[#This Row],[Site ID]],_05preva_view43[Prevalidation Status],"Under Prevalidation")</f>
        <v>0</v>
      </c>
      <c r="BG34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7" s="242" t="str">
        <f>CONCATENATE(_05preva_view43[[#This Row],[Site ID]]," (",_05preva_view43[[#This Row],[tenant id]],") Application",IF(_05preva_view43[[#This Row],[Colo Rev]]&gt;0," Rev "&amp;_05preva_view43[[#This Row],[Colo Rev]],""),".xlsx")</f>
        <v>ACAY_0017 (AYW5537) Application.xlsx</v>
      </c>
      <c r="BI347" s="64" t="e">
        <f t="shared" ca="1" si="6"/>
        <v>#VALUE!</v>
      </c>
      <c r="BJ347" s="104" t="e">
        <f ca="1">LEFT(CELL("filename",A332),_05preva_view43[[#This Row],[Find Process &amp; Database]]-1)</f>
        <v>#VALUE!</v>
      </c>
      <c r="BK347" s="104" t="e">
        <f ca="1">_05preva_view43[Folder Path1]&amp;"Process &amp; Database\Documentation\Colo Applications"</f>
        <v>#VALUE!</v>
      </c>
      <c r="BL347" s="104" t="e">
        <f ca="1">_05preva_view43[Folder Path2]&amp;"\Colo App "&amp;_05preva_view43[[#This Row],[Operator]]&amp;"\"</f>
        <v>#VALUE!</v>
      </c>
      <c r="BM347" s="63" t="e">
        <f ca="1">_05preva_view43[[#This Row],[Folder Path3]]&amp;_05preva_view43[[#This Row],[File Name]]</f>
        <v>#VALUE!</v>
      </c>
      <c r="BN347" s="104"/>
      <c r="CF347" s="5"/>
      <c r="CG347" s="5"/>
      <c r="CH347" s="3"/>
      <c r="CJ347" s="5"/>
      <c r="CN347" s="3"/>
      <c r="CO347" s="3"/>
      <c r="CP347" s="5"/>
      <c r="CR347" s="3"/>
      <c r="DN347" s="5"/>
      <c r="DP347" s="3"/>
      <c r="EB347" s="7"/>
      <c r="EC347" s="7"/>
      <c r="EF347" s="4"/>
      <c r="EG347" s="4"/>
      <c r="EQ347" s="2"/>
      <c r="ER347" s="2"/>
    </row>
    <row r="348" spans="1:148">
      <c r="A348" s="227">
        <v>151</v>
      </c>
      <c r="B348" s="228" t="s">
        <v>422</v>
      </c>
      <c r="C348" s="228" t="s">
        <v>116</v>
      </c>
      <c r="D348" s="228" t="s">
        <v>127</v>
      </c>
      <c r="E348" s="228" t="s">
        <v>423</v>
      </c>
      <c r="F348" s="228" t="s">
        <v>40</v>
      </c>
      <c r="G348" s="228" t="s">
        <v>118</v>
      </c>
      <c r="H348" s="228"/>
      <c r="I348" s="228" t="s">
        <v>118</v>
      </c>
      <c r="J348" s="228"/>
      <c r="K348" s="229">
        <v>43236</v>
      </c>
      <c r="L348" s="230"/>
      <c r="M348" s="230">
        <v>3</v>
      </c>
      <c r="N348" s="228"/>
      <c r="O348" s="228" t="s">
        <v>119</v>
      </c>
      <c r="P348" s="231"/>
      <c r="Q348" s="231"/>
      <c r="R348" s="228" t="s">
        <v>24</v>
      </c>
      <c r="S348" s="228"/>
      <c r="T348" s="232" t="s">
        <v>120</v>
      </c>
      <c r="U348" s="228" t="s">
        <v>301</v>
      </c>
      <c r="V348" s="232" t="s">
        <v>120</v>
      </c>
      <c r="W348" s="228"/>
      <c r="X348" s="232" t="s">
        <v>120</v>
      </c>
      <c r="Y348" s="228" t="s">
        <v>302</v>
      </c>
      <c r="Z348" s="233" t="s">
        <v>120</v>
      </c>
      <c r="AA348" s="234"/>
      <c r="AB348" s="234"/>
      <c r="AC348" s="235"/>
      <c r="AD348" s="228" t="s">
        <v>120</v>
      </c>
      <c r="AE348" s="232" t="s">
        <v>120</v>
      </c>
      <c r="AF348" s="229" t="s">
        <v>300</v>
      </c>
      <c r="AG348" s="236"/>
      <c r="AH348" s="236">
        <v>2</v>
      </c>
      <c r="AI348" s="228" t="s">
        <v>305</v>
      </c>
      <c r="AJ348" s="232" t="s">
        <v>120</v>
      </c>
      <c r="AK348" s="228" t="s">
        <v>123</v>
      </c>
      <c r="AL348" s="228"/>
      <c r="AM348" s="232"/>
      <c r="AN348" s="228"/>
      <c r="AO348" s="228"/>
      <c r="AP348" s="237"/>
      <c r="AQ348" s="228"/>
      <c r="AR348" s="232"/>
      <c r="AS348" s="228"/>
      <c r="AT348" s="229"/>
      <c r="AU348" s="229">
        <v>43453.379029513897</v>
      </c>
      <c r="AV348" s="229"/>
      <c r="AW348" s="229"/>
      <c r="AX348" s="229"/>
      <c r="AY348" s="229"/>
      <c r="AZ348" s="238">
        <v>43236</v>
      </c>
      <c r="BA348" s="1" t="s">
        <v>7684</v>
      </c>
      <c r="BB348">
        <v>130</v>
      </c>
      <c r="BC348">
        <v>45</v>
      </c>
      <c r="BD348">
        <v>1445</v>
      </c>
      <c r="BE34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8" s="240">
        <f>COUNTIFS(_05preva_view43[Site ID],_05preva_view43[[#This Row],[Site ID]],_05preva_view43[Prevalidation Status],"Under Prevalidation")</f>
        <v>0</v>
      </c>
      <c r="BG34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8" s="242" t="str">
        <f>CONCATENATE(_05preva_view43[[#This Row],[Site ID]]," (",_05preva_view43[[#This Row],[tenant id]],") Application",IF(_05preva_view43[[#This Row],[Colo Rev]]&gt;0," Rev "&amp;_05preva_view43[[#This Row],[Colo Rev]],""),".xlsx")</f>
        <v>ANSG_0351 (SAW0721) Application.xlsx</v>
      </c>
      <c r="BI348" s="64" t="e">
        <f t="shared" ca="1" si="6"/>
        <v>#VALUE!</v>
      </c>
      <c r="BJ348" s="104" t="e">
        <f ca="1">LEFT(CELL("filename",A333),_05preva_view43[[#This Row],[Find Process &amp; Database]]-1)</f>
        <v>#VALUE!</v>
      </c>
      <c r="BK348" s="104" t="e">
        <f ca="1">_05preva_view43[Folder Path1]&amp;"Process &amp; Database\Documentation\Colo Applications"</f>
        <v>#VALUE!</v>
      </c>
      <c r="BL348" s="104" t="e">
        <f ca="1">_05preva_view43[Folder Path2]&amp;"\Colo App "&amp;_05preva_view43[[#This Row],[Operator]]&amp;"\"</f>
        <v>#VALUE!</v>
      </c>
      <c r="BM348" s="63" t="e">
        <f ca="1">_05preva_view43[[#This Row],[Folder Path3]]&amp;_05preva_view43[[#This Row],[File Name]]</f>
        <v>#VALUE!</v>
      </c>
      <c r="BN348" s="104"/>
      <c r="CF348" s="5"/>
      <c r="CG348" s="5"/>
      <c r="CH348" s="3"/>
      <c r="CJ348" s="5"/>
      <c r="CN348" s="3"/>
      <c r="CO348" s="3"/>
      <c r="CP348" s="5"/>
      <c r="CR348" s="3"/>
      <c r="DN348" s="5"/>
      <c r="DP348" s="3"/>
      <c r="EB348" s="7"/>
      <c r="EC348" s="7"/>
      <c r="EF348" s="4"/>
      <c r="EG348" s="4"/>
      <c r="EQ348" s="2"/>
      <c r="ER348" s="2"/>
    </row>
    <row r="349" spans="1:148">
      <c r="A349" s="227">
        <v>152</v>
      </c>
      <c r="B349" s="228" t="s">
        <v>424</v>
      </c>
      <c r="C349" s="228" t="s">
        <v>116</v>
      </c>
      <c r="D349" s="228" t="s">
        <v>127</v>
      </c>
      <c r="E349" s="228" t="s">
        <v>425</v>
      </c>
      <c r="F349" s="228" t="s">
        <v>40</v>
      </c>
      <c r="G349" s="228" t="s">
        <v>118</v>
      </c>
      <c r="H349" s="228"/>
      <c r="I349" s="228" t="s">
        <v>118</v>
      </c>
      <c r="J349" s="228"/>
      <c r="K349" s="229">
        <v>43236</v>
      </c>
      <c r="L349" s="230"/>
      <c r="M349" s="230">
        <v>3</v>
      </c>
      <c r="N349" s="228"/>
      <c r="O349" s="228" t="s">
        <v>119</v>
      </c>
      <c r="P349" s="231"/>
      <c r="Q349" s="231"/>
      <c r="R349" s="228" t="s">
        <v>24</v>
      </c>
      <c r="S349" s="228"/>
      <c r="T349" s="232" t="s">
        <v>120</v>
      </c>
      <c r="U349" s="228" t="s">
        <v>301</v>
      </c>
      <c r="V349" s="232" t="s">
        <v>120</v>
      </c>
      <c r="W349" s="228"/>
      <c r="X349" s="232" t="s">
        <v>120</v>
      </c>
      <c r="Y349" s="228" t="s">
        <v>120</v>
      </c>
      <c r="Z349" s="233" t="s">
        <v>120</v>
      </c>
      <c r="AA349" s="234"/>
      <c r="AB349" s="234"/>
      <c r="AC349" s="235"/>
      <c r="AD349" s="228" t="s">
        <v>120</v>
      </c>
      <c r="AE349" s="232" t="s">
        <v>120</v>
      </c>
      <c r="AF349" s="229" t="s">
        <v>300</v>
      </c>
      <c r="AG349" s="236"/>
      <c r="AH349" s="236">
        <v>2</v>
      </c>
      <c r="AI349" s="228" t="s">
        <v>305</v>
      </c>
      <c r="AJ349" s="232" t="s">
        <v>120</v>
      </c>
      <c r="AK349" s="228" t="s">
        <v>123</v>
      </c>
      <c r="AL349" s="228"/>
      <c r="AM349" s="232"/>
      <c r="AN349" s="228"/>
      <c r="AO349" s="228"/>
      <c r="AP349" s="237"/>
      <c r="AQ349" s="228"/>
      <c r="AR349" s="232"/>
      <c r="AS349" s="228"/>
      <c r="AT349" s="229"/>
      <c r="AU349" s="229">
        <v>43453.379030324097</v>
      </c>
      <c r="AV349" s="229"/>
      <c r="AW349" s="229"/>
      <c r="AX349" s="229"/>
      <c r="AY349" s="229"/>
      <c r="AZ349" s="238">
        <v>43236</v>
      </c>
      <c r="BA349" s="1" t="s">
        <v>7684</v>
      </c>
      <c r="BB349"/>
      <c r="BC349">
        <v>35</v>
      </c>
      <c r="BD349">
        <v>1396</v>
      </c>
      <c r="BE34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49" s="240">
        <f>COUNTIFS(_05preva_view43[Site ID],_05preva_view43[[#This Row],[Site ID]],_05preva_view43[Prevalidation Status],"Under Prevalidation")</f>
        <v>0</v>
      </c>
      <c r="BG34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49" s="242" t="str">
        <f>CONCATENATE(_05preva_view43[[#This Row],[Site ID]]," (",_05preva_view43[[#This Row],[tenant id]],") Application",IF(_05preva_view43[[#This Row],[Colo Rev]]&gt;0," Rev "&amp;_05preva_view43[[#This Row],[Colo Rev]],""),".xlsx")</f>
        <v>ANSG_0358 (SAW0716) Application.xlsx</v>
      </c>
      <c r="BI349" s="64" t="e">
        <f t="shared" ca="1" si="6"/>
        <v>#VALUE!</v>
      </c>
      <c r="BJ349" s="104" t="e">
        <f ca="1">LEFT(CELL("filename",A334),_05preva_view43[[#This Row],[Find Process &amp; Database]]-1)</f>
        <v>#VALUE!</v>
      </c>
      <c r="BK349" s="104" t="e">
        <f ca="1">_05preva_view43[Folder Path1]&amp;"Process &amp; Database\Documentation\Colo Applications"</f>
        <v>#VALUE!</v>
      </c>
      <c r="BL349" s="104" t="e">
        <f ca="1">_05preva_view43[Folder Path2]&amp;"\Colo App "&amp;_05preva_view43[[#This Row],[Operator]]&amp;"\"</f>
        <v>#VALUE!</v>
      </c>
      <c r="BM349" s="63" t="e">
        <f ca="1">_05preva_view43[[#This Row],[Folder Path3]]&amp;_05preva_view43[[#This Row],[File Name]]</f>
        <v>#VALUE!</v>
      </c>
      <c r="BN349" s="104"/>
      <c r="CF349" s="5"/>
      <c r="CG349" s="5"/>
      <c r="CH349" s="3"/>
      <c r="CJ349" s="5"/>
      <c r="CN349" s="3"/>
      <c r="CO349" s="3"/>
      <c r="CP349" s="5"/>
      <c r="CR349" s="3"/>
      <c r="DN349" s="5"/>
      <c r="DP349" s="3"/>
      <c r="EB349" s="7"/>
      <c r="EC349" s="7"/>
      <c r="EF349" s="4"/>
      <c r="EG349" s="4"/>
      <c r="EQ349" s="2"/>
      <c r="ER349" s="2"/>
    </row>
    <row r="350" spans="1:148">
      <c r="A350" s="227">
        <v>155</v>
      </c>
      <c r="B350" s="228" t="s">
        <v>426</v>
      </c>
      <c r="C350" s="228" t="s">
        <v>116</v>
      </c>
      <c r="D350" s="228" t="s">
        <v>127</v>
      </c>
      <c r="E350" s="228" t="s">
        <v>427</v>
      </c>
      <c r="F350" s="228" t="s">
        <v>40</v>
      </c>
      <c r="G350" s="228" t="s">
        <v>118</v>
      </c>
      <c r="H350" s="228"/>
      <c r="I350" s="228" t="s">
        <v>118</v>
      </c>
      <c r="J350" s="228"/>
      <c r="K350" s="229">
        <v>43236</v>
      </c>
      <c r="L350" s="230"/>
      <c r="M350" s="230">
        <v>3</v>
      </c>
      <c r="N350" s="228"/>
      <c r="O350" s="228" t="s">
        <v>119</v>
      </c>
      <c r="P350" s="231"/>
      <c r="Q350" s="231"/>
      <c r="R350" s="228" t="s">
        <v>24</v>
      </c>
      <c r="S350" s="228"/>
      <c r="T350" s="232" t="s">
        <v>120</v>
      </c>
      <c r="U350" s="228" t="s">
        <v>301</v>
      </c>
      <c r="V350" s="232" t="s">
        <v>120</v>
      </c>
      <c r="W350" s="228"/>
      <c r="X350" s="232" t="s">
        <v>120</v>
      </c>
      <c r="Y350" s="228" t="s">
        <v>120</v>
      </c>
      <c r="Z350" s="233" t="s">
        <v>120</v>
      </c>
      <c r="AA350" s="234"/>
      <c r="AB350" s="234"/>
      <c r="AC350" s="235"/>
      <c r="AD350" s="228" t="s">
        <v>331</v>
      </c>
      <c r="AE350" s="232" t="s">
        <v>120</v>
      </c>
      <c r="AF350" s="229" t="s">
        <v>300</v>
      </c>
      <c r="AG350" s="236"/>
      <c r="AH350" s="236">
        <v>2</v>
      </c>
      <c r="AI350" s="228" t="s">
        <v>305</v>
      </c>
      <c r="AJ350" s="232" t="s">
        <v>120</v>
      </c>
      <c r="AK350" s="228" t="s">
        <v>123</v>
      </c>
      <c r="AL350" s="228"/>
      <c r="AM350" s="232"/>
      <c r="AN350" s="228"/>
      <c r="AO350" s="228"/>
      <c r="AP350" s="237"/>
      <c r="AQ350" s="228"/>
      <c r="AR350" s="232"/>
      <c r="AS350" s="228"/>
      <c r="AT350" s="229"/>
      <c r="AU350" s="229">
        <v>43453.379031712997</v>
      </c>
      <c r="AV350" s="229"/>
      <c r="AW350" s="229"/>
      <c r="AX350" s="229"/>
      <c r="AY350" s="229"/>
      <c r="AZ350" s="238">
        <v>43236</v>
      </c>
      <c r="BA350" s="1" t="s">
        <v>7684</v>
      </c>
      <c r="BB350">
        <v>130</v>
      </c>
      <c r="BC350">
        <v>35</v>
      </c>
      <c r="BD350">
        <v>1444</v>
      </c>
      <c r="BE35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0" s="240">
        <f>COUNTIFS(_05preva_view43[Site ID],_05preva_view43[[#This Row],[Site ID]],_05preva_view43[Prevalidation Status],"Under Prevalidation")</f>
        <v>0</v>
      </c>
      <c r="BG35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0" s="242" t="str">
        <f>CONCATENATE(_05preva_view43[[#This Row],[Site ID]]," (",_05preva_view43[[#This Row],[tenant id]],") Application",IF(_05preva_view43[[#This Row],[Colo Rev]]&gt;0," Rev "&amp;_05preva_view43[[#This Row],[Colo Rev]],""),".xlsx")</f>
        <v>ANSG_0349 (SAW0714) Application.xlsx</v>
      </c>
      <c r="BI350" s="64" t="e">
        <f t="shared" ca="1" si="6"/>
        <v>#VALUE!</v>
      </c>
      <c r="BJ350" s="104" t="e">
        <f ca="1">LEFT(CELL("filename",A335),_05preva_view43[[#This Row],[Find Process &amp; Database]]-1)</f>
        <v>#VALUE!</v>
      </c>
      <c r="BK350" s="104" t="e">
        <f ca="1">_05preva_view43[Folder Path1]&amp;"Process &amp; Database\Documentation\Colo Applications"</f>
        <v>#VALUE!</v>
      </c>
      <c r="BL350" s="104" t="e">
        <f ca="1">_05preva_view43[Folder Path2]&amp;"\Colo App "&amp;_05preva_view43[[#This Row],[Operator]]&amp;"\"</f>
        <v>#VALUE!</v>
      </c>
      <c r="BM350" s="63" t="e">
        <f ca="1">_05preva_view43[[#This Row],[Folder Path3]]&amp;_05preva_view43[[#This Row],[File Name]]</f>
        <v>#VALUE!</v>
      </c>
      <c r="BN350" s="104"/>
      <c r="CF350" s="5"/>
      <c r="CG350" s="5"/>
      <c r="CH350" s="3"/>
      <c r="CJ350" s="5"/>
      <c r="CN350" s="3"/>
      <c r="CO350" s="3"/>
      <c r="CP350" s="5"/>
      <c r="CR350" s="3"/>
      <c r="DN350" s="5"/>
      <c r="DP350" s="3"/>
      <c r="EB350" s="7"/>
      <c r="EC350" s="7"/>
      <c r="EF350" s="4"/>
      <c r="EG350" s="4"/>
      <c r="EQ350" s="2"/>
      <c r="ER350" s="2"/>
    </row>
    <row r="351" spans="1:148">
      <c r="A351" s="227">
        <v>156</v>
      </c>
      <c r="B351" s="228" t="s">
        <v>428</v>
      </c>
      <c r="C351" s="228" t="s">
        <v>116</v>
      </c>
      <c r="D351" s="228" t="s">
        <v>127</v>
      </c>
      <c r="E351" s="228" t="s">
        <v>429</v>
      </c>
      <c r="F351" s="228" t="s">
        <v>40</v>
      </c>
      <c r="G351" s="228" t="s">
        <v>118</v>
      </c>
      <c r="H351" s="228"/>
      <c r="I351" s="228" t="s">
        <v>118</v>
      </c>
      <c r="J351" s="228"/>
      <c r="K351" s="229">
        <v>43236</v>
      </c>
      <c r="L351" s="230"/>
      <c r="M351" s="230">
        <v>3</v>
      </c>
      <c r="N351" s="228"/>
      <c r="O351" s="228" t="s">
        <v>119</v>
      </c>
      <c r="P351" s="231"/>
      <c r="Q351" s="231"/>
      <c r="R351" s="228" t="s">
        <v>24</v>
      </c>
      <c r="S351" s="228" t="s">
        <v>430</v>
      </c>
      <c r="T351" s="232" t="s">
        <v>120</v>
      </c>
      <c r="U351" s="228" t="s">
        <v>319</v>
      </c>
      <c r="V351" s="232" t="s">
        <v>120</v>
      </c>
      <c r="W351" s="228"/>
      <c r="X351" s="232" t="s">
        <v>120</v>
      </c>
      <c r="Y351" s="228" t="s">
        <v>320</v>
      </c>
      <c r="Z351" s="233" t="s">
        <v>125</v>
      </c>
      <c r="AA351" s="234"/>
      <c r="AB351" s="234"/>
      <c r="AC351" s="235" t="s">
        <v>123</v>
      </c>
      <c r="AD351" s="228" t="s">
        <v>321</v>
      </c>
      <c r="AE351" s="232" t="s">
        <v>120</v>
      </c>
      <c r="AF351" s="229" t="s">
        <v>380</v>
      </c>
      <c r="AG351" s="236"/>
      <c r="AH351" s="236">
        <v>2</v>
      </c>
      <c r="AI351" s="228" t="s">
        <v>381</v>
      </c>
      <c r="AJ351" s="232" t="s">
        <v>120</v>
      </c>
      <c r="AK351" s="228" t="s">
        <v>206</v>
      </c>
      <c r="AL351" s="228" t="s">
        <v>431</v>
      </c>
      <c r="AM351" s="232"/>
      <c r="AN351" s="228"/>
      <c r="AO351" s="228"/>
      <c r="AP351" s="237"/>
      <c r="AQ351" s="228"/>
      <c r="AR351" s="232"/>
      <c r="AS351" s="228"/>
      <c r="AT351" s="229"/>
      <c r="AU351" s="229">
        <v>43453.3790324074</v>
      </c>
      <c r="AV351" s="229"/>
      <c r="AW351" s="229"/>
      <c r="AX351" s="229"/>
      <c r="AY351" s="229"/>
      <c r="AZ351" s="238">
        <v>43236</v>
      </c>
      <c r="BA351" s="1" t="s">
        <v>7691</v>
      </c>
      <c r="BB351"/>
      <c r="BC351">
        <v>5</v>
      </c>
      <c r="BD351">
        <v>1894</v>
      </c>
      <c r="BE35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1" s="240">
        <f>COUNTIFS(_05preva_view43[Site ID],_05preva_view43[[#This Row],[Site ID]],_05preva_view43[Prevalidation Status],"Under Prevalidation")</f>
        <v>0</v>
      </c>
      <c r="BG35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1" s="242" t="str">
        <f>CONCATENATE(_05preva_view43[[#This Row],[Site ID]]," (",_05preva_view43[[#This Row],[tenant id]],") Application",IF(_05preva_view43[[#This Row],[Colo Rev]]&gt;0," Rev "&amp;_05preva_view43[[#This Row],[Colo Rev]],""),".xlsx")</f>
        <v>ANMD_0163 (MAW2983) Application.xlsx</v>
      </c>
      <c r="BI351" s="64" t="e">
        <f t="shared" ca="1" si="6"/>
        <v>#VALUE!</v>
      </c>
      <c r="BJ351" s="104" t="e">
        <f ca="1">LEFT(CELL("filename",A336),_05preva_view43[[#This Row],[Find Process &amp; Database]]-1)</f>
        <v>#VALUE!</v>
      </c>
      <c r="BK351" s="104" t="e">
        <f ca="1">_05preva_view43[Folder Path1]&amp;"Process &amp; Database\Documentation\Colo Applications"</f>
        <v>#VALUE!</v>
      </c>
      <c r="BL351" s="104" t="e">
        <f ca="1">_05preva_view43[Folder Path2]&amp;"\Colo App "&amp;_05preva_view43[[#This Row],[Operator]]&amp;"\"</f>
        <v>#VALUE!</v>
      </c>
      <c r="BM351" s="63" t="e">
        <f ca="1">_05preva_view43[[#This Row],[Folder Path3]]&amp;_05preva_view43[[#This Row],[File Name]]</f>
        <v>#VALUE!</v>
      </c>
      <c r="BN351" s="104"/>
      <c r="CF351" s="5"/>
      <c r="CG351" s="5"/>
      <c r="CH351" s="3"/>
      <c r="CJ351" s="5"/>
      <c r="CN351" s="3"/>
      <c r="CO351" s="3"/>
      <c r="CP351" s="5"/>
      <c r="CR351" s="3"/>
      <c r="DN351" s="5"/>
      <c r="DP351" s="3"/>
      <c r="EB351" s="7"/>
      <c r="EC351" s="7"/>
      <c r="EF351" s="4"/>
      <c r="EG351" s="4"/>
      <c r="EQ351" s="2"/>
      <c r="ER351" s="2"/>
    </row>
    <row r="352" spans="1:148">
      <c r="A352" s="227">
        <v>165</v>
      </c>
      <c r="B352" s="228" t="s">
        <v>432</v>
      </c>
      <c r="C352" s="228" t="s">
        <v>116</v>
      </c>
      <c r="D352" s="228" t="s">
        <v>127</v>
      </c>
      <c r="E352" s="228" t="s">
        <v>433</v>
      </c>
      <c r="F352" s="228" t="s">
        <v>40</v>
      </c>
      <c r="G352" s="228" t="s">
        <v>118</v>
      </c>
      <c r="H352" s="228"/>
      <c r="I352" s="228" t="s">
        <v>118</v>
      </c>
      <c r="J352" s="228"/>
      <c r="K352" s="229">
        <v>43236</v>
      </c>
      <c r="L352" s="230"/>
      <c r="M352" s="230">
        <v>3</v>
      </c>
      <c r="N352" s="228"/>
      <c r="O352" s="228" t="s">
        <v>119</v>
      </c>
      <c r="P352" s="231"/>
      <c r="Q352" s="231"/>
      <c r="R352" s="228" t="s">
        <v>24</v>
      </c>
      <c r="S352" s="228"/>
      <c r="T352" s="232" t="s">
        <v>120</v>
      </c>
      <c r="U352" s="228" t="s">
        <v>301</v>
      </c>
      <c r="V352" s="232" t="s">
        <v>120</v>
      </c>
      <c r="W352" s="228"/>
      <c r="X352" s="232" t="s">
        <v>120</v>
      </c>
      <c r="Y352" s="228" t="s">
        <v>120</v>
      </c>
      <c r="Z352" s="233" t="s">
        <v>120</v>
      </c>
      <c r="AA352" s="234"/>
      <c r="AB352" s="234"/>
      <c r="AC352" s="235"/>
      <c r="AD352" s="228" t="s">
        <v>120</v>
      </c>
      <c r="AE352" s="232" t="s">
        <v>120</v>
      </c>
      <c r="AF352" s="229" t="s">
        <v>120</v>
      </c>
      <c r="AG352" s="236"/>
      <c r="AH352" s="236">
        <v>2</v>
      </c>
      <c r="AI352" s="228" t="s">
        <v>305</v>
      </c>
      <c r="AJ352" s="232" t="s">
        <v>120</v>
      </c>
      <c r="AK352" s="228" t="s">
        <v>123</v>
      </c>
      <c r="AL352" s="228"/>
      <c r="AM352" s="232"/>
      <c r="AN352" s="228"/>
      <c r="AO352" s="228"/>
      <c r="AP352" s="237"/>
      <c r="AQ352" s="228"/>
      <c r="AR352" s="232"/>
      <c r="AS352" s="228"/>
      <c r="AT352" s="229"/>
      <c r="AU352" s="229">
        <v>43453.379036458296</v>
      </c>
      <c r="AV352" s="229"/>
      <c r="AW352" s="229"/>
      <c r="AX352" s="229"/>
      <c r="AY352" s="229"/>
      <c r="AZ352" s="238">
        <v>43236</v>
      </c>
      <c r="BA352" s="1" t="s">
        <v>7684</v>
      </c>
      <c r="BB352">
        <v>160</v>
      </c>
      <c r="BC352">
        <v>45</v>
      </c>
      <c r="BD352">
        <v>1934</v>
      </c>
      <c r="BE35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2" s="240">
        <f>COUNTIFS(_05preva_view43[Site ID],_05preva_view43[[#This Row],[Site ID]],_05preva_view43[Prevalidation Status],"Under Prevalidation")</f>
        <v>0</v>
      </c>
      <c r="BG35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2" s="242" t="str">
        <f>CONCATENATE(_05preva_view43[[#This Row],[Site ID]]," (",_05preva_view43[[#This Row],[tenant id]],") Application",IF(_05preva_view43[[#This Row],[Colo Rev]]&gt;0," Rev "&amp;_05preva_view43[[#This Row],[Colo Rev]],""),".xlsx")</f>
        <v>ANMD_0171 (MAW2992) Application.xlsx</v>
      </c>
      <c r="BI352" s="64" t="e">
        <f t="shared" ca="1" si="6"/>
        <v>#VALUE!</v>
      </c>
      <c r="BJ352" s="104" t="e">
        <f ca="1">LEFT(CELL("filename",A337),_05preva_view43[[#This Row],[Find Process &amp; Database]]-1)</f>
        <v>#VALUE!</v>
      </c>
      <c r="BK352" s="104" t="e">
        <f ca="1">_05preva_view43[Folder Path1]&amp;"Process &amp; Database\Documentation\Colo Applications"</f>
        <v>#VALUE!</v>
      </c>
      <c r="BL352" s="104" t="e">
        <f ca="1">_05preva_view43[Folder Path2]&amp;"\Colo App "&amp;_05preva_view43[[#This Row],[Operator]]&amp;"\"</f>
        <v>#VALUE!</v>
      </c>
      <c r="BM352" s="63" t="e">
        <f ca="1">_05preva_view43[[#This Row],[Folder Path3]]&amp;_05preva_view43[[#This Row],[File Name]]</f>
        <v>#VALUE!</v>
      </c>
      <c r="BN352" s="104"/>
      <c r="CF352" s="5"/>
      <c r="CG352" s="5"/>
      <c r="CH352" s="3"/>
      <c r="CJ352" s="5"/>
      <c r="CN352" s="3"/>
      <c r="CO352" s="3"/>
      <c r="CP352" s="5"/>
      <c r="CR352" s="3"/>
      <c r="DN352" s="5"/>
      <c r="DP352" s="3"/>
      <c r="EB352" s="7"/>
      <c r="EC352" s="7"/>
      <c r="EF352" s="4"/>
      <c r="EG352" s="4"/>
      <c r="EQ352" s="2"/>
      <c r="ER352" s="2"/>
    </row>
    <row r="353" spans="1:148">
      <c r="A353" s="227">
        <v>168</v>
      </c>
      <c r="B353" s="228" t="s">
        <v>434</v>
      </c>
      <c r="C353" s="228" t="s">
        <v>116</v>
      </c>
      <c r="D353" s="228" t="s">
        <v>117</v>
      </c>
      <c r="E353" s="228" t="s">
        <v>435</v>
      </c>
      <c r="F353" s="228" t="s">
        <v>40</v>
      </c>
      <c r="G353" s="228" t="s">
        <v>118</v>
      </c>
      <c r="H353" s="228"/>
      <c r="I353" s="228" t="s">
        <v>118</v>
      </c>
      <c r="J353" s="228"/>
      <c r="K353" s="229">
        <v>43236</v>
      </c>
      <c r="L353" s="230"/>
      <c r="M353" s="230">
        <v>3</v>
      </c>
      <c r="N353" s="228"/>
      <c r="O353" s="228" t="s">
        <v>119</v>
      </c>
      <c r="P353" s="231"/>
      <c r="Q353" s="231"/>
      <c r="R353" s="228" t="s">
        <v>24</v>
      </c>
      <c r="S353" s="228"/>
      <c r="T353" s="232" t="s">
        <v>120</v>
      </c>
      <c r="U353" s="228" t="s">
        <v>301</v>
      </c>
      <c r="V353" s="232" t="s">
        <v>120</v>
      </c>
      <c r="W353" s="228"/>
      <c r="X353" s="232" t="s">
        <v>120</v>
      </c>
      <c r="Y353" s="228" t="s">
        <v>316</v>
      </c>
      <c r="Z353" s="233" t="s">
        <v>120</v>
      </c>
      <c r="AA353" s="234"/>
      <c r="AB353" s="234"/>
      <c r="AC353" s="235"/>
      <c r="AD353" s="228" t="s">
        <v>120</v>
      </c>
      <c r="AE353" s="232" t="s">
        <v>120</v>
      </c>
      <c r="AF353" s="229" t="s">
        <v>207</v>
      </c>
      <c r="AG353" s="236"/>
      <c r="AH353" s="236">
        <v>3.5</v>
      </c>
      <c r="AI353" s="228" t="s">
        <v>308</v>
      </c>
      <c r="AJ353" s="232" t="s">
        <v>120</v>
      </c>
      <c r="AK353" s="228" t="s">
        <v>123</v>
      </c>
      <c r="AL353" s="228"/>
      <c r="AM353" s="232"/>
      <c r="AN353" s="228"/>
      <c r="AO353" s="228"/>
      <c r="AP353" s="237"/>
      <c r="AQ353" s="228"/>
      <c r="AR353" s="232"/>
      <c r="AS353" s="228"/>
      <c r="AT353" s="229"/>
      <c r="AU353" s="229">
        <v>43453.379037963001</v>
      </c>
      <c r="AV353" s="229"/>
      <c r="AW353" s="229"/>
      <c r="AX353" s="229"/>
      <c r="AY353" s="229"/>
      <c r="AZ353" s="238">
        <v>43236</v>
      </c>
      <c r="BA353" s="1" t="s">
        <v>7684</v>
      </c>
      <c r="BB353"/>
      <c r="BC353">
        <v>60</v>
      </c>
      <c r="BD353">
        <v>1020</v>
      </c>
      <c r="BE35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3" s="240">
        <f>COUNTIFS(_05preva_view43[Site ID],_05preva_view43[[#This Row],[Site ID]],_05preva_view43[Prevalidation Status],"Under Prevalidation")</f>
        <v>0</v>
      </c>
      <c r="BG35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3" s="242" t="str">
        <f>CONCATENATE(_05preva_view43[[#This Row],[Site ID]]," (",_05preva_view43[[#This Row],[tenant id]],") Application",IF(_05preva_view43[[#This Row],[Colo Rev]]&gt;0," Rev "&amp;_05preva_view43[[#This Row],[Colo Rev]],""),".xlsx")</f>
        <v>ANMG_0052 (MWW3498) Application.xlsx</v>
      </c>
      <c r="BI353" s="64" t="e">
        <f t="shared" ca="1" si="6"/>
        <v>#VALUE!</v>
      </c>
      <c r="BJ353" s="104" t="e">
        <f ca="1">LEFT(CELL("filename",A338),_05preva_view43[[#This Row],[Find Process &amp; Database]]-1)</f>
        <v>#VALUE!</v>
      </c>
      <c r="BK353" s="104" t="e">
        <f ca="1">_05preva_view43[Folder Path1]&amp;"Process &amp; Database\Documentation\Colo Applications"</f>
        <v>#VALUE!</v>
      </c>
      <c r="BL353" s="104" t="e">
        <f ca="1">_05preva_view43[Folder Path2]&amp;"\Colo App "&amp;_05preva_view43[[#This Row],[Operator]]&amp;"\"</f>
        <v>#VALUE!</v>
      </c>
      <c r="BM353" s="63" t="e">
        <f ca="1">_05preva_view43[[#This Row],[Folder Path3]]&amp;_05preva_view43[[#This Row],[File Name]]</f>
        <v>#VALUE!</v>
      </c>
      <c r="BN353" s="104"/>
      <c r="CF353" s="5"/>
      <c r="CG353" s="5"/>
      <c r="CH353" s="3"/>
      <c r="CJ353" s="5"/>
      <c r="CN353" s="3"/>
      <c r="CO353" s="3"/>
      <c r="CP353" s="5"/>
      <c r="CR353" s="3"/>
      <c r="DN353" s="5"/>
      <c r="DP353" s="3"/>
      <c r="EB353" s="7"/>
      <c r="EC353" s="7"/>
      <c r="EF353" s="4"/>
      <c r="EG353" s="4"/>
      <c r="EQ353" s="2"/>
      <c r="ER353" s="2"/>
    </row>
    <row r="354" spans="1:148">
      <c r="A354" s="227">
        <v>169</v>
      </c>
      <c r="B354" s="228" t="s">
        <v>436</v>
      </c>
      <c r="C354" s="228" t="s">
        <v>116</v>
      </c>
      <c r="D354" s="228" t="s">
        <v>117</v>
      </c>
      <c r="E354" s="228" t="s">
        <v>437</v>
      </c>
      <c r="F354" s="228" t="s">
        <v>40</v>
      </c>
      <c r="G354" s="228" t="s">
        <v>118</v>
      </c>
      <c r="H354" s="228"/>
      <c r="I354" s="228" t="s">
        <v>118</v>
      </c>
      <c r="J354" s="228"/>
      <c r="K354" s="229">
        <v>43236</v>
      </c>
      <c r="L354" s="230"/>
      <c r="M354" s="230">
        <v>3</v>
      </c>
      <c r="N354" s="228"/>
      <c r="O354" s="228" t="s">
        <v>119</v>
      </c>
      <c r="P354" s="231"/>
      <c r="Q354" s="231"/>
      <c r="R354" s="228" t="s">
        <v>24</v>
      </c>
      <c r="S354" s="228"/>
      <c r="T354" s="232" t="s">
        <v>120</v>
      </c>
      <c r="U354" s="228" t="s">
        <v>301</v>
      </c>
      <c r="V354" s="232" t="s">
        <v>120</v>
      </c>
      <c r="W354" s="228"/>
      <c r="X354" s="232" t="s">
        <v>120</v>
      </c>
      <c r="Y354" s="228" t="s">
        <v>120</v>
      </c>
      <c r="Z354" s="233" t="s">
        <v>120</v>
      </c>
      <c r="AA354" s="234"/>
      <c r="AB354" s="234"/>
      <c r="AC354" s="235"/>
      <c r="AD354" s="228" t="s">
        <v>120</v>
      </c>
      <c r="AE354" s="232" t="s">
        <v>120</v>
      </c>
      <c r="AF354" s="229" t="s">
        <v>207</v>
      </c>
      <c r="AG354" s="236"/>
      <c r="AH354" s="236">
        <v>3.5</v>
      </c>
      <c r="AI354" s="228" t="s">
        <v>308</v>
      </c>
      <c r="AJ354" s="232" t="s">
        <v>120</v>
      </c>
      <c r="AK354" s="228" t="s">
        <v>123</v>
      </c>
      <c r="AL354" s="228"/>
      <c r="AM354" s="232"/>
      <c r="AN354" s="228"/>
      <c r="AO354" s="228"/>
      <c r="AP354" s="237"/>
      <c r="AQ354" s="228"/>
      <c r="AR354" s="232"/>
      <c r="AS354" s="228"/>
      <c r="AT354" s="229"/>
      <c r="AU354" s="229">
        <v>43453.379038657396</v>
      </c>
      <c r="AV354" s="229"/>
      <c r="AW354" s="229"/>
      <c r="AX354" s="229"/>
      <c r="AY354" s="229"/>
      <c r="AZ354" s="238">
        <v>43236</v>
      </c>
      <c r="BA354" s="1" t="s">
        <v>7684</v>
      </c>
      <c r="BB354">
        <v>130</v>
      </c>
      <c r="BC354">
        <v>60</v>
      </c>
      <c r="BD354">
        <v>1483</v>
      </c>
      <c r="BE35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4" s="240">
        <f>COUNTIFS(_05preva_view43[Site ID],_05preva_view43[[#This Row],[Site ID]],_05preva_view43[Prevalidation Status],"Under Prevalidation")</f>
        <v>0</v>
      </c>
      <c r="BG35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4" s="242" t="str">
        <f>CONCATENATE(_05preva_view43[[#This Row],[Site ID]]," (",_05preva_view43[[#This Row],[tenant id]],") Application",IF(_05preva_view43[[#This Row],[Colo Rev]]&gt;0," Rev "&amp;_05preva_view43[[#This Row],[Colo Rev]],""),".xlsx")</f>
        <v>ANMG_0006 (MWW3499) Application.xlsx</v>
      </c>
      <c r="BI354" s="64" t="e">
        <f t="shared" ca="1" si="6"/>
        <v>#VALUE!</v>
      </c>
      <c r="BJ354" s="104" t="e">
        <f ca="1">LEFT(CELL("filename",A339),_05preva_view43[[#This Row],[Find Process &amp; Database]]-1)</f>
        <v>#VALUE!</v>
      </c>
      <c r="BK354" s="104" t="e">
        <f ca="1">_05preva_view43[Folder Path1]&amp;"Process &amp; Database\Documentation\Colo Applications"</f>
        <v>#VALUE!</v>
      </c>
      <c r="BL354" s="104" t="e">
        <f ca="1">_05preva_view43[Folder Path2]&amp;"\Colo App "&amp;_05preva_view43[[#This Row],[Operator]]&amp;"\"</f>
        <v>#VALUE!</v>
      </c>
      <c r="BM354" s="63" t="e">
        <f ca="1">_05preva_view43[[#This Row],[Folder Path3]]&amp;_05preva_view43[[#This Row],[File Name]]</f>
        <v>#VALUE!</v>
      </c>
      <c r="BN354" s="104"/>
      <c r="CF354" s="5"/>
      <c r="CG354" s="5"/>
      <c r="CH354" s="3"/>
      <c r="CJ354" s="5"/>
      <c r="CN354" s="3"/>
      <c r="CO354" s="3"/>
      <c r="CP354" s="5"/>
      <c r="CR354" s="3"/>
      <c r="DN354" s="5"/>
      <c r="DP354" s="3"/>
      <c r="EB354" s="7"/>
      <c r="EC354" s="7"/>
      <c r="EF354" s="4"/>
      <c r="EG354" s="4"/>
      <c r="EQ354" s="2"/>
      <c r="ER354" s="2"/>
    </row>
    <row r="355" spans="1:148">
      <c r="A355" s="227">
        <v>170</v>
      </c>
      <c r="B355" s="228" t="s">
        <v>438</v>
      </c>
      <c r="C355" s="228" t="s">
        <v>116</v>
      </c>
      <c r="D355" s="228" t="s">
        <v>117</v>
      </c>
      <c r="E355" s="228" t="s">
        <v>439</v>
      </c>
      <c r="F355" s="228" t="s">
        <v>40</v>
      </c>
      <c r="G355" s="228" t="s">
        <v>118</v>
      </c>
      <c r="H355" s="228"/>
      <c r="I355" s="228" t="s">
        <v>118</v>
      </c>
      <c r="J355" s="228"/>
      <c r="K355" s="229">
        <v>43236</v>
      </c>
      <c r="L355" s="230"/>
      <c r="M355" s="230">
        <v>3</v>
      </c>
      <c r="N355" s="228"/>
      <c r="O355" s="228" t="s">
        <v>119</v>
      </c>
      <c r="P355" s="231"/>
      <c r="Q355" s="231"/>
      <c r="R355" s="228" t="s">
        <v>24</v>
      </c>
      <c r="S355" s="228"/>
      <c r="T355" s="232" t="s">
        <v>120</v>
      </c>
      <c r="U355" s="228" t="s">
        <v>301</v>
      </c>
      <c r="V355" s="232" t="s">
        <v>120</v>
      </c>
      <c r="W355" s="228"/>
      <c r="X355" s="232" t="s">
        <v>120</v>
      </c>
      <c r="Y355" s="228" t="s">
        <v>120</v>
      </c>
      <c r="Z355" s="233" t="s">
        <v>120</v>
      </c>
      <c r="AA355" s="234"/>
      <c r="AB355" s="234"/>
      <c r="AC355" s="235"/>
      <c r="AD355" s="228" t="s">
        <v>120</v>
      </c>
      <c r="AE355" s="232" t="s">
        <v>120</v>
      </c>
      <c r="AF355" s="229" t="s">
        <v>358</v>
      </c>
      <c r="AG355" s="236"/>
      <c r="AH355" s="236">
        <v>3.5</v>
      </c>
      <c r="AI355" s="228" t="s">
        <v>345</v>
      </c>
      <c r="AJ355" s="232" t="s">
        <v>120</v>
      </c>
      <c r="AK355" s="228" t="s">
        <v>123</v>
      </c>
      <c r="AL355" s="228"/>
      <c r="AM355" s="232"/>
      <c r="AN355" s="228"/>
      <c r="AO355" s="228"/>
      <c r="AP355" s="237"/>
      <c r="AQ355" s="228"/>
      <c r="AR355" s="232"/>
      <c r="AS355" s="228"/>
      <c r="AT355" s="229"/>
      <c r="AU355" s="229">
        <v>43453.379039351901</v>
      </c>
      <c r="AV355" s="229"/>
      <c r="AW355" s="229"/>
      <c r="AX355" s="229"/>
      <c r="AY355" s="229"/>
      <c r="AZ355" s="238">
        <v>43236</v>
      </c>
      <c r="BA355" s="1" t="s">
        <v>7684</v>
      </c>
      <c r="BB355">
        <v>130</v>
      </c>
      <c r="BC355">
        <v>60</v>
      </c>
      <c r="BD355">
        <v>13</v>
      </c>
      <c r="BE35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5" s="240">
        <f>COUNTIFS(_05preva_view43[Site ID],_05preva_view43[[#This Row],[Site ID]],_05preva_view43[Prevalidation Status],"Under Prevalidation")</f>
        <v>0</v>
      </c>
      <c r="BG35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5" s="242" t="str">
        <f>CONCATENATE(_05preva_view43[[#This Row],[Site ID]]," (",_05preva_view43[[#This Row],[tenant id]],") Application",IF(_05preva_view43[[#This Row],[Colo Rev]]&gt;0," Rev "&amp;_05preva_view43[[#This Row],[Colo Rev]],""),".xlsx")</f>
        <v>ANMG_0026 (MWW3500) Application.xlsx</v>
      </c>
      <c r="BI355" s="64" t="e">
        <f t="shared" ca="1" si="6"/>
        <v>#VALUE!</v>
      </c>
      <c r="BJ355" s="104" t="e">
        <f ca="1">LEFT(CELL("filename",A340),_05preva_view43[[#This Row],[Find Process &amp; Database]]-1)</f>
        <v>#VALUE!</v>
      </c>
      <c r="BK355" s="104" t="e">
        <f ca="1">_05preva_view43[Folder Path1]&amp;"Process &amp; Database\Documentation\Colo Applications"</f>
        <v>#VALUE!</v>
      </c>
      <c r="BL355" s="104" t="e">
        <f ca="1">_05preva_view43[Folder Path2]&amp;"\Colo App "&amp;_05preva_view43[[#This Row],[Operator]]&amp;"\"</f>
        <v>#VALUE!</v>
      </c>
      <c r="BM355" s="63" t="e">
        <f ca="1">_05preva_view43[[#This Row],[Folder Path3]]&amp;_05preva_view43[[#This Row],[File Name]]</f>
        <v>#VALUE!</v>
      </c>
      <c r="BN355" s="104"/>
      <c r="CF355" s="5"/>
      <c r="CG355" s="5"/>
      <c r="CH355" s="3"/>
      <c r="CJ355" s="5"/>
      <c r="CN355" s="3"/>
      <c r="CO355" s="3"/>
      <c r="CP355" s="5"/>
      <c r="CR355" s="3"/>
      <c r="DN355" s="5"/>
      <c r="DP355" s="3"/>
      <c r="EB355" s="7"/>
      <c r="EC355" s="7"/>
      <c r="EF355" s="4"/>
      <c r="EG355" s="4"/>
      <c r="EQ355" s="2"/>
      <c r="ER355" s="2"/>
    </row>
    <row r="356" spans="1:148">
      <c r="A356" s="227">
        <v>171</v>
      </c>
      <c r="B356" s="228" t="s">
        <v>440</v>
      </c>
      <c r="C356" s="228" t="s">
        <v>116</v>
      </c>
      <c r="D356" s="228" t="s">
        <v>127</v>
      </c>
      <c r="E356" s="228" t="s">
        <v>441</v>
      </c>
      <c r="F356" s="228" t="s">
        <v>40</v>
      </c>
      <c r="G356" s="228" t="s">
        <v>118</v>
      </c>
      <c r="H356" s="228"/>
      <c r="I356" s="228" t="s">
        <v>118</v>
      </c>
      <c r="J356" s="228"/>
      <c r="K356" s="229">
        <v>43236</v>
      </c>
      <c r="L356" s="230"/>
      <c r="M356" s="230">
        <v>3</v>
      </c>
      <c r="N356" s="228"/>
      <c r="O356" s="228" t="s">
        <v>119</v>
      </c>
      <c r="P356" s="231"/>
      <c r="Q356" s="231"/>
      <c r="R356" s="228" t="s">
        <v>24</v>
      </c>
      <c r="S356" s="228"/>
      <c r="T356" s="232" t="s">
        <v>120</v>
      </c>
      <c r="U356" s="228" t="s">
        <v>301</v>
      </c>
      <c r="V356" s="232" t="s">
        <v>120</v>
      </c>
      <c r="W356" s="228"/>
      <c r="X356" s="232" t="s">
        <v>120</v>
      </c>
      <c r="Y356" s="228" t="s">
        <v>120</v>
      </c>
      <c r="Z356" s="233" t="s">
        <v>120</v>
      </c>
      <c r="AA356" s="234"/>
      <c r="AB356" s="234"/>
      <c r="AC356" s="235"/>
      <c r="AD356" s="228" t="s">
        <v>120</v>
      </c>
      <c r="AE356" s="232" t="s">
        <v>120</v>
      </c>
      <c r="AF356" s="229" t="s">
        <v>120</v>
      </c>
      <c r="AG356" s="236"/>
      <c r="AH356" s="236">
        <v>2</v>
      </c>
      <c r="AI356" s="228" t="s">
        <v>305</v>
      </c>
      <c r="AJ356" s="232" t="s">
        <v>120</v>
      </c>
      <c r="AK356" s="228" t="s">
        <v>123</v>
      </c>
      <c r="AL356" s="228"/>
      <c r="AM356" s="232"/>
      <c r="AN356" s="228"/>
      <c r="AO356" s="228"/>
      <c r="AP356" s="237"/>
      <c r="AQ356" s="228"/>
      <c r="AR356" s="232"/>
      <c r="AS356" s="228"/>
      <c r="AT356" s="229"/>
      <c r="AU356" s="229">
        <v>43453.379041203698</v>
      </c>
      <c r="AV356" s="229"/>
      <c r="AW356" s="229"/>
      <c r="AX356" s="229"/>
      <c r="AY356" s="229"/>
      <c r="AZ356" s="238">
        <v>43236</v>
      </c>
      <c r="BA356" s="1" t="s">
        <v>7684</v>
      </c>
      <c r="BB356">
        <v>130</v>
      </c>
      <c r="BC356">
        <v>45</v>
      </c>
      <c r="BD356">
        <v>1484</v>
      </c>
      <c r="BE35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6" s="240">
        <f>COUNTIFS(_05preva_view43[Site ID],_05preva_view43[[#This Row],[Site ID]],_05preva_view43[Prevalidation Status],"Under Prevalidation")</f>
        <v>0</v>
      </c>
      <c r="BG35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6" s="242" t="str">
        <f>CONCATENATE(_05preva_view43[[#This Row],[Site ID]]," (",_05preva_view43[[#This Row],[tenant id]],") Application",IF(_05preva_view43[[#This Row],[Colo Rev]]&gt;0," Rev "&amp;_05preva_view43[[#This Row],[Colo Rev]],""),".xlsx")</f>
        <v>ANSG_0381 (SAW0731) Application.xlsx</v>
      </c>
      <c r="BI356" s="64" t="e">
        <f t="shared" ca="1" si="6"/>
        <v>#VALUE!</v>
      </c>
      <c r="BJ356" s="104" t="e">
        <f ca="1">LEFT(CELL("filename",A341),_05preva_view43[[#This Row],[Find Process &amp; Database]]-1)</f>
        <v>#VALUE!</v>
      </c>
      <c r="BK356" s="104" t="e">
        <f ca="1">_05preva_view43[Folder Path1]&amp;"Process &amp; Database\Documentation\Colo Applications"</f>
        <v>#VALUE!</v>
      </c>
      <c r="BL356" s="104" t="e">
        <f ca="1">_05preva_view43[Folder Path2]&amp;"\Colo App "&amp;_05preva_view43[[#This Row],[Operator]]&amp;"\"</f>
        <v>#VALUE!</v>
      </c>
      <c r="BM356" s="63" t="e">
        <f ca="1">_05preva_view43[[#This Row],[Folder Path3]]&amp;_05preva_view43[[#This Row],[File Name]]</f>
        <v>#VALUE!</v>
      </c>
      <c r="BN356" s="104"/>
      <c r="CF356" s="5"/>
      <c r="CG356" s="5"/>
      <c r="CH356" s="3"/>
      <c r="CJ356" s="5"/>
      <c r="CN356" s="3"/>
      <c r="CO356" s="3"/>
      <c r="CP356" s="5"/>
      <c r="CR356" s="3"/>
      <c r="DN356" s="5"/>
      <c r="DP356" s="3"/>
      <c r="EB356" s="7"/>
      <c r="EC356" s="7"/>
      <c r="EF356" s="4"/>
      <c r="EG356" s="4"/>
      <c r="EQ356" s="2"/>
      <c r="ER356" s="2"/>
    </row>
    <row r="357" spans="1:148">
      <c r="A357" s="227">
        <v>172</v>
      </c>
      <c r="B357" s="228" t="s">
        <v>442</v>
      </c>
      <c r="C357" s="228" t="s">
        <v>116</v>
      </c>
      <c r="D357" s="228" t="s">
        <v>117</v>
      </c>
      <c r="E357" s="228" t="s">
        <v>443</v>
      </c>
      <c r="F357" s="228" t="s">
        <v>40</v>
      </c>
      <c r="G357" s="228" t="s">
        <v>118</v>
      </c>
      <c r="H357" s="228"/>
      <c r="I357" s="228" t="s">
        <v>118</v>
      </c>
      <c r="J357" s="228"/>
      <c r="K357" s="229">
        <v>43236</v>
      </c>
      <c r="L357" s="230"/>
      <c r="M357" s="230">
        <v>3</v>
      </c>
      <c r="N357" s="228"/>
      <c r="O357" s="228" t="s">
        <v>119</v>
      </c>
      <c r="P357" s="231"/>
      <c r="Q357" s="231"/>
      <c r="R357" s="228" t="s">
        <v>24</v>
      </c>
      <c r="S357" s="228"/>
      <c r="T357" s="232" t="s">
        <v>120</v>
      </c>
      <c r="U357" s="228" t="s">
        <v>301</v>
      </c>
      <c r="V357" s="232" t="s">
        <v>120</v>
      </c>
      <c r="W357" s="228"/>
      <c r="X357" s="232" t="s">
        <v>120</v>
      </c>
      <c r="Y357" s="228" t="s">
        <v>120</v>
      </c>
      <c r="Z357" s="233" t="s">
        <v>120</v>
      </c>
      <c r="AA357" s="234"/>
      <c r="AB357" s="234"/>
      <c r="AC357" s="235"/>
      <c r="AD357" s="228" t="s">
        <v>120</v>
      </c>
      <c r="AE357" s="232" t="s">
        <v>120</v>
      </c>
      <c r="AF357" s="229" t="s">
        <v>207</v>
      </c>
      <c r="AG357" s="236"/>
      <c r="AH357" s="236">
        <v>3.5</v>
      </c>
      <c r="AI357" s="228" t="s">
        <v>368</v>
      </c>
      <c r="AJ357" s="232" t="s">
        <v>120</v>
      </c>
      <c r="AK357" s="228" t="s">
        <v>123</v>
      </c>
      <c r="AL357" s="228"/>
      <c r="AM357" s="232"/>
      <c r="AN357" s="228"/>
      <c r="AO357" s="228"/>
      <c r="AP357" s="237"/>
      <c r="AQ357" s="228"/>
      <c r="AR357" s="232"/>
      <c r="AS357" s="228"/>
      <c r="AT357" s="229"/>
      <c r="AU357" s="229">
        <v>43453.379042013898</v>
      </c>
      <c r="AV357" s="229"/>
      <c r="AW357" s="229"/>
      <c r="AX357" s="229"/>
      <c r="AY357" s="229"/>
      <c r="AZ357" s="238">
        <v>43236</v>
      </c>
      <c r="BA357" s="1" t="s">
        <v>7684</v>
      </c>
      <c r="BB357"/>
      <c r="BC357">
        <v>50</v>
      </c>
      <c r="BD357">
        <v>587</v>
      </c>
      <c r="BE35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7" s="240">
        <f>COUNTIFS(_05preva_view43[Site ID],_05preva_view43[[#This Row],[Site ID]],_05preva_view43[Prevalidation Status],"Under Prevalidation")</f>
        <v>0</v>
      </c>
      <c r="BG35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7" s="242" t="str">
        <f>CONCATENATE(_05preva_view43[[#This Row],[Site ID]]," (",_05preva_view43[[#This Row],[tenant id]],") Application",IF(_05preva_view43[[#This Row],[Colo Rev]]&gt;0," Rev "&amp;_05preva_view43[[#This Row],[Colo Rev]],""),".xlsx")</f>
        <v>ANMG_0167 (MWW3502) Application.xlsx</v>
      </c>
      <c r="BI357" s="64" t="e">
        <f t="shared" ca="1" si="6"/>
        <v>#VALUE!</v>
      </c>
      <c r="BJ357" s="104" t="e">
        <f ca="1">LEFT(CELL("filename",A342),_05preva_view43[[#This Row],[Find Process &amp; Database]]-1)</f>
        <v>#VALUE!</v>
      </c>
      <c r="BK357" s="104" t="e">
        <f ca="1">_05preva_view43[Folder Path1]&amp;"Process &amp; Database\Documentation\Colo Applications"</f>
        <v>#VALUE!</v>
      </c>
      <c r="BL357" s="104" t="e">
        <f ca="1">_05preva_view43[Folder Path2]&amp;"\Colo App "&amp;_05preva_view43[[#This Row],[Operator]]&amp;"\"</f>
        <v>#VALUE!</v>
      </c>
      <c r="BM357" s="63" t="e">
        <f ca="1">_05preva_view43[[#This Row],[Folder Path3]]&amp;_05preva_view43[[#This Row],[File Name]]</f>
        <v>#VALUE!</v>
      </c>
      <c r="BN357" s="104"/>
      <c r="CF357" s="5"/>
      <c r="CG357" s="5"/>
      <c r="CH357" s="3"/>
      <c r="CJ357" s="5"/>
      <c r="CN357" s="3"/>
      <c r="CO357" s="3"/>
      <c r="CP357" s="5"/>
      <c r="CR357" s="3"/>
      <c r="DN357" s="5"/>
      <c r="DP357" s="3"/>
      <c r="EB357" s="7"/>
      <c r="EC357" s="7"/>
      <c r="EF357" s="4"/>
      <c r="EG357" s="4"/>
      <c r="EQ357" s="2"/>
      <c r="ER357" s="2"/>
    </row>
    <row r="358" spans="1:148">
      <c r="A358" s="227">
        <v>173</v>
      </c>
      <c r="B358" s="228" t="s">
        <v>444</v>
      </c>
      <c r="C358" s="228" t="s">
        <v>116</v>
      </c>
      <c r="D358" s="228" t="s">
        <v>127</v>
      </c>
      <c r="E358" s="228" t="s">
        <v>445</v>
      </c>
      <c r="F358" s="228" t="s">
        <v>40</v>
      </c>
      <c r="G358" s="228" t="s">
        <v>118</v>
      </c>
      <c r="H358" s="228"/>
      <c r="I358" s="228" t="s">
        <v>118</v>
      </c>
      <c r="J358" s="228"/>
      <c r="K358" s="229">
        <v>43236</v>
      </c>
      <c r="L358" s="230"/>
      <c r="M358" s="230">
        <v>3</v>
      </c>
      <c r="N358" s="228"/>
      <c r="O358" s="228" t="s">
        <v>119</v>
      </c>
      <c r="P358" s="231"/>
      <c r="Q358" s="231"/>
      <c r="R358" s="228" t="s">
        <v>24</v>
      </c>
      <c r="S358" s="228"/>
      <c r="T358" s="232" t="s">
        <v>120</v>
      </c>
      <c r="U358" s="228" t="s">
        <v>301</v>
      </c>
      <c r="V358" s="232" t="s">
        <v>120</v>
      </c>
      <c r="W358" s="228"/>
      <c r="X358" s="232" t="s">
        <v>120</v>
      </c>
      <c r="Y358" s="228" t="s">
        <v>316</v>
      </c>
      <c r="Z358" s="233" t="s">
        <v>120</v>
      </c>
      <c r="AA358" s="234"/>
      <c r="AB358" s="234"/>
      <c r="AC358" s="235"/>
      <c r="AD358" s="228" t="s">
        <v>120</v>
      </c>
      <c r="AE358" s="232" t="s">
        <v>120</v>
      </c>
      <c r="AF358" s="229" t="s">
        <v>120</v>
      </c>
      <c r="AG358" s="236"/>
      <c r="AH358" s="236">
        <v>2</v>
      </c>
      <c r="AI358" s="228" t="s">
        <v>305</v>
      </c>
      <c r="AJ358" s="232" t="s">
        <v>120</v>
      </c>
      <c r="AK358" s="228" t="s">
        <v>123</v>
      </c>
      <c r="AL358" s="228"/>
      <c r="AM358" s="232"/>
      <c r="AN358" s="228"/>
      <c r="AO358" s="228"/>
      <c r="AP358" s="237"/>
      <c r="AQ358" s="228"/>
      <c r="AR358" s="232"/>
      <c r="AS358" s="228"/>
      <c r="AT358" s="229"/>
      <c r="AU358" s="229">
        <v>43453.3790427083</v>
      </c>
      <c r="AV358" s="229"/>
      <c r="AW358" s="229"/>
      <c r="AX358" s="229"/>
      <c r="AY358" s="229"/>
      <c r="AZ358" s="238">
        <v>43236</v>
      </c>
      <c r="BA358" s="1" t="s">
        <v>7684</v>
      </c>
      <c r="BB358"/>
      <c r="BC358">
        <v>45</v>
      </c>
      <c r="BD358">
        <v>214</v>
      </c>
      <c r="BE35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8" s="240">
        <f>COUNTIFS(_05preva_view43[Site ID],_05preva_view43[[#This Row],[Site ID]],_05preva_view43[Prevalidation Status],"Under Prevalidation")</f>
        <v>0</v>
      </c>
      <c r="BG35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8" s="242" t="str">
        <f>CONCATENATE(_05preva_view43[[#This Row],[Site ID]]," (",_05preva_view43[[#This Row],[tenant id]],") Application",IF(_05preva_view43[[#This Row],[Colo Rev]]&gt;0," Rev "&amp;_05preva_view43[[#This Row],[Colo Rev]],""),".xlsx")</f>
        <v>ANSG_0361 (SAW0719) Application.xlsx</v>
      </c>
      <c r="BI358" s="64" t="e">
        <f t="shared" ca="1" si="6"/>
        <v>#VALUE!</v>
      </c>
      <c r="BJ358" s="104" t="e">
        <f ca="1">LEFT(CELL("filename",A343),_05preva_view43[[#This Row],[Find Process &amp; Database]]-1)</f>
        <v>#VALUE!</v>
      </c>
      <c r="BK358" s="104" t="e">
        <f ca="1">_05preva_view43[Folder Path1]&amp;"Process &amp; Database\Documentation\Colo Applications"</f>
        <v>#VALUE!</v>
      </c>
      <c r="BL358" s="104" t="e">
        <f ca="1">_05preva_view43[Folder Path2]&amp;"\Colo App "&amp;_05preva_view43[[#This Row],[Operator]]&amp;"\"</f>
        <v>#VALUE!</v>
      </c>
      <c r="BM358" s="63" t="e">
        <f ca="1">_05preva_view43[[#This Row],[Folder Path3]]&amp;_05preva_view43[[#This Row],[File Name]]</f>
        <v>#VALUE!</v>
      </c>
      <c r="BN358" s="104"/>
      <c r="CF358" s="5"/>
      <c r="CG358" s="5"/>
      <c r="CH358" s="3"/>
      <c r="CJ358" s="5"/>
      <c r="CN358" s="3"/>
      <c r="CO358" s="3"/>
      <c r="CP358" s="5"/>
      <c r="CR358" s="3"/>
      <c r="DN358" s="5"/>
      <c r="DP358" s="3"/>
      <c r="EB358" s="7"/>
      <c r="EC358" s="7"/>
      <c r="EF358" s="4"/>
      <c r="EG358" s="4"/>
      <c r="EQ358" s="2"/>
      <c r="ER358" s="2"/>
    </row>
    <row r="359" spans="1:148">
      <c r="A359" s="227">
        <v>174</v>
      </c>
      <c r="B359" s="228" t="s">
        <v>446</v>
      </c>
      <c r="C359" s="228" t="s">
        <v>116</v>
      </c>
      <c r="D359" s="228" t="s">
        <v>127</v>
      </c>
      <c r="E359" s="228" t="s">
        <v>447</v>
      </c>
      <c r="F359" s="228" t="s">
        <v>40</v>
      </c>
      <c r="G359" s="228" t="s">
        <v>118</v>
      </c>
      <c r="H359" s="228"/>
      <c r="I359" s="228" t="s">
        <v>118</v>
      </c>
      <c r="J359" s="228"/>
      <c r="K359" s="229">
        <v>43236</v>
      </c>
      <c r="L359" s="230"/>
      <c r="M359" s="230">
        <v>3</v>
      </c>
      <c r="N359" s="228"/>
      <c r="O359" s="228" t="s">
        <v>119</v>
      </c>
      <c r="P359" s="231"/>
      <c r="Q359" s="231"/>
      <c r="R359" s="228" t="s">
        <v>24</v>
      </c>
      <c r="S359" s="228"/>
      <c r="T359" s="232" t="s">
        <v>120</v>
      </c>
      <c r="U359" s="228" t="s">
        <v>319</v>
      </c>
      <c r="V359" s="232" t="s">
        <v>120</v>
      </c>
      <c r="W359" s="228"/>
      <c r="X359" s="232" t="s">
        <v>120</v>
      </c>
      <c r="Y359" s="228" t="s">
        <v>320</v>
      </c>
      <c r="Z359" s="233" t="s">
        <v>125</v>
      </c>
      <c r="AA359" s="234"/>
      <c r="AB359" s="234"/>
      <c r="AC359" s="235" t="s">
        <v>123</v>
      </c>
      <c r="AD359" s="228" t="s">
        <v>321</v>
      </c>
      <c r="AE359" s="232" t="s">
        <v>120</v>
      </c>
      <c r="AF359" s="229" t="s">
        <v>448</v>
      </c>
      <c r="AG359" s="236"/>
      <c r="AH359" s="236">
        <v>2</v>
      </c>
      <c r="AI359" s="228" t="s">
        <v>381</v>
      </c>
      <c r="AJ359" s="232" t="s">
        <v>120</v>
      </c>
      <c r="AK359" s="228" t="s">
        <v>206</v>
      </c>
      <c r="AL359" s="228" t="s">
        <v>431</v>
      </c>
      <c r="AM359" s="232"/>
      <c r="AN359" s="228"/>
      <c r="AO359" s="228"/>
      <c r="AP359" s="237"/>
      <c r="AQ359" s="228"/>
      <c r="AR359" s="232"/>
      <c r="AS359" s="228"/>
      <c r="AT359" s="229"/>
      <c r="AU359" s="229">
        <v>43453.379043287001</v>
      </c>
      <c r="AV359" s="229"/>
      <c r="AW359" s="229"/>
      <c r="AX359" s="229"/>
      <c r="AY359" s="229"/>
      <c r="AZ359" s="238">
        <v>43236</v>
      </c>
      <c r="BA359" s="1" t="s">
        <v>7691</v>
      </c>
      <c r="BB359"/>
      <c r="BC359">
        <v>6</v>
      </c>
      <c r="BD359">
        <v>1875</v>
      </c>
      <c r="BE35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59" s="240">
        <f>COUNTIFS(_05preva_view43[Site ID],_05preva_view43[[#This Row],[Site ID]],_05preva_view43[Prevalidation Status],"Under Prevalidation")</f>
        <v>0</v>
      </c>
      <c r="BG35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59" s="242" t="str">
        <f>CONCATENATE(_05preva_view43[[#This Row],[Site ID]]," (",_05preva_view43[[#This Row],[tenant id]],") Application",IF(_05preva_view43[[#This Row],[Colo Rev]]&gt;0," Rev "&amp;_05preva_view43[[#This Row],[Colo Rev]],""),".xlsx")</f>
        <v>ANMD_0118 (MAW2441) Application.xlsx</v>
      </c>
      <c r="BI359" s="64" t="e">
        <f t="shared" ca="1" si="6"/>
        <v>#VALUE!</v>
      </c>
      <c r="BJ359" s="104" t="e">
        <f ca="1">LEFT(CELL("filename",A344),_05preva_view43[[#This Row],[Find Process &amp; Database]]-1)</f>
        <v>#VALUE!</v>
      </c>
      <c r="BK359" s="104" t="e">
        <f ca="1">_05preva_view43[Folder Path1]&amp;"Process &amp; Database\Documentation\Colo Applications"</f>
        <v>#VALUE!</v>
      </c>
      <c r="BL359" s="104" t="e">
        <f ca="1">_05preva_view43[Folder Path2]&amp;"\Colo App "&amp;_05preva_view43[[#This Row],[Operator]]&amp;"\"</f>
        <v>#VALUE!</v>
      </c>
      <c r="BM359" s="63" t="e">
        <f ca="1">_05preva_view43[[#This Row],[Folder Path3]]&amp;_05preva_view43[[#This Row],[File Name]]</f>
        <v>#VALUE!</v>
      </c>
      <c r="BN359" s="104"/>
      <c r="CF359" s="5"/>
      <c r="CG359" s="5"/>
      <c r="CH359" s="3"/>
      <c r="CJ359" s="5"/>
      <c r="CN359" s="3"/>
      <c r="CO359" s="3"/>
      <c r="CP359" s="5"/>
      <c r="CR359" s="3"/>
      <c r="DN359" s="5"/>
      <c r="DP359" s="3"/>
      <c r="EB359" s="7"/>
      <c r="EC359" s="7"/>
      <c r="EF359" s="4"/>
      <c r="EG359" s="4"/>
      <c r="EQ359" s="2"/>
      <c r="ER359" s="2"/>
    </row>
    <row r="360" spans="1:148">
      <c r="A360" s="227">
        <v>176</v>
      </c>
      <c r="B360" s="228" t="s">
        <v>1830</v>
      </c>
      <c r="C360" s="228" t="s">
        <v>116</v>
      </c>
      <c r="D360" s="228" t="s">
        <v>127</v>
      </c>
      <c r="E360" s="228" t="s">
        <v>1829</v>
      </c>
      <c r="F360" s="228" t="s">
        <v>40</v>
      </c>
      <c r="G360" s="228" t="s">
        <v>118</v>
      </c>
      <c r="H360" s="228"/>
      <c r="I360" s="228" t="s">
        <v>118</v>
      </c>
      <c r="J360" s="228"/>
      <c r="K360" s="229">
        <v>43236</v>
      </c>
      <c r="L360" s="230"/>
      <c r="M360" s="230">
        <v>3</v>
      </c>
      <c r="N360" s="228"/>
      <c r="O360" s="228" t="s">
        <v>119</v>
      </c>
      <c r="P360" s="231"/>
      <c r="Q360" s="231"/>
      <c r="R360" s="228" t="s">
        <v>24</v>
      </c>
      <c r="S360" s="228"/>
      <c r="T360" s="232" t="s">
        <v>120</v>
      </c>
      <c r="U360" s="228" t="s">
        <v>319</v>
      </c>
      <c r="V360" s="232" t="s">
        <v>120</v>
      </c>
      <c r="W360" s="228"/>
      <c r="X360" s="232" t="s">
        <v>120</v>
      </c>
      <c r="Y360" s="228" t="s">
        <v>320</v>
      </c>
      <c r="Z360" s="233" t="s">
        <v>615</v>
      </c>
      <c r="AA360" s="234"/>
      <c r="AB360" s="234"/>
      <c r="AC360" s="235" t="s">
        <v>123</v>
      </c>
      <c r="AD360" s="228" t="s">
        <v>321</v>
      </c>
      <c r="AE360" s="232" t="s">
        <v>120</v>
      </c>
      <c r="AF360" s="229" t="s">
        <v>448</v>
      </c>
      <c r="AG360" s="236"/>
      <c r="AH360" s="236">
        <v>2</v>
      </c>
      <c r="AI360" s="228" t="s">
        <v>381</v>
      </c>
      <c r="AJ360" s="232" t="s">
        <v>120</v>
      </c>
      <c r="AK360" s="228" t="s">
        <v>206</v>
      </c>
      <c r="AL360" s="228" t="s">
        <v>7654</v>
      </c>
      <c r="AM360" s="232"/>
      <c r="AN360" s="228"/>
      <c r="AO360" s="228"/>
      <c r="AP360" s="237"/>
      <c r="AQ360" s="228"/>
      <c r="AR360" s="232" t="s">
        <v>120</v>
      </c>
      <c r="AS360" s="228" t="s">
        <v>7655</v>
      </c>
      <c r="AT360" s="229">
        <v>43417.622350231497</v>
      </c>
      <c r="AU360" s="229">
        <v>43417.673041087997</v>
      </c>
      <c r="AV360" s="229"/>
      <c r="AW360" s="229">
        <v>43417.729835069404</v>
      </c>
      <c r="AX360" s="229">
        <v>43417.688149884299</v>
      </c>
      <c r="AY360" s="229">
        <v>43417.684575347201</v>
      </c>
      <c r="AZ360" s="238">
        <v>43494.3880677083</v>
      </c>
      <c r="BA360" s="1" t="s">
        <v>7691</v>
      </c>
      <c r="BB360"/>
      <c r="BC360">
        <v>6</v>
      </c>
      <c r="BD360">
        <v>1889</v>
      </c>
      <c r="BE360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258.38806770829979</v>
      </c>
      <c r="BF360" s="240">
        <f>COUNTIFS(_05preva_view43[Site ID],_05preva_view43[[#This Row],[Site ID]],_05preva_view43[Prevalidation Status],"Under Prevalidation")</f>
        <v>0</v>
      </c>
      <c r="BG36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0" s="242" t="str">
        <f>CONCATENATE(_05preva_view43[[#This Row],[Site ID]]," (",_05preva_view43[[#This Row],[tenant id]],") Application",IF(_05preva_view43[[#This Row],[Colo Rev]]&gt;0," Rev "&amp;_05preva_view43[[#This Row],[Colo Rev]],""),".xlsx")</f>
        <v>ANMD_0170 (MAW2986) Application.xlsx</v>
      </c>
      <c r="BI360" s="64" t="e">
        <f t="shared" ca="1" si="6"/>
        <v>#VALUE!</v>
      </c>
      <c r="BJ360" s="104" t="e">
        <f ca="1">LEFT(CELL("filename",A345),_05preva_view43[[#This Row],[Find Process &amp; Database]]-1)</f>
        <v>#VALUE!</v>
      </c>
      <c r="BK360" s="104" t="e">
        <f ca="1">_05preva_view43[Folder Path1]&amp;"Process &amp; Database\Documentation\Colo Applications"</f>
        <v>#VALUE!</v>
      </c>
      <c r="BL360" s="104" t="e">
        <f ca="1">_05preva_view43[Folder Path2]&amp;"\Colo App "&amp;_05preva_view43[[#This Row],[Operator]]&amp;"\"</f>
        <v>#VALUE!</v>
      </c>
      <c r="BM360" s="63" t="e">
        <f ca="1">_05preva_view43[[#This Row],[Folder Path3]]&amp;_05preva_view43[[#This Row],[File Name]]</f>
        <v>#VALUE!</v>
      </c>
      <c r="BN360" s="104"/>
      <c r="CF360" s="5"/>
      <c r="CG360" s="5"/>
      <c r="CH360" s="3"/>
      <c r="CJ360" s="5"/>
      <c r="CN360" s="3"/>
      <c r="CO360" s="3"/>
      <c r="CP360" s="5"/>
      <c r="CR360" s="3"/>
      <c r="DN360" s="5"/>
      <c r="DP360" s="3"/>
      <c r="EB360" s="7"/>
      <c r="EC360" s="7"/>
      <c r="EF360" s="4"/>
      <c r="EG360" s="4"/>
      <c r="EQ360" s="2"/>
      <c r="ER360" s="2"/>
    </row>
    <row r="361" spans="1:148">
      <c r="A361" s="227">
        <v>177</v>
      </c>
      <c r="B361" s="228" t="s">
        <v>449</v>
      </c>
      <c r="C361" s="228" t="s">
        <v>116</v>
      </c>
      <c r="D361" s="228" t="s">
        <v>127</v>
      </c>
      <c r="E361" s="228" t="s">
        <v>450</v>
      </c>
      <c r="F361" s="228" t="s">
        <v>40</v>
      </c>
      <c r="G361" s="228" t="s">
        <v>118</v>
      </c>
      <c r="H361" s="228"/>
      <c r="I361" s="228" t="s">
        <v>118</v>
      </c>
      <c r="J361" s="228"/>
      <c r="K361" s="229">
        <v>43236</v>
      </c>
      <c r="L361" s="230"/>
      <c r="M361" s="230">
        <v>3</v>
      </c>
      <c r="N361" s="228"/>
      <c r="O361" s="228" t="s">
        <v>119</v>
      </c>
      <c r="P361" s="231"/>
      <c r="Q361" s="231"/>
      <c r="R361" s="228" t="s">
        <v>24</v>
      </c>
      <c r="S361" s="228"/>
      <c r="T361" s="232" t="s">
        <v>120</v>
      </c>
      <c r="U361" s="228" t="s">
        <v>301</v>
      </c>
      <c r="V361" s="232" t="s">
        <v>120</v>
      </c>
      <c r="W361" s="228"/>
      <c r="X361" s="232" t="s">
        <v>120</v>
      </c>
      <c r="Y361" s="228" t="s">
        <v>120</v>
      </c>
      <c r="Z361" s="233" t="s">
        <v>120</v>
      </c>
      <c r="AA361" s="234"/>
      <c r="AB361" s="234"/>
      <c r="AC361" s="235"/>
      <c r="AD361" s="228" t="s">
        <v>120</v>
      </c>
      <c r="AE361" s="232" t="s">
        <v>120</v>
      </c>
      <c r="AF361" s="229" t="s">
        <v>120</v>
      </c>
      <c r="AG361" s="236"/>
      <c r="AH361" s="236">
        <v>2</v>
      </c>
      <c r="AI361" s="228" t="s">
        <v>305</v>
      </c>
      <c r="AJ361" s="232" t="s">
        <v>120</v>
      </c>
      <c r="AK361" s="228" t="s">
        <v>123</v>
      </c>
      <c r="AL361" s="228"/>
      <c r="AM361" s="232"/>
      <c r="AN361" s="228"/>
      <c r="AO361" s="228"/>
      <c r="AP361" s="237"/>
      <c r="AQ361" s="228"/>
      <c r="AR361" s="232"/>
      <c r="AS361" s="228"/>
      <c r="AT361" s="229"/>
      <c r="AU361" s="229">
        <v>43453.379044212998</v>
      </c>
      <c r="AV361" s="229"/>
      <c r="AW361" s="229"/>
      <c r="AX361" s="229"/>
      <c r="AY361" s="229"/>
      <c r="AZ361" s="238">
        <v>43236</v>
      </c>
      <c r="BA361" s="1" t="s">
        <v>7684</v>
      </c>
      <c r="BB361"/>
      <c r="BC361">
        <v>60</v>
      </c>
      <c r="BD361">
        <v>824</v>
      </c>
      <c r="BE36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61" s="240">
        <f>COUNTIFS(_05preva_view43[Site ID],_05preva_view43[[#This Row],[Site ID]],_05preva_view43[Prevalidation Status],"Under Prevalidation")</f>
        <v>0</v>
      </c>
      <c r="BG36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1" s="242" t="str">
        <f>CONCATENATE(_05preva_view43[[#This Row],[Site ID]]," (",_05preva_view43[[#This Row],[tenant id]],") Application",IF(_05preva_view43[[#This Row],[Colo Rev]]&gt;0," Rev "&amp;_05preva_view43[[#This Row],[Colo Rev]],""),".xlsx")</f>
        <v>ANMD_0266 (MAW2985) Application.xlsx</v>
      </c>
      <c r="BI361" s="64" t="e">
        <f t="shared" ca="1" si="6"/>
        <v>#VALUE!</v>
      </c>
      <c r="BJ361" s="104" t="e">
        <f ca="1">LEFT(CELL("filename",A346),_05preva_view43[[#This Row],[Find Process &amp; Database]]-1)</f>
        <v>#VALUE!</v>
      </c>
      <c r="BK361" s="104" t="e">
        <f ca="1">_05preva_view43[Folder Path1]&amp;"Process &amp; Database\Documentation\Colo Applications"</f>
        <v>#VALUE!</v>
      </c>
      <c r="BL361" s="104" t="e">
        <f ca="1">_05preva_view43[Folder Path2]&amp;"\Colo App "&amp;_05preva_view43[[#This Row],[Operator]]&amp;"\"</f>
        <v>#VALUE!</v>
      </c>
      <c r="BM361" s="63" t="e">
        <f ca="1">_05preva_view43[[#This Row],[Folder Path3]]&amp;_05preva_view43[[#This Row],[File Name]]</f>
        <v>#VALUE!</v>
      </c>
      <c r="BN361" s="104"/>
      <c r="CF361" s="5"/>
      <c r="CG361" s="5"/>
      <c r="CH361" s="3"/>
      <c r="CJ361" s="5"/>
      <c r="CN361" s="3"/>
      <c r="CO361" s="3"/>
      <c r="CP361" s="5"/>
      <c r="CR361" s="3"/>
      <c r="DN361" s="5"/>
      <c r="DP361" s="3"/>
      <c r="EB361" s="7"/>
      <c r="EC361" s="7"/>
      <c r="EF361" s="4"/>
      <c r="EG361" s="4"/>
      <c r="EQ361" s="2"/>
      <c r="ER361" s="2"/>
    </row>
    <row r="362" spans="1:148">
      <c r="A362" s="227">
        <v>178</v>
      </c>
      <c r="B362" s="228" t="s">
        <v>451</v>
      </c>
      <c r="C362" s="228" t="s">
        <v>116</v>
      </c>
      <c r="D362" s="228" t="s">
        <v>127</v>
      </c>
      <c r="E362" s="228" t="s">
        <v>452</v>
      </c>
      <c r="F362" s="228" t="s">
        <v>40</v>
      </c>
      <c r="G362" s="228" t="s">
        <v>118</v>
      </c>
      <c r="H362" s="228"/>
      <c r="I362" s="228" t="s">
        <v>118</v>
      </c>
      <c r="J362" s="228"/>
      <c r="K362" s="229">
        <v>43236</v>
      </c>
      <c r="L362" s="230"/>
      <c r="M362" s="230">
        <v>3</v>
      </c>
      <c r="N362" s="228"/>
      <c r="O362" s="228" t="s">
        <v>119</v>
      </c>
      <c r="P362" s="231"/>
      <c r="Q362" s="231"/>
      <c r="R362" s="228" t="s">
        <v>24</v>
      </c>
      <c r="S362" s="228"/>
      <c r="T362" s="232" t="s">
        <v>120</v>
      </c>
      <c r="U362" s="228" t="s">
        <v>301</v>
      </c>
      <c r="V362" s="232" t="s">
        <v>120</v>
      </c>
      <c r="W362" s="228"/>
      <c r="X362" s="232" t="s">
        <v>120</v>
      </c>
      <c r="Y362" s="228" t="s">
        <v>400</v>
      </c>
      <c r="Z362" s="233" t="s">
        <v>120</v>
      </c>
      <c r="AA362" s="234"/>
      <c r="AB362" s="234"/>
      <c r="AC362" s="235"/>
      <c r="AD362" s="228" t="s">
        <v>120</v>
      </c>
      <c r="AE362" s="232" t="s">
        <v>125</v>
      </c>
      <c r="AF362" s="229"/>
      <c r="AG362" s="236"/>
      <c r="AH362" s="236"/>
      <c r="AI362" s="228" t="s">
        <v>453</v>
      </c>
      <c r="AJ362" s="232" t="s">
        <v>120</v>
      </c>
      <c r="AK362" s="228" t="s">
        <v>123</v>
      </c>
      <c r="AL362" s="228"/>
      <c r="AM362" s="232"/>
      <c r="AN362" s="228"/>
      <c r="AO362" s="228"/>
      <c r="AP362" s="237"/>
      <c r="AQ362" s="228"/>
      <c r="AR362" s="232"/>
      <c r="AS362" s="228"/>
      <c r="AT362" s="229"/>
      <c r="AU362" s="229"/>
      <c r="AV362" s="229"/>
      <c r="AW362" s="229"/>
      <c r="AX362" s="229"/>
      <c r="AY362" s="229"/>
      <c r="AZ362" s="238">
        <v>43236</v>
      </c>
      <c r="BA362" s="1" t="s">
        <v>7684</v>
      </c>
      <c r="BB362"/>
      <c r="BC362">
        <v>35</v>
      </c>
      <c r="BD362">
        <v>1897</v>
      </c>
      <c r="BE36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62" s="240">
        <f>COUNTIFS(_05preva_view43[Site ID],_05preva_view43[[#This Row],[Site ID]],_05preva_view43[Prevalidation Status],"Under Prevalidation")</f>
        <v>0</v>
      </c>
      <c r="BG36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2" s="242" t="str">
        <f>CONCATENATE(_05preva_view43[[#This Row],[Site ID]]," (",_05preva_view43[[#This Row],[tenant id]],") Application",IF(_05preva_view43[[#This Row],[Colo Rev]]&gt;0," Rev "&amp;_05preva_view43[[#This Row],[Colo Rev]],""),".xlsx")</f>
        <v>ANMD_0167 (MAW2984) Application.xlsx</v>
      </c>
      <c r="BI362" s="64" t="e">
        <f t="shared" ca="1" si="6"/>
        <v>#VALUE!</v>
      </c>
      <c r="BJ362" s="104" t="e">
        <f ca="1">LEFT(CELL("filename",A347),_05preva_view43[[#This Row],[Find Process &amp; Database]]-1)</f>
        <v>#VALUE!</v>
      </c>
      <c r="BK362" s="104" t="e">
        <f ca="1">_05preva_view43[Folder Path1]&amp;"Process &amp; Database\Documentation\Colo Applications"</f>
        <v>#VALUE!</v>
      </c>
      <c r="BL362" s="104" t="e">
        <f ca="1">_05preva_view43[Folder Path2]&amp;"\Colo App "&amp;_05preva_view43[[#This Row],[Operator]]&amp;"\"</f>
        <v>#VALUE!</v>
      </c>
      <c r="BM362" s="63" t="e">
        <f ca="1">_05preva_view43[[#This Row],[Folder Path3]]&amp;_05preva_view43[[#This Row],[File Name]]</f>
        <v>#VALUE!</v>
      </c>
      <c r="BN362" s="104"/>
      <c r="CF362" s="5"/>
      <c r="CG362" s="5"/>
      <c r="CH362" s="3"/>
      <c r="CJ362" s="5"/>
      <c r="CN362" s="3"/>
      <c r="CO362" s="3"/>
      <c r="CP362" s="5"/>
      <c r="CR362" s="3"/>
      <c r="DN362" s="5"/>
      <c r="DP362" s="3"/>
      <c r="EB362" s="7"/>
      <c r="EC362" s="7"/>
      <c r="EF362" s="4"/>
      <c r="EG362" s="4"/>
      <c r="EQ362" s="2"/>
      <c r="ER362" s="2"/>
    </row>
    <row r="363" spans="1:148">
      <c r="A363" s="227">
        <v>180</v>
      </c>
      <c r="B363" s="228" t="s">
        <v>454</v>
      </c>
      <c r="C363" s="228" t="s">
        <v>116</v>
      </c>
      <c r="D363" s="228" t="s">
        <v>117</v>
      </c>
      <c r="E363" s="228" t="s">
        <v>455</v>
      </c>
      <c r="F363" s="228" t="s">
        <v>40</v>
      </c>
      <c r="G363" s="228" t="s">
        <v>118</v>
      </c>
      <c r="H363" s="228"/>
      <c r="I363" s="228" t="s">
        <v>118</v>
      </c>
      <c r="J363" s="228"/>
      <c r="K363" s="229">
        <v>43236</v>
      </c>
      <c r="L363" s="230"/>
      <c r="M363" s="230">
        <v>3</v>
      </c>
      <c r="N363" s="228"/>
      <c r="O363" s="228" t="s">
        <v>119</v>
      </c>
      <c r="P363" s="231"/>
      <c r="Q363" s="231"/>
      <c r="R363" s="228" t="s">
        <v>24</v>
      </c>
      <c r="S363" s="228"/>
      <c r="T363" s="232" t="s">
        <v>120</v>
      </c>
      <c r="U363" s="228" t="s">
        <v>301</v>
      </c>
      <c r="V363" s="232" t="s">
        <v>120</v>
      </c>
      <c r="W363" s="228"/>
      <c r="X363" s="232" t="s">
        <v>120</v>
      </c>
      <c r="Y363" s="228" t="s">
        <v>120</v>
      </c>
      <c r="Z363" s="233" t="s">
        <v>120</v>
      </c>
      <c r="AA363" s="234"/>
      <c r="AB363" s="234"/>
      <c r="AC363" s="235"/>
      <c r="AD363" s="228" t="s">
        <v>120</v>
      </c>
      <c r="AE363" s="232" t="s">
        <v>120</v>
      </c>
      <c r="AF363" s="229" t="s">
        <v>358</v>
      </c>
      <c r="AG363" s="236"/>
      <c r="AH363" s="236">
        <v>3.5</v>
      </c>
      <c r="AI363" s="228" t="s">
        <v>211</v>
      </c>
      <c r="AJ363" s="232" t="s">
        <v>120</v>
      </c>
      <c r="AK363" s="228" t="s">
        <v>123</v>
      </c>
      <c r="AL363" s="228"/>
      <c r="AM363" s="232"/>
      <c r="AN363" s="228"/>
      <c r="AO363" s="228"/>
      <c r="AP363" s="237"/>
      <c r="AQ363" s="228"/>
      <c r="AR363" s="232"/>
      <c r="AS363" s="228"/>
      <c r="AT363" s="229"/>
      <c r="AU363" s="229">
        <v>43453.379046643502</v>
      </c>
      <c r="AV363" s="229"/>
      <c r="AW363" s="229"/>
      <c r="AX363" s="229"/>
      <c r="AY363" s="229"/>
      <c r="AZ363" s="238">
        <v>43236</v>
      </c>
      <c r="BA363" s="1" t="s">
        <v>7684</v>
      </c>
      <c r="BB363"/>
      <c r="BC363">
        <v>50</v>
      </c>
      <c r="BD363">
        <v>643</v>
      </c>
      <c r="BE36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63" s="240">
        <f>COUNTIFS(_05preva_view43[Site ID],_05preva_view43[[#This Row],[Site ID]],_05preva_view43[Prevalidation Status],"Under Prevalidation")</f>
        <v>0</v>
      </c>
      <c r="BG36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3" s="242" t="str">
        <f>CONCATENATE(_05preva_view43[[#This Row],[Site ID]]," (",_05preva_view43[[#This Row],[tenant id]],") Application",IF(_05preva_view43[[#This Row],[Colo Rev]]&gt;0," Rev "&amp;_05preva_view43[[#This Row],[Colo Rev]],""),".xlsx")</f>
        <v>ANMG_0173 (MWW3508) Application.xlsx</v>
      </c>
      <c r="BI363" s="64" t="e">
        <f t="shared" ca="1" si="6"/>
        <v>#VALUE!</v>
      </c>
      <c r="BJ363" s="104" t="e">
        <f ca="1">LEFT(CELL("filename",A348),_05preva_view43[[#This Row],[Find Process &amp; Database]]-1)</f>
        <v>#VALUE!</v>
      </c>
      <c r="BK363" s="104" t="e">
        <f ca="1">_05preva_view43[Folder Path1]&amp;"Process &amp; Database\Documentation\Colo Applications"</f>
        <v>#VALUE!</v>
      </c>
      <c r="BL363" s="104" t="e">
        <f ca="1">_05preva_view43[Folder Path2]&amp;"\Colo App "&amp;_05preva_view43[[#This Row],[Operator]]&amp;"\"</f>
        <v>#VALUE!</v>
      </c>
      <c r="BM363" s="63" t="e">
        <f ca="1">_05preva_view43[[#This Row],[Folder Path3]]&amp;_05preva_view43[[#This Row],[File Name]]</f>
        <v>#VALUE!</v>
      </c>
      <c r="BN363" s="104"/>
      <c r="CF363" s="5"/>
      <c r="CG363" s="5"/>
      <c r="CH363" s="3"/>
      <c r="CJ363" s="5"/>
      <c r="CN363" s="3"/>
      <c r="CO363" s="3"/>
      <c r="CP363" s="5"/>
      <c r="CR363" s="3"/>
      <c r="DN363" s="5"/>
      <c r="DP363" s="3"/>
      <c r="EB363" s="7"/>
      <c r="EC363" s="7"/>
      <c r="EF363" s="4"/>
      <c r="EG363" s="4"/>
      <c r="EQ363" s="2"/>
      <c r="ER363" s="2"/>
    </row>
    <row r="364" spans="1:148">
      <c r="A364" s="227">
        <v>181</v>
      </c>
      <c r="B364" s="228" t="s">
        <v>456</v>
      </c>
      <c r="C364" s="228" t="s">
        <v>116</v>
      </c>
      <c r="D364" s="228" t="s">
        <v>127</v>
      </c>
      <c r="E364" s="228" t="s">
        <v>457</v>
      </c>
      <c r="F364" s="228" t="s">
        <v>40</v>
      </c>
      <c r="G364" s="228" t="s">
        <v>118</v>
      </c>
      <c r="H364" s="228"/>
      <c r="I364" s="228" t="s">
        <v>118</v>
      </c>
      <c r="J364" s="228"/>
      <c r="K364" s="229">
        <v>43236</v>
      </c>
      <c r="L364" s="230"/>
      <c r="M364" s="230">
        <v>3</v>
      </c>
      <c r="N364" s="228"/>
      <c r="O364" s="228" t="s">
        <v>119</v>
      </c>
      <c r="P364" s="231"/>
      <c r="Q364" s="231"/>
      <c r="R364" s="228" t="s">
        <v>24</v>
      </c>
      <c r="S364" s="228"/>
      <c r="T364" s="232" t="s">
        <v>120</v>
      </c>
      <c r="U364" s="228" t="s">
        <v>301</v>
      </c>
      <c r="V364" s="232" t="s">
        <v>120</v>
      </c>
      <c r="W364" s="228"/>
      <c r="X364" s="232" t="s">
        <v>120</v>
      </c>
      <c r="Y364" s="228" t="s">
        <v>120</v>
      </c>
      <c r="Z364" s="233" t="s">
        <v>120</v>
      </c>
      <c r="AA364" s="234"/>
      <c r="AB364" s="234"/>
      <c r="AC364" s="235"/>
      <c r="AD364" s="228" t="s">
        <v>120</v>
      </c>
      <c r="AE364" s="232" t="s">
        <v>120</v>
      </c>
      <c r="AF364" s="229" t="s">
        <v>120</v>
      </c>
      <c r="AG364" s="236"/>
      <c r="AH364" s="236">
        <v>2</v>
      </c>
      <c r="AI364" s="228" t="s">
        <v>458</v>
      </c>
      <c r="AJ364" s="232" t="s">
        <v>120</v>
      </c>
      <c r="AK364" s="228" t="s">
        <v>123</v>
      </c>
      <c r="AL364" s="228"/>
      <c r="AM364" s="232"/>
      <c r="AN364" s="228"/>
      <c r="AO364" s="228"/>
      <c r="AP364" s="237"/>
      <c r="AQ364" s="228"/>
      <c r="AR364" s="232"/>
      <c r="AS364" s="228"/>
      <c r="AT364" s="229"/>
      <c r="AU364" s="229">
        <v>43453.379047338</v>
      </c>
      <c r="AV364" s="229"/>
      <c r="AW364" s="229"/>
      <c r="AX364" s="229"/>
      <c r="AY364" s="229"/>
      <c r="AZ364" s="238">
        <v>43236</v>
      </c>
      <c r="BA364" s="1" t="s">
        <v>7684</v>
      </c>
      <c r="BB364"/>
      <c r="BC364">
        <v>40</v>
      </c>
      <c r="BD364">
        <v>1949</v>
      </c>
      <c r="BE36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64" s="240">
        <f>COUNTIFS(_05preva_view43[Site ID],_05preva_view43[[#This Row],[Site ID]],_05preva_view43[Prevalidation Status],"Under Prevalidation")</f>
        <v>0</v>
      </c>
      <c r="BG36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4" s="242" t="str">
        <f>CONCATENATE(_05preva_view43[[#This Row],[Site ID]]," (",_05preva_view43[[#This Row],[tenant id]],") Application",IF(_05preva_view43[[#This Row],[Colo Rev]]&gt;0," Rev "&amp;_05preva_view43[[#This Row],[Colo Rev]],""),".xlsx")</f>
        <v>ANSH_0086 (SHW1908) Application.xlsx</v>
      </c>
      <c r="BI364" s="64" t="e">
        <f t="shared" ca="1" si="6"/>
        <v>#VALUE!</v>
      </c>
      <c r="BJ364" s="104" t="e">
        <f ca="1">LEFT(CELL("filename",A349),_05preva_view43[[#This Row],[Find Process &amp; Database]]-1)</f>
        <v>#VALUE!</v>
      </c>
      <c r="BK364" s="104" t="e">
        <f ca="1">_05preva_view43[Folder Path1]&amp;"Process &amp; Database\Documentation\Colo Applications"</f>
        <v>#VALUE!</v>
      </c>
      <c r="BL364" s="104" t="e">
        <f ca="1">_05preva_view43[Folder Path2]&amp;"\Colo App "&amp;_05preva_view43[[#This Row],[Operator]]&amp;"\"</f>
        <v>#VALUE!</v>
      </c>
      <c r="BM364" s="63" t="e">
        <f ca="1">_05preva_view43[[#This Row],[Folder Path3]]&amp;_05preva_view43[[#This Row],[File Name]]</f>
        <v>#VALUE!</v>
      </c>
      <c r="BN364" s="104"/>
      <c r="CF364" s="5"/>
      <c r="CG364" s="5"/>
      <c r="CH364" s="3"/>
      <c r="CJ364" s="5"/>
      <c r="CN364" s="3"/>
      <c r="CO364" s="3"/>
      <c r="CP364" s="5"/>
      <c r="CR364" s="3"/>
      <c r="DN364" s="5"/>
      <c r="DP364" s="3"/>
      <c r="EB364" s="7"/>
      <c r="EC364" s="7"/>
      <c r="EF364" s="4"/>
      <c r="EG364" s="4"/>
      <c r="EQ364" s="2"/>
      <c r="ER364" s="2"/>
    </row>
    <row r="365" spans="1:148">
      <c r="A365" s="227">
        <v>182</v>
      </c>
      <c r="B365" s="228" t="s">
        <v>459</v>
      </c>
      <c r="C365" s="228" t="s">
        <v>116</v>
      </c>
      <c r="D365" s="228" t="s">
        <v>127</v>
      </c>
      <c r="E365" s="228" t="s">
        <v>460</v>
      </c>
      <c r="F365" s="228" t="s">
        <v>40</v>
      </c>
      <c r="G365" s="228" t="s">
        <v>118</v>
      </c>
      <c r="H365" s="228"/>
      <c r="I365" s="228" t="s">
        <v>118</v>
      </c>
      <c r="J365" s="228"/>
      <c r="K365" s="229">
        <v>43236</v>
      </c>
      <c r="L365" s="230"/>
      <c r="M365" s="230">
        <v>3</v>
      </c>
      <c r="N365" s="228"/>
      <c r="O365" s="228" t="s">
        <v>119</v>
      </c>
      <c r="P365" s="231"/>
      <c r="Q365" s="231"/>
      <c r="R365" s="228" t="s">
        <v>24</v>
      </c>
      <c r="S365" s="228"/>
      <c r="T365" s="232" t="s">
        <v>120</v>
      </c>
      <c r="U365" s="228" t="s">
        <v>301</v>
      </c>
      <c r="V365" s="232" t="s">
        <v>120</v>
      </c>
      <c r="W365" s="228"/>
      <c r="X365" s="232" t="s">
        <v>120</v>
      </c>
      <c r="Y365" s="228" t="s">
        <v>120</v>
      </c>
      <c r="Z365" s="233" t="s">
        <v>120</v>
      </c>
      <c r="AA365" s="234"/>
      <c r="AB365" s="234"/>
      <c r="AC365" s="235"/>
      <c r="AD365" s="228" t="s">
        <v>331</v>
      </c>
      <c r="AE365" s="232" t="s">
        <v>120</v>
      </c>
      <c r="AF365" s="229" t="s">
        <v>120</v>
      </c>
      <c r="AG365" s="236"/>
      <c r="AH365" s="236">
        <v>2</v>
      </c>
      <c r="AI365" s="228" t="s">
        <v>305</v>
      </c>
      <c r="AJ365" s="232" t="s">
        <v>120</v>
      </c>
      <c r="AK365" s="228" t="s">
        <v>123</v>
      </c>
      <c r="AL365" s="228"/>
      <c r="AM365" s="232"/>
      <c r="AN365" s="228"/>
      <c r="AO365" s="228"/>
      <c r="AP365" s="237"/>
      <c r="AQ365" s="228"/>
      <c r="AR365" s="232"/>
      <c r="AS365" s="228"/>
      <c r="AT365" s="229"/>
      <c r="AU365" s="229">
        <v>43453.379048148097</v>
      </c>
      <c r="AV365" s="229"/>
      <c r="AW365" s="229"/>
      <c r="AX365" s="229"/>
      <c r="AY365" s="229"/>
      <c r="AZ365" s="238">
        <v>43236</v>
      </c>
      <c r="BA365" s="1" t="s">
        <v>7684</v>
      </c>
      <c r="BB365"/>
      <c r="BC365">
        <v>35</v>
      </c>
      <c r="BD365">
        <v>1347</v>
      </c>
      <c r="BE36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65" s="240">
        <f>COUNTIFS(_05preva_view43[Site ID],_05preva_view43[[#This Row],[Site ID]],_05preva_view43[Prevalidation Status],"Under Prevalidation")</f>
        <v>0</v>
      </c>
      <c r="BG36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5" s="242" t="str">
        <f>CONCATENATE(_05preva_view43[[#This Row],[Site ID]]," (",_05preva_view43[[#This Row],[tenant id]],") Application",IF(_05preva_view43[[#This Row],[Colo Rev]]&gt;0," Rev "&amp;_05preva_view43[[#This Row],[Colo Rev]],""),".xlsx")</f>
        <v>ANSG_0379 (SAW0726) Application.xlsx</v>
      </c>
      <c r="BI365" s="64" t="e">
        <f t="shared" ca="1" si="6"/>
        <v>#VALUE!</v>
      </c>
      <c r="BJ365" s="104" t="e">
        <f ca="1">LEFT(CELL("filename",A350),_05preva_view43[[#This Row],[Find Process &amp; Database]]-1)</f>
        <v>#VALUE!</v>
      </c>
      <c r="BK365" s="104" t="e">
        <f ca="1">_05preva_view43[Folder Path1]&amp;"Process &amp; Database\Documentation\Colo Applications"</f>
        <v>#VALUE!</v>
      </c>
      <c r="BL365" s="104" t="e">
        <f ca="1">_05preva_view43[Folder Path2]&amp;"\Colo App "&amp;_05preva_view43[[#This Row],[Operator]]&amp;"\"</f>
        <v>#VALUE!</v>
      </c>
      <c r="BM365" s="63" t="e">
        <f ca="1">_05preva_view43[[#This Row],[Folder Path3]]&amp;_05preva_view43[[#This Row],[File Name]]</f>
        <v>#VALUE!</v>
      </c>
      <c r="BN365" s="104"/>
      <c r="CF365" s="5"/>
      <c r="CG365" s="5"/>
      <c r="CH365" s="3"/>
      <c r="CJ365" s="5"/>
      <c r="CN365" s="3"/>
      <c r="CO365" s="3"/>
      <c r="CP365" s="5"/>
      <c r="CR365" s="3"/>
      <c r="DN365" s="5"/>
      <c r="DP365" s="3"/>
      <c r="EB365" s="7"/>
      <c r="EC365" s="7"/>
      <c r="EF365" s="4"/>
      <c r="EG365" s="4"/>
      <c r="EQ365" s="2"/>
      <c r="ER365" s="2"/>
    </row>
    <row r="366" spans="1:148">
      <c r="A366" s="227">
        <v>184</v>
      </c>
      <c r="B366" s="228" t="s">
        <v>461</v>
      </c>
      <c r="C366" s="228" t="s">
        <v>116</v>
      </c>
      <c r="D366" s="228" t="s">
        <v>127</v>
      </c>
      <c r="E366" s="228" t="s">
        <v>462</v>
      </c>
      <c r="F366" s="228" t="s">
        <v>40</v>
      </c>
      <c r="G366" s="228" t="s">
        <v>118</v>
      </c>
      <c r="H366" s="228"/>
      <c r="I366" s="228" t="s">
        <v>118</v>
      </c>
      <c r="J366" s="228"/>
      <c r="K366" s="229">
        <v>43236</v>
      </c>
      <c r="L366" s="230"/>
      <c r="M366" s="230">
        <v>3</v>
      </c>
      <c r="N366" s="228"/>
      <c r="O366" s="228" t="s">
        <v>119</v>
      </c>
      <c r="P366" s="231"/>
      <c r="Q366" s="231"/>
      <c r="R366" s="228" t="s">
        <v>24</v>
      </c>
      <c r="S366" s="228"/>
      <c r="T366" s="232" t="s">
        <v>120</v>
      </c>
      <c r="U366" s="228" t="s">
        <v>301</v>
      </c>
      <c r="V366" s="232" t="s">
        <v>120</v>
      </c>
      <c r="W366" s="228"/>
      <c r="X366" s="232" t="s">
        <v>120</v>
      </c>
      <c r="Y366" s="228" t="s">
        <v>400</v>
      </c>
      <c r="Z366" s="233" t="s">
        <v>120</v>
      </c>
      <c r="AA366" s="234"/>
      <c r="AB366" s="234"/>
      <c r="AC366" s="235"/>
      <c r="AD366" s="228" t="s">
        <v>120</v>
      </c>
      <c r="AE366" s="232" t="s">
        <v>120</v>
      </c>
      <c r="AF366" s="229" t="s">
        <v>120</v>
      </c>
      <c r="AG366" s="236"/>
      <c r="AH366" s="236">
        <v>2</v>
      </c>
      <c r="AI366" s="228" t="s">
        <v>305</v>
      </c>
      <c r="AJ366" s="232" t="s">
        <v>120</v>
      </c>
      <c r="AK366" s="228" t="s">
        <v>123</v>
      </c>
      <c r="AL366" s="228"/>
      <c r="AM366" s="232"/>
      <c r="AN366" s="228"/>
      <c r="AO366" s="228"/>
      <c r="AP366" s="237"/>
      <c r="AQ366" s="228"/>
      <c r="AR366" s="232"/>
      <c r="AS366" s="228"/>
      <c r="AT366" s="229"/>
      <c r="AU366" s="229">
        <v>43453.3790493056</v>
      </c>
      <c r="AV366" s="229"/>
      <c r="AW366" s="229"/>
      <c r="AX366" s="229"/>
      <c r="AY366" s="229"/>
      <c r="AZ366" s="238">
        <v>43236</v>
      </c>
      <c r="BA366" s="1" t="s">
        <v>7684</v>
      </c>
      <c r="BB366"/>
      <c r="BC366">
        <v>45</v>
      </c>
      <c r="BD366">
        <v>1533</v>
      </c>
      <c r="BE36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66" s="240">
        <f>COUNTIFS(_05preva_view43[Site ID],_05preva_view43[[#This Row],[Site ID]],_05preva_view43[Prevalidation Status],"Under Prevalidation")</f>
        <v>0</v>
      </c>
      <c r="BG36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6" s="242" t="str">
        <f>CONCATENATE(_05preva_view43[[#This Row],[Site ID]]," (",_05preva_view43[[#This Row],[tenant id]],") Application",IF(_05preva_view43[[#This Row],[Colo Rev]]&gt;0," Rev "&amp;_05preva_view43[[#This Row],[Colo Rev]],""),".xlsx")</f>
        <v>ANSG_0347 (SAW0717) Application.xlsx</v>
      </c>
      <c r="BI366" s="64" t="e">
        <f t="shared" ca="1" si="6"/>
        <v>#VALUE!</v>
      </c>
      <c r="BJ366" s="104" t="e">
        <f ca="1">LEFT(CELL("filename",A351),_05preva_view43[[#This Row],[Find Process &amp; Database]]-1)</f>
        <v>#VALUE!</v>
      </c>
      <c r="BK366" s="104" t="e">
        <f ca="1">_05preva_view43[Folder Path1]&amp;"Process &amp; Database\Documentation\Colo Applications"</f>
        <v>#VALUE!</v>
      </c>
      <c r="BL366" s="104" t="e">
        <f ca="1">_05preva_view43[Folder Path2]&amp;"\Colo App "&amp;_05preva_view43[[#This Row],[Operator]]&amp;"\"</f>
        <v>#VALUE!</v>
      </c>
      <c r="BM366" s="63" t="e">
        <f ca="1">_05preva_view43[[#This Row],[Folder Path3]]&amp;_05preva_view43[[#This Row],[File Name]]</f>
        <v>#VALUE!</v>
      </c>
      <c r="BN366" s="104"/>
      <c r="CF366" s="5"/>
      <c r="CG366" s="5"/>
      <c r="CH366" s="3"/>
      <c r="CJ366" s="5"/>
      <c r="CN366" s="3"/>
      <c r="CO366" s="3"/>
      <c r="CP366" s="5"/>
      <c r="CR366" s="3"/>
      <c r="DN366" s="5"/>
      <c r="DP366" s="3"/>
      <c r="EB366" s="7"/>
      <c r="EC366" s="7"/>
      <c r="EF366" s="4"/>
      <c r="EG366" s="4"/>
      <c r="EQ366" s="2"/>
      <c r="ER366" s="2"/>
    </row>
    <row r="367" spans="1:148">
      <c r="A367" s="227">
        <v>191</v>
      </c>
      <c r="B367" s="228" t="s">
        <v>244</v>
      </c>
      <c r="C367" s="228" t="s">
        <v>116</v>
      </c>
      <c r="D367" s="228" t="s">
        <v>127</v>
      </c>
      <c r="E367" s="228" t="s">
        <v>464</v>
      </c>
      <c r="F367" s="228" t="s">
        <v>40</v>
      </c>
      <c r="G367" s="228" t="s">
        <v>118</v>
      </c>
      <c r="H367" s="228"/>
      <c r="I367" s="228" t="s">
        <v>118</v>
      </c>
      <c r="J367" s="228"/>
      <c r="K367" s="229">
        <v>43236</v>
      </c>
      <c r="L367" s="230"/>
      <c r="M367" s="230">
        <v>3</v>
      </c>
      <c r="N367" s="228"/>
      <c r="O367" s="228" t="s">
        <v>119</v>
      </c>
      <c r="P367" s="231"/>
      <c r="Q367" s="231"/>
      <c r="R367" s="228" t="s">
        <v>24</v>
      </c>
      <c r="S367" s="228"/>
      <c r="T367" s="232" t="s">
        <v>120</v>
      </c>
      <c r="U367" s="228" t="s">
        <v>301</v>
      </c>
      <c r="V367" s="232" t="s">
        <v>120</v>
      </c>
      <c r="W367" s="228"/>
      <c r="X367" s="232" t="s">
        <v>120</v>
      </c>
      <c r="Y367" s="228" t="s">
        <v>465</v>
      </c>
      <c r="Z367" s="233" t="s">
        <v>120</v>
      </c>
      <c r="AA367" s="234"/>
      <c r="AB367" s="234"/>
      <c r="AC367" s="235"/>
      <c r="AD367" s="228" t="s">
        <v>120</v>
      </c>
      <c r="AE367" s="232" t="s">
        <v>120</v>
      </c>
      <c r="AF367" s="229" t="s">
        <v>120</v>
      </c>
      <c r="AG367" s="236"/>
      <c r="AH367" s="236">
        <v>2</v>
      </c>
      <c r="AI367" s="228" t="s">
        <v>466</v>
      </c>
      <c r="AJ367" s="232" t="s">
        <v>120</v>
      </c>
      <c r="AK367" s="228" t="s">
        <v>123</v>
      </c>
      <c r="AL367" s="228"/>
      <c r="AM367" s="232"/>
      <c r="AN367" s="228"/>
      <c r="AO367" s="228"/>
      <c r="AP367" s="237"/>
      <c r="AQ367" s="228"/>
      <c r="AR367" s="232"/>
      <c r="AS367" s="228"/>
      <c r="AT367" s="229"/>
      <c r="AU367" s="229">
        <v>43453.379052777796</v>
      </c>
      <c r="AV367" s="229"/>
      <c r="AW367" s="229"/>
      <c r="AX367" s="229"/>
      <c r="AY367" s="229"/>
      <c r="AZ367" s="238">
        <v>43236</v>
      </c>
      <c r="BA367" s="1" t="s">
        <v>7684</v>
      </c>
      <c r="BB367"/>
      <c r="BC367">
        <v>45</v>
      </c>
      <c r="BD367">
        <v>1895</v>
      </c>
      <c r="BE36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67" s="240">
        <f>COUNTIFS(_05preva_view43[Site ID],_05preva_view43[[#This Row],[Site ID]],_05preva_view43[Prevalidation Status],"Under Prevalidation")</f>
        <v>0</v>
      </c>
      <c r="BG36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7" s="242" t="str">
        <f>CONCATENATE(_05preva_view43[[#This Row],[Site ID]]," (",_05preva_view43[[#This Row],[tenant id]],") Application",IF(_05preva_view43[[#This Row],[Colo Rev]]&gt;0," Rev "&amp;_05preva_view43[[#This Row],[Colo Rev]],""),".xlsx")</f>
        <v>ANMD_0073 (MAW2959) Application.xlsx</v>
      </c>
      <c r="BI367" s="64" t="e">
        <f t="shared" ca="1" si="6"/>
        <v>#VALUE!</v>
      </c>
      <c r="BJ367" s="104" t="e">
        <f ca="1">LEFT(CELL("filename",A352),_05preva_view43[[#This Row],[Find Process &amp; Database]]-1)</f>
        <v>#VALUE!</v>
      </c>
      <c r="BK367" s="104" t="e">
        <f ca="1">_05preva_view43[Folder Path1]&amp;"Process &amp; Database\Documentation\Colo Applications"</f>
        <v>#VALUE!</v>
      </c>
      <c r="BL367" s="104" t="e">
        <f ca="1">_05preva_view43[Folder Path2]&amp;"\Colo App "&amp;_05preva_view43[[#This Row],[Operator]]&amp;"\"</f>
        <v>#VALUE!</v>
      </c>
      <c r="BM367" s="63" t="e">
        <f ca="1">_05preva_view43[[#This Row],[Folder Path3]]&amp;_05preva_view43[[#This Row],[File Name]]</f>
        <v>#VALUE!</v>
      </c>
      <c r="BN367" s="104"/>
      <c r="CF367" s="5"/>
      <c r="CG367" s="5"/>
      <c r="CH367" s="3"/>
      <c r="CJ367" s="5"/>
      <c r="CN367" s="3"/>
      <c r="CO367" s="3"/>
      <c r="CP367" s="5"/>
      <c r="CR367" s="3"/>
      <c r="DN367" s="5"/>
      <c r="DP367" s="3"/>
      <c r="EB367" s="7"/>
      <c r="EC367" s="7"/>
      <c r="EF367" s="4"/>
      <c r="EG367" s="4"/>
      <c r="EQ367" s="2"/>
      <c r="ER367" s="2"/>
    </row>
    <row r="368" spans="1:148">
      <c r="A368" s="227">
        <v>193</v>
      </c>
      <c r="B368" s="228" t="s">
        <v>467</v>
      </c>
      <c r="C368" s="228" t="s">
        <v>116</v>
      </c>
      <c r="D368" s="228" t="s">
        <v>117</v>
      </c>
      <c r="E368" s="228" t="s">
        <v>468</v>
      </c>
      <c r="F368" s="228" t="s">
        <v>40</v>
      </c>
      <c r="G368" s="228" t="s">
        <v>118</v>
      </c>
      <c r="H368" s="228"/>
      <c r="I368" s="228" t="s">
        <v>118</v>
      </c>
      <c r="J368" s="228"/>
      <c r="K368" s="229">
        <v>43236</v>
      </c>
      <c r="L368" s="230"/>
      <c r="M368" s="230">
        <v>3</v>
      </c>
      <c r="N368" s="228"/>
      <c r="O368" s="228" t="s">
        <v>119</v>
      </c>
      <c r="P368" s="231"/>
      <c r="Q368" s="231"/>
      <c r="R368" s="228" t="s">
        <v>24</v>
      </c>
      <c r="S368" s="228"/>
      <c r="T368" s="232" t="s">
        <v>120</v>
      </c>
      <c r="U368" s="228" t="s">
        <v>301</v>
      </c>
      <c r="V368" s="232" t="s">
        <v>120</v>
      </c>
      <c r="W368" s="228"/>
      <c r="X368" s="232" t="s">
        <v>120</v>
      </c>
      <c r="Y368" s="228" t="s">
        <v>120</v>
      </c>
      <c r="Z368" s="233" t="s">
        <v>120</v>
      </c>
      <c r="AA368" s="234"/>
      <c r="AB368" s="234"/>
      <c r="AC368" s="235"/>
      <c r="AD368" s="228" t="s">
        <v>120</v>
      </c>
      <c r="AE368" s="232" t="s">
        <v>120</v>
      </c>
      <c r="AF368" s="229" t="s">
        <v>207</v>
      </c>
      <c r="AG368" s="236"/>
      <c r="AH368" s="236">
        <v>3.5</v>
      </c>
      <c r="AI368" s="228" t="s">
        <v>308</v>
      </c>
      <c r="AJ368" s="232" t="s">
        <v>120</v>
      </c>
      <c r="AK368" s="228" t="s">
        <v>123</v>
      </c>
      <c r="AL368" s="228"/>
      <c r="AM368" s="232"/>
      <c r="AN368" s="228"/>
      <c r="AO368" s="228"/>
      <c r="AP368" s="237"/>
      <c r="AQ368" s="228"/>
      <c r="AR368" s="232"/>
      <c r="AS368" s="228"/>
      <c r="AT368" s="229"/>
      <c r="AU368" s="229">
        <v>43453.379053935198</v>
      </c>
      <c r="AV368" s="229"/>
      <c r="AW368" s="229"/>
      <c r="AX368" s="229"/>
      <c r="AY368" s="229"/>
      <c r="AZ368" s="238">
        <v>43236</v>
      </c>
      <c r="BA368" s="1" t="s">
        <v>7684</v>
      </c>
      <c r="BB368"/>
      <c r="BC368">
        <v>45</v>
      </c>
      <c r="BD368">
        <v>1610</v>
      </c>
      <c r="BE36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68" s="240">
        <f>COUNTIFS(_05preva_view43[Site ID],_05preva_view43[[#This Row],[Site ID]],_05preva_view43[Prevalidation Status],"Under Prevalidation")</f>
        <v>0</v>
      </c>
      <c r="BG36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8" s="242" t="str">
        <f>CONCATENATE(_05preva_view43[[#This Row],[Site ID]]," (",_05preva_view43[[#This Row],[tenant id]],") Application",IF(_05preva_view43[[#This Row],[Colo Rev]]&gt;0," Rev "&amp;_05preva_view43[[#This Row],[Colo Rev]],""),".xlsx")</f>
        <v>ANMG_0017 (MWW3484) Application.xlsx</v>
      </c>
      <c r="BI368" s="64" t="e">
        <f t="shared" ca="1" si="6"/>
        <v>#VALUE!</v>
      </c>
      <c r="BJ368" s="104" t="e">
        <f ca="1">LEFT(CELL("filename",A353),_05preva_view43[[#This Row],[Find Process &amp; Database]]-1)</f>
        <v>#VALUE!</v>
      </c>
      <c r="BK368" s="104" t="e">
        <f ca="1">_05preva_view43[Folder Path1]&amp;"Process &amp; Database\Documentation\Colo Applications"</f>
        <v>#VALUE!</v>
      </c>
      <c r="BL368" s="104" t="e">
        <f ca="1">_05preva_view43[Folder Path2]&amp;"\Colo App "&amp;_05preva_view43[[#This Row],[Operator]]&amp;"\"</f>
        <v>#VALUE!</v>
      </c>
      <c r="BM368" s="63" t="e">
        <f ca="1">_05preva_view43[[#This Row],[Folder Path3]]&amp;_05preva_view43[[#This Row],[File Name]]</f>
        <v>#VALUE!</v>
      </c>
      <c r="BN368" s="104"/>
      <c r="CF368" s="5"/>
      <c r="CG368" s="5"/>
      <c r="CH368" s="3"/>
      <c r="CJ368" s="5"/>
      <c r="CN368" s="3"/>
      <c r="CO368" s="3"/>
      <c r="CP368" s="5"/>
      <c r="CR368" s="3"/>
      <c r="DN368" s="5"/>
      <c r="DP368" s="3"/>
      <c r="EB368" s="7"/>
      <c r="EC368" s="7"/>
      <c r="EF368" s="4"/>
      <c r="EG368" s="4"/>
      <c r="EQ368" s="2"/>
      <c r="ER368" s="2"/>
    </row>
    <row r="369" spans="1:148">
      <c r="A369" s="227">
        <v>194</v>
      </c>
      <c r="B369" s="228" t="s">
        <v>469</v>
      </c>
      <c r="C369" s="228" t="s">
        <v>116</v>
      </c>
      <c r="D369" s="228" t="s">
        <v>117</v>
      </c>
      <c r="E369" s="228" t="s">
        <v>470</v>
      </c>
      <c r="F369" s="228" t="s">
        <v>40</v>
      </c>
      <c r="G369" s="228" t="s">
        <v>118</v>
      </c>
      <c r="H369" s="228"/>
      <c r="I369" s="228" t="s">
        <v>118</v>
      </c>
      <c r="J369" s="228"/>
      <c r="K369" s="229">
        <v>43236</v>
      </c>
      <c r="L369" s="230"/>
      <c r="M369" s="230">
        <v>3</v>
      </c>
      <c r="N369" s="228"/>
      <c r="O369" s="228" t="s">
        <v>119</v>
      </c>
      <c r="P369" s="231"/>
      <c r="Q369" s="231"/>
      <c r="R369" s="228" t="s">
        <v>24</v>
      </c>
      <c r="S369" s="228"/>
      <c r="T369" s="232" t="s">
        <v>120</v>
      </c>
      <c r="U369" s="228" t="s">
        <v>301</v>
      </c>
      <c r="V369" s="232" t="s">
        <v>120</v>
      </c>
      <c r="W369" s="228"/>
      <c r="X369" s="232" t="s">
        <v>120</v>
      </c>
      <c r="Y369" s="228" t="s">
        <v>120</v>
      </c>
      <c r="Z369" s="233" t="s">
        <v>120</v>
      </c>
      <c r="AA369" s="234"/>
      <c r="AB369" s="234"/>
      <c r="AC369" s="235" t="s">
        <v>350</v>
      </c>
      <c r="AD369" s="228" t="s">
        <v>471</v>
      </c>
      <c r="AE369" s="232" t="s">
        <v>125</v>
      </c>
      <c r="AF369" s="229"/>
      <c r="AG369" s="236"/>
      <c r="AH369" s="236"/>
      <c r="AI369" s="228" t="s">
        <v>305</v>
      </c>
      <c r="AJ369" s="232" t="s">
        <v>120</v>
      </c>
      <c r="AK369" s="228" t="s">
        <v>123</v>
      </c>
      <c r="AL369" s="228"/>
      <c r="AM369" s="232"/>
      <c r="AN369" s="228"/>
      <c r="AO369" s="228"/>
      <c r="AP369" s="237"/>
      <c r="AQ369" s="228"/>
      <c r="AR369" s="232"/>
      <c r="AS369" s="228"/>
      <c r="AT369" s="229"/>
      <c r="AU369" s="229"/>
      <c r="AV369" s="229"/>
      <c r="AW369" s="229"/>
      <c r="AX369" s="229"/>
      <c r="AY369" s="229"/>
      <c r="AZ369" s="238">
        <v>43236</v>
      </c>
      <c r="BA369" s="1" t="s">
        <v>7684</v>
      </c>
      <c r="BB369"/>
      <c r="BC369">
        <v>35</v>
      </c>
      <c r="BD369">
        <v>1920</v>
      </c>
      <c r="BE36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69" s="240">
        <f>COUNTIFS(_05preva_view43[Site ID],_05preva_view43[[#This Row],[Site ID]],_05preva_view43[Prevalidation Status],"Under Prevalidation")</f>
        <v>0</v>
      </c>
      <c r="BG36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69" s="242" t="str">
        <f>CONCATENATE(_05preva_view43[[#This Row],[Site ID]]," (",_05preva_view43[[#This Row],[tenant id]],") Application",IF(_05preva_view43[[#This Row],[Colo Rev]]&gt;0," Rev "&amp;_05preva_view43[[#This Row],[Colo Rev]],""),".xlsx")</f>
        <v>ANNP_0276 (Replacement_43) Application.xlsx</v>
      </c>
      <c r="BI369" s="64" t="e">
        <f t="shared" ca="1" si="6"/>
        <v>#VALUE!</v>
      </c>
      <c r="BJ369" s="104" t="e">
        <f ca="1">LEFT(CELL("filename",A354),_05preva_view43[[#This Row],[Find Process &amp; Database]]-1)</f>
        <v>#VALUE!</v>
      </c>
      <c r="BK369" s="104" t="e">
        <f ca="1">_05preva_view43[Folder Path1]&amp;"Process &amp; Database\Documentation\Colo Applications"</f>
        <v>#VALUE!</v>
      </c>
      <c r="BL369" s="104" t="e">
        <f ca="1">_05preva_view43[Folder Path2]&amp;"\Colo App "&amp;_05preva_view43[[#This Row],[Operator]]&amp;"\"</f>
        <v>#VALUE!</v>
      </c>
      <c r="BM369" s="63" t="e">
        <f ca="1">_05preva_view43[[#This Row],[Folder Path3]]&amp;_05preva_view43[[#This Row],[File Name]]</f>
        <v>#VALUE!</v>
      </c>
      <c r="BN369" s="104"/>
      <c r="CF369" s="5"/>
      <c r="CG369" s="5"/>
      <c r="CH369" s="3"/>
      <c r="CJ369" s="5"/>
      <c r="CN369" s="3"/>
      <c r="CO369" s="3"/>
      <c r="CP369" s="5"/>
      <c r="CR369" s="3"/>
      <c r="DN369" s="5"/>
      <c r="DP369" s="3"/>
      <c r="EB369" s="7"/>
      <c r="EC369" s="7"/>
      <c r="EF369" s="4"/>
      <c r="EG369" s="4"/>
      <c r="EQ369" s="2"/>
      <c r="ER369" s="2"/>
    </row>
    <row r="370" spans="1:148">
      <c r="A370" s="227">
        <v>195</v>
      </c>
      <c r="B370" s="228" t="s">
        <v>472</v>
      </c>
      <c r="C370" s="228" t="s">
        <v>116</v>
      </c>
      <c r="D370" s="228" t="s">
        <v>117</v>
      </c>
      <c r="E370" s="228" t="s">
        <v>473</v>
      </c>
      <c r="F370" s="228" t="s">
        <v>40</v>
      </c>
      <c r="G370" s="228" t="s">
        <v>118</v>
      </c>
      <c r="H370" s="228"/>
      <c r="I370" s="228" t="s">
        <v>118</v>
      </c>
      <c r="J370" s="228"/>
      <c r="K370" s="229">
        <v>43236</v>
      </c>
      <c r="L370" s="230"/>
      <c r="M370" s="230">
        <v>3</v>
      </c>
      <c r="N370" s="228"/>
      <c r="O370" s="228" t="s">
        <v>119</v>
      </c>
      <c r="P370" s="231"/>
      <c r="Q370" s="231"/>
      <c r="R370" s="228" t="s">
        <v>24</v>
      </c>
      <c r="S370" s="228"/>
      <c r="T370" s="232" t="s">
        <v>120</v>
      </c>
      <c r="U370" s="228" t="s">
        <v>301</v>
      </c>
      <c r="V370" s="232" t="s">
        <v>120</v>
      </c>
      <c r="W370" s="228"/>
      <c r="X370" s="232" t="s">
        <v>120</v>
      </c>
      <c r="Y370" s="228" t="s">
        <v>120</v>
      </c>
      <c r="Z370" s="233" t="s">
        <v>120</v>
      </c>
      <c r="AA370" s="234"/>
      <c r="AB370" s="234"/>
      <c r="AC370" s="235" t="s">
        <v>350</v>
      </c>
      <c r="AD370" s="228" t="s">
        <v>421</v>
      </c>
      <c r="AE370" s="232" t="s">
        <v>125</v>
      </c>
      <c r="AF370" s="229"/>
      <c r="AG370" s="236"/>
      <c r="AH370" s="236"/>
      <c r="AI370" s="228" t="s">
        <v>474</v>
      </c>
      <c r="AJ370" s="232" t="s">
        <v>120</v>
      </c>
      <c r="AK370" s="228" t="s">
        <v>206</v>
      </c>
      <c r="AL370" s="228" t="s">
        <v>361</v>
      </c>
      <c r="AM370" s="232"/>
      <c r="AN370" s="228"/>
      <c r="AO370" s="228"/>
      <c r="AP370" s="237"/>
      <c r="AQ370" s="228"/>
      <c r="AR370" s="232"/>
      <c r="AS370" s="228"/>
      <c r="AT370" s="229"/>
      <c r="AU370" s="229"/>
      <c r="AV370" s="229"/>
      <c r="AW370" s="229"/>
      <c r="AX370" s="229"/>
      <c r="AY370" s="229"/>
      <c r="AZ370" s="238">
        <v>43236</v>
      </c>
      <c r="BA370" s="1" t="s">
        <v>7684</v>
      </c>
      <c r="BB370">
        <v>130</v>
      </c>
      <c r="BC370">
        <v>35</v>
      </c>
      <c r="BD370">
        <v>1341</v>
      </c>
      <c r="BE37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70" s="240">
        <f>COUNTIFS(_05preva_view43[Site ID],_05preva_view43[[#This Row],[Site ID]],_05preva_view43[Prevalidation Status],"Under Prevalidation")</f>
        <v>0</v>
      </c>
      <c r="BG37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0" s="242" t="str">
        <f>CONCATENATE(_05preva_view43[[#This Row],[Site ID]]," (",_05preva_view43[[#This Row],[tenant id]],") Application",IF(_05preva_view43[[#This Row],[Colo Rev]]&gt;0," Rev "&amp;_05preva_view43[[#This Row],[Colo Rev]],""),".xlsx")</f>
        <v>ANNP_0203 (Replacement_45) Application.xlsx</v>
      </c>
      <c r="BI370" s="64" t="e">
        <f t="shared" ca="1" si="6"/>
        <v>#VALUE!</v>
      </c>
      <c r="BJ370" s="104" t="e">
        <f ca="1">LEFT(CELL("filename",A355),_05preva_view43[[#This Row],[Find Process &amp; Database]]-1)</f>
        <v>#VALUE!</v>
      </c>
      <c r="BK370" s="104" t="e">
        <f ca="1">_05preva_view43[Folder Path1]&amp;"Process &amp; Database\Documentation\Colo Applications"</f>
        <v>#VALUE!</v>
      </c>
      <c r="BL370" s="104" t="e">
        <f ca="1">_05preva_view43[Folder Path2]&amp;"\Colo App "&amp;_05preva_view43[[#This Row],[Operator]]&amp;"\"</f>
        <v>#VALUE!</v>
      </c>
      <c r="BM370" s="63" t="e">
        <f ca="1">_05preva_view43[[#This Row],[Folder Path3]]&amp;_05preva_view43[[#This Row],[File Name]]</f>
        <v>#VALUE!</v>
      </c>
      <c r="BN370" s="104"/>
      <c r="CF370" s="5"/>
      <c r="CG370" s="5"/>
      <c r="CH370" s="3"/>
      <c r="CJ370" s="5"/>
      <c r="CN370" s="3"/>
      <c r="CO370" s="3"/>
      <c r="CP370" s="5"/>
      <c r="CR370" s="3"/>
      <c r="DN370" s="5"/>
      <c r="DP370" s="3"/>
      <c r="EB370" s="7"/>
      <c r="EC370" s="7"/>
      <c r="EF370" s="4"/>
      <c r="EG370" s="4"/>
      <c r="EQ370" s="2"/>
      <c r="ER370" s="2"/>
    </row>
    <row r="371" spans="1:148">
      <c r="A371" s="227">
        <v>197</v>
      </c>
      <c r="B371" s="228" t="s">
        <v>475</v>
      </c>
      <c r="C371" s="228" t="s">
        <v>116</v>
      </c>
      <c r="D371" s="228" t="s">
        <v>117</v>
      </c>
      <c r="E371" s="228" t="s">
        <v>476</v>
      </c>
      <c r="F371" s="228" t="s">
        <v>40</v>
      </c>
      <c r="G371" s="228" t="s">
        <v>118</v>
      </c>
      <c r="H371" s="228"/>
      <c r="I371" s="228" t="s">
        <v>118</v>
      </c>
      <c r="J371" s="228"/>
      <c r="K371" s="229">
        <v>43236</v>
      </c>
      <c r="L371" s="230"/>
      <c r="M371" s="230">
        <v>3</v>
      </c>
      <c r="N371" s="228"/>
      <c r="O371" s="228" t="s">
        <v>119</v>
      </c>
      <c r="P371" s="231"/>
      <c r="Q371" s="231"/>
      <c r="R371" s="228" t="s">
        <v>24</v>
      </c>
      <c r="S371" s="228"/>
      <c r="T371" s="232" t="s">
        <v>120</v>
      </c>
      <c r="U371" s="228" t="s">
        <v>301</v>
      </c>
      <c r="V371" s="232" t="s">
        <v>120</v>
      </c>
      <c r="W371" s="228"/>
      <c r="X371" s="232" t="s">
        <v>120</v>
      </c>
      <c r="Y371" s="228" t="s">
        <v>477</v>
      </c>
      <c r="Z371" s="233" t="s">
        <v>120</v>
      </c>
      <c r="AA371" s="234"/>
      <c r="AB371" s="234"/>
      <c r="AC371" s="235"/>
      <c r="AD371" s="228" t="s">
        <v>120</v>
      </c>
      <c r="AE371" s="232" t="s">
        <v>120</v>
      </c>
      <c r="AF371" s="229" t="s">
        <v>207</v>
      </c>
      <c r="AG371" s="236"/>
      <c r="AH371" s="236">
        <v>3.5</v>
      </c>
      <c r="AI371" s="228" t="s">
        <v>308</v>
      </c>
      <c r="AJ371" s="232" t="s">
        <v>120</v>
      </c>
      <c r="AK371" s="228" t="s">
        <v>123</v>
      </c>
      <c r="AL371" s="228"/>
      <c r="AM371" s="232"/>
      <c r="AN371" s="228"/>
      <c r="AO371" s="228"/>
      <c r="AP371" s="237"/>
      <c r="AQ371" s="228"/>
      <c r="AR371" s="232"/>
      <c r="AS371" s="228"/>
      <c r="AT371" s="229"/>
      <c r="AU371" s="229">
        <v>43453.37905625</v>
      </c>
      <c r="AV371" s="229"/>
      <c r="AW371" s="229"/>
      <c r="AX371" s="229"/>
      <c r="AY371" s="229"/>
      <c r="AZ371" s="238">
        <v>43236</v>
      </c>
      <c r="BA371" s="1" t="s">
        <v>7684</v>
      </c>
      <c r="BB371"/>
      <c r="BC371">
        <v>60</v>
      </c>
      <c r="BD371">
        <v>1872</v>
      </c>
      <c r="BE37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71" s="240">
        <f>COUNTIFS(_05preva_view43[Site ID],_05preva_view43[[#This Row],[Site ID]],_05preva_view43[Prevalidation Status],"Under Prevalidation")</f>
        <v>0</v>
      </c>
      <c r="BG37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1" s="242" t="str">
        <f>CONCATENATE(_05preva_view43[[#This Row],[Site ID]]," (",_05preva_view43[[#This Row],[tenant id]],") Application",IF(_05preva_view43[[#This Row],[Colo Rev]]&gt;0," Rev "&amp;_05preva_view43[[#This Row],[Colo Rev]],""),".xlsx")</f>
        <v>ASKH_0019 (KYW6082) Application.xlsx</v>
      </c>
      <c r="BI371" s="64" t="e">
        <f t="shared" ca="1" si="6"/>
        <v>#VALUE!</v>
      </c>
      <c r="BJ371" s="104" t="e">
        <f ca="1">LEFT(CELL("filename",A356),_05preva_view43[[#This Row],[Find Process &amp; Database]]-1)</f>
        <v>#VALUE!</v>
      </c>
      <c r="BK371" s="104" t="e">
        <f ca="1">_05preva_view43[Folder Path1]&amp;"Process &amp; Database\Documentation\Colo Applications"</f>
        <v>#VALUE!</v>
      </c>
      <c r="BL371" s="104" t="e">
        <f ca="1">_05preva_view43[Folder Path2]&amp;"\Colo App "&amp;_05preva_view43[[#This Row],[Operator]]&amp;"\"</f>
        <v>#VALUE!</v>
      </c>
      <c r="BM371" s="63" t="e">
        <f ca="1">_05preva_view43[[#This Row],[Folder Path3]]&amp;_05preva_view43[[#This Row],[File Name]]</f>
        <v>#VALUE!</v>
      </c>
      <c r="BN371" s="104"/>
      <c r="CF371" s="5"/>
      <c r="CG371" s="5"/>
      <c r="CH371" s="3"/>
      <c r="CJ371" s="5"/>
      <c r="CN371" s="3"/>
      <c r="CO371" s="3"/>
      <c r="CP371" s="5"/>
      <c r="CR371" s="3"/>
      <c r="DN371" s="5"/>
      <c r="DP371" s="3"/>
      <c r="EB371" s="7"/>
      <c r="EC371" s="7"/>
      <c r="EF371" s="4"/>
      <c r="EG371" s="4"/>
      <c r="EQ371" s="2"/>
      <c r="ER371" s="2"/>
    </row>
    <row r="372" spans="1:148">
      <c r="A372" s="227">
        <v>198</v>
      </c>
      <c r="B372" s="228" t="s">
        <v>478</v>
      </c>
      <c r="C372" s="228" t="s">
        <v>116</v>
      </c>
      <c r="D372" s="228" t="s">
        <v>153</v>
      </c>
      <c r="E372" s="228" t="s">
        <v>479</v>
      </c>
      <c r="F372" s="228" t="s">
        <v>40</v>
      </c>
      <c r="G372" s="228" t="s">
        <v>1289</v>
      </c>
      <c r="H372" s="228" t="s">
        <v>1290</v>
      </c>
      <c r="I372" s="228" t="s">
        <v>118</v>
      </c>
      <c r="J372" s="228"/>
      <c r="K372" s="229">
        <v>43236</v>
      </c>
      <c r="L372" s="230"/>
      <c r="M372" s="230">
        <v>3</v>
      </c>
      <c r="N372" s="228"/>
      <c r="O372" s="228" t="s">
        <v>119</v>
      </c>
      <c r="P372" s="231"/>
      <c r="Q372" s="231"/>
      <c r="R372" s="228" t="s">
        <v>24</v>
      </c>
      <c r="S372" s="228"/>
      <c r="T372" s="232" t="s">
        <v>120</v>
      </c>
      <c r="U372" s="228" t="s">
        <v>301</v>
      </c>
      <c r="V372" s="232" t="s">
        <v>120</v>
      </c>
      <c r="W372" s="228"/>
      <c r="X372" s="232" t="s">
        <v>120</v>
      </c>
      <c r="Y372" s="228" t="s">
        <v>120</v>
      </c>
      <c r="Z372" s="233" t="s">
        <v>120</v>
      </c>
      <c r="AA372" s="234"/>
      <c r="AB372" s="234"/>
      <c r="AC372" s="235"/>
      <c r="AD372" s="228" t="s">
        <v>120</v>
      </c>
      <c r="AE372" s="232" t="s">
        <v>120</v>
      </c>
      <c r="AF372" s="229" t="s">
        <v>358</v>
      </c>
      <c r="AG372" s="236"/>
      <c r="AH372" s="236">
        <v>3.5</v>
      </c>
      <c r="AI372" s="228" t="s">
        <v>480</v>
      </c>
      <c r="AJ372" s="232" t="s">
        <v>120</v>
      </c>
      <c r="AK372" s="228" t="s">
        <v>123</v>
      </c>
      <c r="AL372" s="228"/>
      <c r="AM372" s="232"/>
      <c r="AN372" s="228"/>
      <c r="AO372" s="228"/>
      <c r="AP372" s="237"/>
      <c r="AQ372" s="228"/>
      <c r="AR372" s="232"/>
      <c r="AS372" s="228"/>
      <c r="AT372" s="229"/>
      <c r="AU372" s="229">
        <v>43453.3790570602</v>
      </c>
      <c r="AV372" s="229"/>
      <c r="AW372" s="229"/>
      <c r="AX372" s="229"/>
      <c r="AY372" s="229"/>
      <c r="AZ372" s="238">
        <v>43236</v>
      </c>
      <c r="BA372" s="1" t="s">
        <v>7684</v>
      </c>
      <c r="BB372">
        <v>160</v>
      </c>
      <c r="BC372">
        <v>50</v>
      </c>
      <c r="BD372">
        <v>328</v>
      </c>
      <c r="BE37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72" s="240">
        <f>COUNTIFS(_05preva_view43[Site ID],_05preva_view43[[#This Row],[Site ID]],_05preva_view43[Prevalidation Status],"Under Prevalidation")</f>
        <v>0</v>
      </c>
      <c r="BG37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2" s="242" t="str">
        <f>CONCATENATE(_05preva_view43[[#This Row],[Site ID]]," (",_05preva_view43[[#This Row],[tenant id]],") Application",IF(_05preva_view43[[#This Row],[Colo Rev]]&gt;0," Rev "&amp;_05preva_view43[[#This Row],[Colo Rev]],""),".xlsx")</f>
        <v>ASTN_0045 (TAW6250) Application.xlsx</v>
      </c>
      <c r="BI372" s="64" t="e">
        <f t="shared" ca="1" si="6"/>
        <v>#VALUE!</v>
      </c>
      <c r="BJ372" s="104" t="e">
        <f ca="1">LEFT(CELL("filename",A357),_05preva_view43[[#This Row],[Find Process &amp; Database]]-1)</f>
        <v>#VALUE!</v>
      </c>
      <c r="BK372" s="104" t="e">
        <f ca="1">_05preva_view43[Folder Path1]&amp;"Process &amp; Database\Documentation\Colo Applications"</f>
        <v>#VALUE!</v>
      </c>
      <c r="BL372" s="104" t="e">
        <f ca="1">_05preva_view43[Folder Path2]&amp;"\Colo App "&amp;_05preva_view43[[#This Row],[Operator]]&amp;"\"</f>
        <v>#VALUE!</v>
      </c>
      <c r="BM372" s="63" t="e">
        <f ca="1">_05preva_view43[[#This Row],[Folder Path3]]&amp;_05preva_view43[[#This Row],[File Name]]</f>
        <v>#VALUE!</v>
      </c>
      <c r="BN372" s="104"/>
      <c r="CF372" s="5"/>
      <c r="CG372" s="5"/>
      <c r="CH372" s="3"/>
      <c r="CJ372" s="5"/>
      <c r="CN372" s="3"/>
      <c r="CO372" s="3"/>
      <c r="CP372" s="5"/>
      <c r="CR372" s="3"/>
      <c r="DN372" s="5"/>
      <c r="DP372" s="3"/>
      <c r="EB372" s="7"/>
      <c r="EC372" s="7"/>
      <c r="EF372" s="4"/>
      <c r="EG372" s="4"/>
      <c r="EQ372" s="2"/>
      <c r="ER372" s="2"/>
    </row>
    <row r="373" spans="1:148">
      <c r="A373" s="227">
        <v>199</v>
      </c>
      <c r="B373" s="228" t="s">
        <v>481</v>
      </c>
      <c r="C373" s="228" t="s">
        <v>116</v>
      </c>
      <c r="D373" s="228" t="s">
        <v>153</v>
      </c>
      <c r="E373" s="228" t="s">
        <v>482</v>
      </c>
      <c r="F373" s="228" t="s">
        <v>40</v>
      </c>
      <c r="G373" s="228" t="s">
        <v>1289</v>
      </c>
      <c r="H373" s="228" t="s">
        <v>1290</v>
      </c>
      <c r="I373" s="228" t="s">
        <v>118</v>
      </c>
      <c r="J373" s="228"/>
      <c r="K373" s="229">
        <v>43236</v>
      </c>
      <c r="L373" s="230"/>
      <c r="M373" s="230">
        <v>3</v>
      </c>
      <c r="N373" s="228"/>
      <c r="O373" s="228" t="s">
        <v>119</v>
      </c>
      <c r="P373" s="231"/>
      <c r="Q373" s="231"/>
      <c r="R373" s="228" t="s">
        <v>24</v>
      </c>
      <c r="S373" s="228"/>
      <c r="T373" s="232" t="s">
        <v>120</v>
      </c>
      <c r="U373" s="228" t="s">
        <v>301</v>
      </c>
      <c r="V373" s="232" t="s">
        <v>120</v>
      </c>
      <c r="W373" s="228" t="s">
        <v>120</v>
      </c>
      <c r="X373" s="232" t="s">
        <v>120</v>
      </c>
      <c r="Y373" s="228" t="s">
        <v>120</v>
      </c>
      <c r="Z373" s="233" t="s">
        <v>120</v>
      </c>
      <c r="AA373" s="234"/>
      <c r="AB373" s="234"/>
      <c r="AC373" s="235"/>
      <c r="AD373" s="228" t="s">
        <v>120</v>
      </c>
      <c r="AE373" s="232" t="s">
        <v>125</v>
      </c>
      <c r="AF373" s="229"/>
      <c r="AG373" s="236"/>
      <c r="AH373" s="236"/>
      <c r="AI373" s="228" t="s">
        <v>368</v>
      </c>
      <c r="AJ373" s="232" t="s">
        <v>120</v>
      </c>
      <c r="AK373" s="228" t="s">
        <v>123</v>
      </c>
      <c r="AL373" s="228"/>
      <c r="AM373" s="232"/>
      <c r="AN373" s="228"/>
      <c r="AO373" s="228"/>
      <c r="AP373" s="237"/>
      <c r="AQ373" s="228"/>
      <c r="AR373" s="232" t="s">
        <v>120</v>
      </c>
      <c r="AS373" s="228"/>
      <c r="AT373" s="229">
        <v>43417.627321874999</v>
      </c>
      <c r="AU373" s="229"/>
      <c r="AV373" s="229">
        <v>43417.680085069398</v>
      </c>
      <c r="AW373" s="229">
        <v>43417.7112494213</v>
      </c>
      <c r="AX373" s="229">
        <v>43417.688151041701</v>
      </c>
      <c r="AY373" s="229">
        <v>43431.647528125002</v>
      </c>
      <c r="AZ373" s="238">
        <v>43431.647528125002</v>
      </c>
      <c r="BA373" s="1" t="s">
        <v>7684</v>
      </c>
      <c r="BB373">
        <v>160</v>
      </c>
      <c r="BC373">
        <v>60</v>
      </c>
      <c r="BD373">
        <v>400</v>
      </c>
      <c r="BE373" s="23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195.64752812500228</v>
      </c>
      <c r="BF373" s="240">
        <f>COUNTIFS(_05preva_view43[Site ID],_05preva_view43[[#This Row],[Site ID]],_05preva_view43[Prevalidation Status],"Under Prevalidation")</f>
        <v>0</v>
      </c>
      <c r="BG37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3" s="242" t="str">
        <f>CONCATENATE(_05preva_view43[[#This Row],[Site ID]]," (",_05preva_view43[[#This Row],[tenant id]],") Application",IF(_05preva_view43[[#This Row],[Colo Rev]]&gt;0," Rev "&amp;_05preva_view43[[#This Row],[Colo Rev]],""),".xlsx")</f>
        <v>ASTN_0035 (TAW6249) Application.xlsx</v>
      </c>
      <c r="BI373" s="64" t="e">
        <f t="shared" ca="1" si="6"/>
        <v>#VALUE!</v>
      </c>
      <c r="BJ373" s="104" t="e">
        <f ca="1">LEFT(CELL("filename",A358),_05preva_view43[[#This Row],[Find Process &amp; Database]]-1)</f>
        <v>#VALUE!</v>
      </c>
      <c r="BK373" s="104" t="e">
        <f ca="1">_05preva_view43[Folder Path1]&amp;"Process &amp; Database\Documentation\Colo Applications"</f>
        <v>#VALUE!</v>
      </c>
      <c r="BL373" s="104" t="e">
        <f ca="1">_05preva_view43[Folder Path2]&amp;"\Colo App "&amp;_05preva_view43[[#This Row],[Operator]]&amp;"\"</f>
        <v>#VALUE!</v>
      </c>
      <c r="BM373" s="63" t="e">
        <f ca="1">_05preva_view43[[#This Row],[Folder Path3]]&amp;_05preva_view43[[#This Row],[File Name]]</f>
        <v>#VALUE!</v>
      </c>
      <c r="BN373" s="104"/>
      <c r="CF373" s="5"/>
      <c r="CG373" s="5"/>
      <c r="CH373" s="3"/>
      <c r="CJ373" s="5"/>
      <c r="CN373" s="3"/>
      <c r="CO373" s="3"/>
      <c r="CP373" s="5"/>
      <c r="CR373" s="3"/>
      <c r="DN373" s="5"/>
      <c r="DP373" s="3"/>
      <c r="EB373" s="7"/>
      <c r="EC373" s="7"/>
      <c r="EF373" s="4"/>
      <c r="EG373" s="4"/>
      <c r="EQ373" s="2"/>
      <c r="ER373" s="2"/>
    </row>
    <row r="374" spans="1:148">
      <c r="A374" s="227">
        <v>200</v>
      </c>
      <c r="B374" s="228" t="s">
        <v>483</v>
      </c>
      <c r="C374" s="228" t="s">
        <v>116</v>
      </c>
      <c r="D374" s="228" t="s">
        <v>153</v>
      </c>
      <c r="E374" s="228" t="s">
        <v>484</v>
      </c>
      <c r="F374" s="228" t="s">
        <v>40</v>
      </c>
      <c r="G374" s="228" t="s">
        <v>118</v>
      </c>
      <c r="H374" s="228"/>
      <c r="I374" s="228" t="s">
        <v>118</v>
      </c>
      <c r="J374" s="228"/>
      <c r="K374" s="229">
        <v>43236</v>
      </c>
      <c r="L374" s="230"/>
      <c r="M374" s="230">
        <v>3</v>
      </c>
      <c r="N374" s="228"/>
      <c r="O374" s="228" t="s">
        <v>119</v>
      </c>
      <c r="P374" s="231"/>
      <c r="Q374" s="231"/>
      <c r="R374" s="228" t="s">
        <v>24</v>
      </c>
      <c r="S374" s="228"/>
      <c r="T374" s="232" t="s">
        <v>120</v>
      </c>
      <c r="U374" s="228" t="s">
        <v>319</v>
      </c>
      <c r="V374" s="232" t="s">
        <v>120</v>
      </c>
      <c r="W374" s="228"/>
      <c r="X374" s="232" t="s">
        <v>120</v>
      </c>
      <c r="Y374" s="228" t="s">
        <v>320</v>
      </c>
      <c r="Z374" s="233" t="s">
        <v>120</v>
      </c>
      <c r="AA374" s="234"/>
      <c r="AB374" s="234"/>
      <c r="AC374" s="235" t="s">
        <v>123</v>
      </c>
      <c r="AD374" s="228" t="s">
        <v>331</v>
      </c>
      <c r="AE374" s="232" t="s">
        <v>125</v>
      </c>
      <c r="AF374" s="229"/>
      <c r="AG374" s="236"/>
      <c r="AH374" s="236"/>
      <c r="AI374" s="228" t="s">
        <v>485</v>
      </c>
      <c r="AJ374" s="232" t="s">
        <v>120</v>
      </c>
      <c r="AK374" s="228" t="s">
        <v>123</v>
      </c>
      <c r="AL374" s="228"/>
      <c r="AM374" s="232"/>
      <c r="AN374" s="228"/>
      <c r="AO374" s="228"/>
      <c r="AP374" s="237"/>
      <c r="AQ374" s="228"/>
      <c r="AR374" s="232"/>
      <c r="AS374" s="228"/>
      <c r="AT374" s="229"/>
      <c r="AU374" s="229"/>
      <c r="AV374" s="229"/>
      <c r="AW374" s="229"/>
      <c r="AX374" s="229"/>
      <c r="AY374" s="229"/>
      <c r="AZ374" s="238"/>
      <c r="BA374" s="1" t="s">
        <v>7684</v>
      </c>
      <c r="BB374">
        <v>160</v>
      </c>
      <c r="BC374">
        <v>60</v>
      </c>
      <c r="BD374">
        <v>852</v>
      </c>
      <c r="BE37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74" s="240">
        <f>COUNTIFS(_05preva_view43[Site ID],_05preva_view43[[#This Row],[Site ID]],_05preva_view43[Prevalidation Status],"Under Prevalidation")</f>
        <v>0</v>
      </c>
      <c r="BG37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4" s="242" t="str">
        <f>CONCATENATE(_05preva_view43[[#This Row],[Site ID]]," (",_05preva_view43[[#This Row],[tenant id]],") Application",IF(_05preva_view43[[#This Row],[Colo Rev]]&gt;0," Rev "&amp;_05preva_view43[[#This Row],[Colo Rev]],""),".xlsx")</f>
        <v>ASMO_0295 (MOW6295) Application.xlsx</v>
      </c>
      <c r="BI374" s="64" t="e">
        <f t="shared" ca="1" si="6"/>
        <v>#VALUE!</v>
      </c>
      <c r="BJ374" s="104" t="e">
        <f ca="1">LEFT(CELL("filename",A359),_05preva_view43[[#This Row],[Find Process &amp; Database]]-1)</f>
        <v>#VALUE!</v>
      </c>
      <c r="BK374" s="104" t="e">
        <f ca="1">_05preva_view43[Folder Path1]&amp;"Process &amp; Database\Documentation\Colo Applications"</f>
        <v>#VALUE!</v>
      </c>
      <c r="BL374" s="104" t="e">
        <f ca="1">_05preva_view43[Folder Path2]&amp;"\Colo App "&amp;_05preva_view43[[#This Row],[Operator]]&amp;"\"</f>
        <v>#VALUE!</v>
      </c>
      <c r="BM374" s="63" t="e">
        <f ca="1">_05preva_view43[[#This Row],[Folder Path3]]&amp;_05preva_view43[[#This Row],[File Name]]</f>
        <v>#VALUE!</v>
      </c>
      <c r="BN374" s="104"/>
      <c r="CF374" s="5"/>
      <c r="CG374" s="5"/>
      <c r="CH374" s="3"/>
      <c r="CJ374" s="5"/>
      <c r="CN374" s="3"/>
      <c r="CO374" s="3"/>
      <c r="CP374" s="5"/>
      <c r="CR374" s="3"/>
      <c r="DN374" s="5"/>
      <c r="DP374" s="3"/>
      <c r="EB374" s="7"/>
      <c r="EC374" s="7"/>
      <c r="EF374" s="4"/>
      <c r="EG374" s="4"/>
      <c r="EQ374" s="2"/>
      <c r="ER374" s="2"/>
    </row>
    <row r="375" spans="1:148">
      <c r="A375" s="227">
        <v>202</v>
      </c>
      <c r="B375" s="228" t="s">
        <v>486</v>
      </c>
      <c r="C375" s="228" t="s">
        <v>116</v>
      </c>
      <c r="D375" s="228" t="s">
        <v>117</v>
      </c>
      <c r="E375" s="228" t="s">
        <v>487</v>
      </c>
      <c r="F375" s="228" t="s">
        <v>40</v>
      </c>
      <c r="G375" s="228" t="s">
        <v>1289</v>
      </c>
      <c r="H375" s="228" t="s">
        <v>1285</v>
      </c>
      <c r="I375" s="228" t="s">
        <v>118</v>
      </c>
      <c r="J375" s="228"/>
      <c r="K375" s="229">
        <v>43236</v>
      </c>
      <c r="L375" s="230"/>
      <c r="M375" s="230">
        <v>3</v>
      </c>
      <c r="N375" s="228"/>
      <c r="O375" s="228" t="s">
        <v>119</v>
      </c>
      <c r="P375" s="231"/>
      <c r="Q375" s="231"/>
      <c r="R375" s="228" t="s">
        <v>24</v>
      </c>
      <c r="S375" s="228"/>
      <c r="T375" s="232" t="s">
        <v>120</v>
      </c>
      <c r="U375" s="228" t="s">
        <v>301</v>
      </c>
      <c r="V375" s="232" t="s">
        <v>120</v>
      </c>
      <c r="W375" s="228"/>
      <c r="X375" s="232" t="s">
        <v>120</v>
      </c>
      <c r="Y375" s="228" t="s">
        <v>120</v>
      </c>
      <c r="Z375" s="233" t="s">
        <v>120</v>
      </c>
      <c r="AA375" s="234"/>
      <c r="AB375" s="234"/>
      <c r="AC375" s="235"/>
      <c r="AD375" s="228" t="s">
        <v>120</v>
      </c>
      <c r="AE375" s="232" t="s">
        <v>120</v>
      </c>
      <c r="AF375" s="229" t="s">
        <v>207</v>
      </c>
      <c r="AG375" s="236"/>
      <c r="AH375" s="236">
        <v>3.5</v>
      </c>
      <c r="AI375" s="228" t="s">
        <v>488</v>
      </c>
      <c r="AJ375" s="232" t="s">
        <v>120</v>
      </c>
      <c r="AK375" s="228" t="s">
        <v>123</v>
      </c>
      <c r="AL375" s="228"/>
      <c r="AM375" s="232"/>
      <c r="AN375" s="228"/>
      <c r="AO375" s="228"/>
      <c r="AP375" s="237"/>
      <c r="AQ375" s="228"/>
      <c r="AR375" s="232"/>
      <c r="AS375" s="228"/>
      <c r="AT375" s="229"/>
      <c r="AU375" s="229">
        <v>43453.379059953702</v>
      </c>
      <c r="AV375" s="229"/>
      <c r="AW375" s="229"/>
      <c r="AX375" s="229"/>
      <c r="AY375" s="229"/>
      <c r="AZ375" s="238">
        <v>43236</v>
      </c>
      <c r="BA375" s="1" t="s">
        <v>7684</v>
      </c>
      <c r="BB375"/>
      <c r="BC375">
        <v>60</v>
      </c>
      <c r="BD375">
        <v>244</v>
      </c>
      <c r="BE37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75" s="240">
        <f>COUNTIFS(_05preva_view43[Site ID],_05preva_view43[[#This Row],[Site ID]],_05preva_view43[Prevalidation Status],"Under Prevalidation")</f>
        <v>0</v>
      </c>
      <c r="BG37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5" s="242" t="str">
        <f>CONCATENATE(_05preva_view43[[#This Row],[Site ID]]," (",_05preva_view43[[#This Row],[tenant id]],") Application",IF(_05preva_view43[[#This Row],[Colo Rev]]&gt;0," Rev "&amp;_05preva_view43[[#This Row],[Colo Rev]],""),".xlsx")</f>
        <v>ACBA_0245 (BAW5555) Application.xlsx</v>
      </c>
      <c r="BI375" s="64" t="e">
        <f t="shared" ca="1" si="6"/>
        <v>#VALUE!</v>
      </c>
      <c r="BJ375" s="104" t="e">
        <f ca="1">LEFT(CELL("filename",A360),_05preva_view43[[#This Row],[Find Process &amp; Database]]-1)</f>
        <v>#VALUE!</v>
      </c>
      <c r="BK375" s="104" t="e">
        <f ca="1">_05preva_view43[Folder Path1]&amp;"Process &amp; Database\Documentation\Colo Applications"</f>
        <v>#VALUE!</v>
      </c>
      <c r="BL375" s="104" t="e">
        <f ca="1">_05preva_view43[Folder Path2]&amp;"\Colo App "&amp;_05preva_view43[[#This Row],[Operator]]&amp;"\"</f>
        <v>#VALUE!</v>
      </c>
      <c r="BM375" s="63" t="e">
        <f ca="1">_05preva_view43[[#This Row],[Folder Path3]]&amp;_05preva_view43[[#This Row],[File Name]]</f>
        <v>#VALUE!</v>
      </c>
      <c r="BN375" s="104"/>
      <c r="CF375" s="5"/>
      <c r="CG375" s="5"/>
      <c r="CH375" s="3"/>
      <c r="CJ375" s="5"/>
      <c r="CN375" s="3"/>
      <c r="CO375" s="3"/>
      <c r="CP375" s="5"/>
      <c r="CR375" s="3"/>
      <c r="DN375" s="5"/>
      <c r="DP375" s="3"/>
      <c r="EB375" s="7"/>
      <c r="EC375" s="7"/>
      <c r="EF375" s="4"/>
      <c r="EG375" s="4"/>
      <c r="EQ375" s="2"/>
      <c r="ER375" s="2"/>
    </row>
    <row r="376" spans="1:148">
      <c r="A376" s="227">
        <v>204</v>
      </c>
      <c r="B376" s="228" t="s">
        <v>489</v>
      </c>
      <c r="C376" s="228" t="s">
        <v>116</v>
      </c>
      <c r="D376" s="228" t="s">
        <v>153</v>
      </c>
      <c r="E376" s="228" t="s">
        <v>490</v>
      </c>
      <c r="F376" s="228" t="s">
        <v>40</v>
      </c>
      <c r="G376" s="228" t="s">
        <v>118</v>
      </c>
      <c r="H376" s="228"/>
      <c r="I376" s="228" t="s">
        <v>118</v>
      </c>
      <c r="J376" s="228"/>
      <c r="K376" s="229">
        <v>43236</v>
      </c>
      <c r="L376" s="230"/>
      <c r="M376" s="230">
        <v>3</v>
      </c>
      <c r="N376" s="228"/>
      <c r="O376" s="228" t="s">
        <v>119</v>
      </c>
      <c r="P376" s="231"/>
      <c r="Q376" s="231"/>
      <c r="R376" s="228" t="s">
        <v>24</v>
      </c>
      <c r="S376" s="228"/>
      <c r="T376" s="232" t="s">
        <v>120</v>
      </c>
      <c r="U376" s="228" t="s">
        <v>301</v>
      </c>
      <c r="V376" s="232" t="s">
        <v>120</v>
      </c>
      <c r="W376" s="228"/>
      <c r="X376" s="232" t="s">
        <v>120</v>
      </c>
      <c r="Y376" s="228" t="s">
        <v>120</v>
      </c>
      <c r="Z376" s="233" t="s">
        <v>120</v>
      </c>
      <c r="AA376" s="234"/>
      <c r="AB376" s="234"/>
      <c r="AC376" s="235"/>
      <c r="AD376" s="228" t="s">
        <v>120</v>
      </c>
      <c r="AE376" s="232" t="s">
        <v>120</v>
      </c>
      <c r="AF376" s="229" t="s">
        <v>207</v>
      </c>
      <c r="AG376" s="236"/>
      <c r="AH376" s="236">
        <v>3.5</v>
      </c>
      <c r="AI376" s="228" t="s">
        <v>208</v>
      </c>
      <c r="AJ376" s="232" t="s">
        <v>120</v>
      </c>
      <c r="AK376" s="228" t="s">
        <v>123</v>
      </c>
      <c r="AL376" s="228"/>
      <c r="AM376" s="232"/>
      <c r="AN376" s="228"/>
      <c r="AO376" s="228"/>
      <c r="AP376" s="237"/>
      <c r="AQ376" s="228"/>
      <c r="AR376" s="232"/>
      <c r="AS376" s="228"/>
      <c r="AT376" s="229"/>
      <c r="AU376" s="229">
        <v>43453.379060879597</v>
      </c>
      <c r="AV376" s="229"/>
      <c r="AW376" s="229"/>
      <c r="AX376" s="229"/>
      <c r="AY376" s="229"/>
      <c r="AZ376" s="238">
        <v>43236</v>
      </c>
      <c r="BA376" s="1" t="s">
        <v>7684</v>
      </c>
      <c r="BB376"/>
      <c r="BC376">
        <v>60</v>
      </c>
      <c r="BD376">
        <v>342</v>
      </c>
      <c r="BE37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76" s="240">
        <f>COUNTIFS(_05preva_view43[Site ID],_05preva_view43[[#This Row],[Site ID]],_05preva_view43[Prevalidation Status],"Under Prevalidation")</f>
        <v>0</v>
      </c>
      <c r="BG37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6" s="242" t="str">
        <f>CONCATENATE(_05preva_view43[[#This Row],[Site ID]]," (",_05preva_view43[[#This Row],[tenant id]],") Application",IF(_05preva_view43[[#This Row],[Colo Rev]]&gt;0," Rev "&amp;_05preva_view43[[#This Row],[Colo Rev]],""),".xlsx")</f>
        <v>ACAY_0171 (AYW5539) Application.xlsx</v>
      </c>
      <c r="BI376" s="64" t="e">
        <f t="shared" ca="1" si="6"/>
        <v>#VALUE!</v>
      </c>
      <c r="BJ376" s="104" t="e">
        <f ca="1">LEFT(CELL("filename",A361),_05preva_view43[[#This Row],[Find Process &amp; Database]]-1)</f>
        <v>#VALUE!</v>
      </c>
      <c r="BK376" s="104" t="e">
        <f ca="1">_05preva_view43[Folder Path1]&amp;"Process &amp; Database\Documentation\Colo Applications"</f>
        <v>#VALUE!</v>
      </c>
      <c r="BL376" s="104" t="e">
        <f ca="1">_05preva_view43[Folder Path2]&amp;"\Colo App "&amp;_05preva_view43[[#This Row],[Operator]]&amp;"\"</f>
        <v>#VALUE!</v>
      </c>
      <c r="BM376" s="63" t="e">
        <f ca="1">_05preva_view43[[#This Row],[Folder Path3]]&amp;_05preva_view43[[#This Row],[File Name]]</f>
        <v>#VALUE!</v>
      </c>
      <c r="BN376" s="104"/>
      <c r="CF376" s="5"/>
      <c r="CG376" s="5"/>
      <c r="CH376" s="3"/>
      <c r="CJ376" s="5"/>
      <c r="CN376" s="3"/>
      <c r="CO376" s="3"/>
      <c r="CP376" s="5"/>
      <c r="CR376" s="3"/>
      <c r="DN376" s="5"/>
      <c r="DP376" s="3"/>
      <c r="EB376" s="7"/>
      <c r="EC376" s="7"/>
      <c r="EF376" s="4"/>
      <c r="EG376" s="4"/>
      <c r="EQ376" s="2"/>
      <c r="ER376" s="2"/>
    </row>
    <row r="377" spans="1:148">
      <c r="A377" s="227">
        <v>205</v>
      </c>
      <c r="B377" s="228" t="s">
        <v>491</v>
      </c>
      <c r="C377" s="228" t="s">
        <v>116</v>
      </c>
      <c r="D377" s="228" t="s">
        <v>117</v>
      </c>
      <c r="E377" s="228" t="s">
        <v>492</v>
      </c>
      <c r="F377" s="228" t="s">
        <v>40</v>
      </c>
      <c r="G377" s="228" t="s">
        <v>1289</v>
      </c>
      <c r="H377" s="228" t="s">
        <v>1290</v>
      </c>
      <c r="I377" s="228" t="s">
        <v>118</v>
      </c>
      <c r="J377" s="228"/>
      <c r="K377" s="229">
        <v>43236</v>
      </c>
      <c r="L377" s="230"/>
      <c r="M377" s="230">
        <v>3</v>
      </c>
      <c r="N377" s="228"/>
      <c r="O377" s="228" t="s">
        <v>119</v>
      </c>
      <c r="P377" s="231"/>
      <c r="Q377" s="231"/>
      <c r="R377" s="228" t="s">
        <v>24</v>
      </c>
      <c r="S377" s="228"/>
      <c r="T377" s="232" t="s">
        <v>120</v>
      </c>
      <c r="U377" s="228" t="s">
        <v>301</v>
      </c>
      <c r="V377" s="232" t="s">
        <v>120</v>
      </c>
      <c r="W377" s="228"/>
      <c r="X377" s="232" t="s">
        <v>120</v>
      </c>
      <c r="Y377" s="228" t="s">
        <v>120</v>
      </c>
      <c r="Z377" s="233" t="s">
        <v>120</v>
      </c>
      <c r="AA377" s="234"/>
      <c r="AB377" s="234"/>
      <c r="AC377" s="235"/>
      <c r="AD377" s="228" t="s">
        <v>120</v>
      </c>
      <c r="AE377" s="232" t="s">
        <v>120</v>
      </c>
      <c r="AF377" s="229" t="s">
        <v>207</v>
      </c>
      <c r="AG377" s="236"/>
      <c r="AH377" s="236">
        <v>3.5</v>
      </c>
      <c r="AI377" s="228" t="s">
        <v>308</v>
      </c>
      <c r="AJ377" s="232" t="s">
        <v>120</v>
      </c>
      <c r="AK377" s="228" t="s">
        <v>123</v>
      </c>
      <c r="AL377" s="228"/>
      <c r="AM377" s="232"/>
      <c r="AN377" s="228"/>
      <c r="AO377" s="228"/>
      <c r="AP377" s="237"/>
      <c r="AQ377" s="228"/>
      <c r="AR377" s="232"/>
      <c r="AS377" s="228"/>
      <c r="AT377" s="229"/>
      <c r="AU377" s="229">
        <v>43453.379061458298</v>
      </c>
      <c r="AV377" s="229"/>
      <c r="AW377" s="229"/>
      <c r="AX377" s="229"/>
      <c r="AY377" s="229"/>
      <c r="AZ377" s="238">
        <v>43236</v>
      </c>
      <c r="BA377" s="1" t="s">
        <v>7684</v>
      </c>
      <c r="BB377"/>
      <c r="BC377">
        <v>40</v>
      </c>
      <c r="BD377">
        <v>251</v>
      </c>
      <c r="BE37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77" s="240">
        <f>COUNTIFS(_05preva_view43[Site ID],_05preva_view43[[#This Row],[Site ID]],_05preva_view43[Prevalidation Status],"Under Prevalidation")</f>
        <v>0</v>
      </c>
      <c r="BG37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7" s="242" t="str">
        <f>CONCATENATE(_05preva_view43[[#This Row],[Site ID]]," (",_05preva_view43[[#This Row],[tenant id]],") Application",IF(_05preva_view43[[#This Row],[Colo Rev]]&gt;0," Rev "&amp;_05preva_view43[[#This Row],[Colo Rev]],""),".xlsx")</f>
        <v>ANMG_0183 (MWW3494) Application.xlsx</v>
      </c>
      <c r="BI377" s="64" t="e">
        <f t="shared" ca="1" si="6"/>
        <v>#VALUE!</v>
      </c>
      <c r="BJ377" s="104" t="e">
        <f ca="1">LEFT(CELL("filename",A362),_05preva_view43[[#This Row],[Find Process &amp; Database]]-1)</f>
        <v>#VALUE!</v>
      </c>
      <c r="BK377" s="104" t="e">
        <f ca="1">_05preva_view43[Folder Path1]&amp;"Process &amp; Database\Documentation\Colo Applications"</f>
        <v>#VALUE!</v>
      </c>
      <c r="BL377" s="104" t="e">
        <f ca="1">_05preva_view43[Folder Path2]&amp;"\Colo App "&amp;_05preva_view43[[#This Row],[Operator]]&amp;"\"</f>
        <v>#VALUE!</v>
      </c>
      <c r="BM377" s="63" t="e">
        <f ca="1">_05preva_view43[[#This Row],[Folder Path3]]&amp;_05preva_view43[[#This Row],[File Name]]</f>
        <v>#VALUE!</v>
      </c>
      <c r="BN377" s="104"/>
      <c r="CF377" s="5"/>
      <c r="CG377" s="5"/>
      <c r="CH377" s="3"/>
      <c r="CJ377" s="5"/>
      <c r="CN377" s="3"/>
      <c r="CO377" s="3"/>
      <c r="CP377" s="5"/>
      <c r="CR377" s="3"/>
      <c r="DN377" s="5"/>
      <c r="DP377" s="3"/>
      <c r="EB377" s="7"/>
      <c r="EC377" s="7"/>
      <c r="EF377" s="4"/>
      <c r="EG377" s="4"/>
      <c r="EQ377" s="2"/>
      <c r="ER377" s="2"/>
    </row>
    <row r="378" spans="1:148">
      <c r="A378" s="227">
        <v>207</v>
      </c>
      <c r="B378" s="228" t="s">
        <v>493</v>
      </c>
      <c r="C378" s="228" t="s">
        <v>116</v>
      </c>
      <c r="D378" s="228" t="s">
        <v>127</v>
      </c>
      <c r="E378" s="228" t="s">
        <v>494</v>
      </c>
      <c r="F378" s="228" t="s">
        <v>40</v>
      </c>
      <c r="G378" s="228" t="s">
        <v>1289</v>
      </c>
      <c r="H378" s="228" t="s">
        <v>1290</v>
      </c>
      <c r="I378" s="228" t="s">
        <v>118</v>
      </c>
      <c r="J378" s="228"/>
      <c r="K378" s="229">
        <v>43236</v>
      </c>
      <c r="L378" s="230"/>
      <c r="M378" s="230">
        <v>3</v>
      </c>
      <c r="N378" s="228"/>
      <c r="O378" s="228" t="s">
        <v>119</v>
      </c>
      <c r="P378" s="231"/>
      <c r="Q378" s="231"/>
      <c r="R378" s="228" t="s">
        <v>24</v>
      </c>
      <c r="S378" s="228"/>
      <c r="T378" s="232" t="s">
        <v>120</v>
      </c>
      <c r="U378" s="228" t="s">
        <v>301</v>
      </c>
      <c r="V378" s="232" t="s">
        <v>120</v>
      </c>
      <c r="W378" s="228"/>
      <c r="X378" s="232" t="s">
        <v>120</v>
      </c>
      <c r="Y378" s="228" t="s">
        <v>120</v>
      </c>
      <c r="Z378" s="233" t="s">
        <v>120</v>
      </c>
      <c r="AA378" s="234"/>
      <c r="AB378" s="234"/>
      <c r="AC378" s="235"/>
      <c r="AD378" s="228" t="s">
        <v>120</v>
      </c>
      <c r="AE378" s="232" t="s">
        <v>120</v>
      </c>
      <c r="AF378" s="229" t="s">
        <v>207</v>
      </c>
      <c r="AG378" s="236"/>
      <c r="AH378" s="236">
        <v>3.5</v>
      </c>
      <c r="AI378" s="228" t="s">
        <v>208</v>
      </c>
      <c r="AJ378" s="232" t="s">
        <v>120</v>
      </c>
      <c r="AK378" s="228" t="s">
        <v>123</v>
      </c>
      <c r="AL378" s="228"/>
      <c r="AM378" s="232"/>
      <c r="AN378" s="228"/>
      <c r="AO378" s="228"/>
      <c r="AP378" s="237"/>
      <c r="AQ378" s="228"/>
      <c r="AR378" s="232"/>
      <c r="AS378" s="228"/>
      <c r="AT378" s="229"/>
      <c r="AU378" s="229">
        <v>43453.379062268497</v>
      </c>
      <c r="AV378" s="229"/>
      <c r="AW378" s="229"/>
      <c r="AX378" s="229"/>
      <c r="AY378" s="229"/>
      <c r="AZ378" s="238">
        <v>43236</v>
      </c>
      <c r="BA378" s="1" t="s">
        <v>7684</v>
      </c>
      <c r="BB378"/>
      <c r="BC378">
        <v>40</v>
      </c>
      <c r="BD378">
        <v>372</v>
      </c>
      <c r="BE37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78" s="240">
        <f>COUNTIFS(_05preva_view43[Site ID],_05preva_view43[[#This Row],[Site ID]],_05preva_view43[Prevalidation Status],"Under Prevalidation")</f>
        <v>0</v>
      </c>
      <c r="BG37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8" s="242" t="str">
        <f>CONCATENATE(_05preva_view43[[#This Row],[Site ID]]," (",_05preva_view43[[#This Row],[tenant id]],") Application",IF(_05preva_view43[[#This Row],[Colo Rev]]&gt;0," Rev "&amp;_05preva_view43[[#This Row],[Colo Rev]],""),".xlsx")</f>
        <v>ANSG_0464 (SAW0732) Application.xlsx</v>
      </c>
      <c r="BI378" s="64" t="e">
        <f t="shared" ca="1" si="6"/>
        <v>#VALUE!</v>
      </c>
      <c r="BJ378" s="104" t="e">
        <f ca="1">LEFT(CELL("filename",A363),_05preva_view43[[#This Row],[Find Process &amp; Database]]-1)</f>
        <v>#VALUE!</v>
      </c>
      <c r="BK378" s="104" t="e">
        <f ca="1">_05preva_view43[Folder Path1]&amp;"Process &amp; Database\Documentation\Colo Applications"</f>
        <v>#VALUE!</v>
      </c>
      <c r="BL378" s="104" t="e">
        <f ca="1">_05preva_view43[Folder Path2]&amp;"\Colo App "&amp;_05preva_view43[[#This Row],[Operator]]&amp;"\"</f>
        <v>#VALUE!</v>
      </c>
      <c r="BM378" s="63" t="e">
        <f ca="1">_05preva_view43[[#This Row],[Folder Path3]]&amp;_05preva_view43[[#This Row],[File Name]]</f>
        <v>#VALUE!</v>
      </c>
      <c r="BN378" s="104"/>
      <c r="CF378" s="5"/>
      <c r="CG378" s="5"/>
      <c r="CH378" s="3"/>
      <c r="CJ378" s="5"/>
      <c r="CN378" s="3"/>
      <c r="CO378" s="3"/>
      <c r="CP378" s="5"/>
      <c r="CR378" s="3"/>
      <c r="DN378" s="5"/>
      <c r="DP378" s="3"/>
      <c r="EB378" s="7"/>
      <c r="EC378" s="7"/>
      <c r="EF378" s="4"/>
      <c r="EG378" s="4"/>
      <c r="EQ378" s="2"/>
      <c r="ER378" s="2"/>
    </row>
    <row r="379" spans="1:148">
      <c r="A379" s="227">
        <v>210</v>
      </c>
      <c r="B379" s="228" t="s">
        <v>495</v>
      </c>
      <c r="C379" s="228" t="s">
        <v>116</v>
      </c>
      <c r="D379" s="228" t="s">
        <v>153</v>
      </c>
      <c r="E379" s="228" t="s">
        <v>496</v>
      </c>
      <c r="F379" s="228" t="s">
        <v>40</v>
      </c>
      <c r="G379" s="228" t="s">
        <v>1289</v>
      </c>
      <c r="H379" s="228" t="s">
        <v>1285</v>
      </c>
      <c r="I379" s="228" t="s">
        <v>118</v>
      </c>
      <c r="J379" s="228"/>
      <c r="K379" s="229">
        <v>43236</v>
      </c>
      <c r="L379" s="230"/>
      <c r="M379" s="230">
        <v>3</v>
      </c>
      <c r="N379" s="228"/>
      <c r="O379" s="228" t="s">
        <v>119</v>
      </c>
      <c r="P379" s="231"/>
      <c r="Q379" s="231"/>
      <c r="R379" s="228" t="s">
        <v>24</v>
      </c>
      <c r="S379" s="228"/>
      <c r="T379" s="232" t="s">
        <v>120</v>
      </c>
      <c r="U379" s="228" t="s">
        <v>301</v>
      </c>
      <c r="V379" s="232" t="s">
        <v>120</v>
      </c>
      <c r="W379" s="228"/>
      <c r="X379" s="232" t="s">
        <v>120</v>
      </c>
      <c r="Y379" s="228" t="s">
        <v>120</v>
      </c>
      <c r="Z379" s="233" t="s">
        <v>120</v>
      </c>
      <c r="AA379" s="234"/>
      <c r="AB379" s="234"/>
      <c r="AC379" s="235"/>
      <c r="AD379" s="228" t="s">
        <v>120</v>
      </c>
      <c r="AE379" s="232" t="s">
        <v>120</v>
      </c>
      <c r="AF379" s="229" t="s">
        <v>207</v>
      </c>
      <c r="AG379" s="236"/>
      <c r="AH379" s="236">
        <v>3.5</v>
      </c>
      <c r="AI379" s="228" t="s">
        <v>399</v>
      </c>
      <c r="AJ379" s="232" t="s">
        <v>120</v>
      </c>
      <c r="AK379" s="228" t="s">
        <v>123</v>
      </c>
      <c r="AL379" s="228"/>
      <c r="AM379" s="232"/>
      <c r="AN379" s="228"/>
      <c r="AO379" s="228"/>
      <c r="AP379" s="237"/>
      <c r="AQ379" s="228"/>
      <c r="AR379" s="232"/>
      <c r="AS379" s="228"/>
      <c r="AT379" s="229"/>
      <c r="AU379" s="229">
        <v>43453.379063078697</v>
      </c>
      <c r="AV379" s="229"/>
      <c r="AW379" s="229"/>
      <c r="AX379" s="229"/>
      <c r="AY379" s="229"/>
      <c r="AZ379" s="238">
        <v>43236</v>
      </c>
      <c r="BA379" s="1" t="s">
        <v>7684</v>
      </c>
      <c r="BB379"/>
      <c r="BC379">
        <v>45</v>
      </c>
      <c r="BD379">
        <v>1259</v>
      </c>
      <c r="BE37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79" s="240">
        <f>COUNTIFS(_05preva_view43[Site ID],_05preva_view43[[#This Row],[Site ID]],_05preva_view43[Prevalidation Status],"Under Prevalidation")</f>
        <v>0</v>
      </c>
      <c r="BG37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79" s="242" t="str">
        <f>CONCATENATE(_05preva_view43[[#This Row],[Site ID]]," (",_05preva_view43[[#This Row],[tenant id]],") Application",IF(_05preva_view43[[#This Row],[Colo Rev]]&gt;0," Rev "&amp;_05preva_view43[[#This Row],[Colo Rev]],""),".xlsx")</f>
        <v>AYYN_0599 (YAW7859) Application.xlsx</v>
      </c>
      <c r="BI379" s="64" t="e">
        <f t="shared" ca="1" si="6"/>
        <v>#VALUE!</v>
      </c>
      <c r="BJ379" s="104" t="e">
        <f ca="1">LEFT(CELL("filename",A364),_05preva_view43[[#This Row],[Find Process &amp; Database]]-1)</f>
        <v>#VALUE!</v>
      </c>
      <c r="BK379" s="104" t="e">
        <f ca="1">_05preva_view43[Folder Path1]&amp;"Process &amp; Database\Documentation\Colo Applications"</f>
        <v>#VALUE!</v>
      </c>
      <c r="BL379" s="104" t="e">
        <f ca="1">_05preva_view43[Folder Path2]&amp;"\Colo App "&amp;_05preva_view43[[#This Row],[Operator]]&amp;"\"</f>
        <v>#VALUE!</v>
      </c>
      <c r="BM379" s="63" t="e">
        <f ca="1">_05preva_view43[[#This Row],[Folder Path3]]&amp;_05preva_view43[[#This Row],[File Name]]</f>
        <v>#VALUE!</v>
      </c>
      <c r="BN379" s="104"/>
      <c r="CF379" s="5"/>
      <c r="CG379" s="5"/>
      <c r="CH379" s="3"/>
      <c r="CJ379" s="5"/>
      <c r="CN379" s="3"/>
      <c r="CO379" s="3"/>
      <c r="CP379" s="5"/>
      <c r="CR379" s="3"/>
      <c r="DN379" s="5"/>
      <c r="DP379" s="3"/>
      <c r="EB379" s="7"/>
      <c r="EC379" s="7"/>
      <c r="EF379" s="4"/>
      <c r="EG379" s="4"/>
      <c r="EQ379" s="2"/>
      <c r="ER379" s="2"/>
    </row>
    <row r="380" spans="1:148">
      <c r="A380" s="227">
        <v>212</v>
      </c>
      <c r="B380" s="228" t="s">
        <v>497</v>
      </c>
      <c r="C380" s="228" t="s">
        <v>116</v>
      </c>
      <c r="D380" s="228" t="s">
        <v>153</v>
      </c>
      <c r="E380" s="228" t="s">
        <v>498</v>
      </c>
      <c r="F380" s="228" t="s">
        <v>40</v>
      </c>
      <c r="G380" s="228" t="s">
        <v>118</v>
      </c>
      <c r="H380" s="228"/>
      <c r="I380" s="228" t="s">
        <v>118</v>
      </c>
      <c r="J380" s="228"/>
      <c r="K380" s="229">
        <v>43236</v>
      </c>
      <c r="L380" s="230"/>
      <c r="M380" s="230">
        <v>3</v>
      </c>
      <c r="N380" s="228"/>
      <c r="O380" s="228" t="s">
        <v>119</v>
      </c>
      <c r="P380" s="231"/>
      <c r="Q380" s="231"/>
      <c r="R380" s="228" t="s">
        <v>24</v>
      </c>
      <c r="S380" s="228"/>
      <c r="T380" s="232" t="s">
        <v>120</v>
      </c>
      <c r="U380" s="228" t="s">
        <v>301</v>
      </c>
      <c r="V380" s="232" t="s">
        <v>120</v>
      </c>
      <c r="W380" s="228"/>
      <c r="X380" s="232" t="s">
        <v>120</v>
      </c>
      <c r="Y380" s="228" t="s">
        <v>120</v>
      </c>
      <c r="Z380" s="233" t="s">
        <v>120</v>
      </c>
      <c r="AA380" s="234"/>
      <c r="AB380" s="234"/>
      <c r="AC380" s="235"/>
      <c r="AD380" s="228" t="s">
        <v>331</v>
      </c>
      <c r="AE380" s="232" t="s">
        <v>120</v>
      </c>
      <c r="AF380" s="229" t="s">
        <v>120</v>
      </c>
      <c r="AG380" s="236"/>
      <c r="AH380" s="236">
        <v>2</v>
      </c>
      <c r="AI380" s="228" t="s">
        <v>499</v>
      </c>
      <c r="AJ380" s="232" t="s">
        <v>120</v>
      </c>
      <c r="AK380" s="228" t="s">
        <v>123</v>
      </c>
      <c r="AL380" s="228"/>
      <c r="AM380" s="232"/>
      <c r="AN380" s="228"/>
      <c r="AO380" s="228"/>
      <c r="AP380" s="237"/>
      <c r="AQ380" s="228"/>
      <c r="AR380" s="232"/>
      <c r="AS380" s="228"/>
      <c r="AT380" s="229"/>
      <c r="AU380" s="229">
        <v>43453.379064930603</v>
      </c>
      <c r="AV380" s="229"/>
      <c r="AW380" s="229"/>
      <c r="AX380" s="229"/>
      <c r="AY380" s="229"/>
      <c r="AZ380" s="238">
        <v>43236</v>
      </c>
      <c r="BA380" s="1" t="s">
        <v>7684</v>
      </c>
      <c r="BB380">
        <v>160</v>
      </c>
      <c r="BC380">
        <v>45</v>
      </c>
      <c r="BD380">
        <v>1740</v>
      </c>
      <c r="BE38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0" s="240">
        <f>COUNTIFS(_05preva_view43[Site ID],_05preva_view43[[#This Row],[Site ID]],_05preva_view43[Prevalidation Status],"Under Prevalidation")</f>
        <v>0</v>
      </c>
      <c r="BG38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0" s="242" t="str">
        <f>CONCATENATE(_05preva_view43[[#This Row],[Site ID]]," (",_05preva_view43[[#This Row],[tenant id]],") Application",IF(_05preva_view43[[#This Row],[Colo Rev]]&gt;0," Rev "&amp;_05preva_view43[[#This Row],[Colo Rev]],""),".xlsx")</f>
        <v>AYYN_0223 (YAW7853) Application.xlsx</v>
      </c>
      <c r="BI380" s="64" t="e">
        <f t="shared" ca="1" si="6"/>
        <v>#VALUE!</v>
      </c>
      <c r="BJ380" s="104" t="e">
        <f ca="1">LEFT(CELL("filename",A365),_05preva_view43[[#This Row],[Find Process &amp; Database]]-1)</f>
        <v>#VALUE!</v>
      </c>
      <c r="BK380" s="104" t="e">
        <f ca="1">_05preva_view43[Folder Path1]&amp;"Process &amp; Database\Documentation\Colo Applications"</f>
        <v>#VALUE!</v>
      </c>
      <c r="BL380" s="104" t="e">
        <f ca="1">_05preva_view43[Folder Path2]&amp;"\Colo App "&amp;_05preva_view43[[#This Row],[Operator]]&amp;"\"</f>
        <v>#VALUE!</v>
      </c>
      <c r="BM380" s="63" t="e">
        <f ca="1">_05preva_view43[[#This Row],[Folder Path3]]&amp;_05preva_view43[[#This Row],[File Name]]</f>
        <v>#VALUE!</v>
      </c>
      <c r="BN380" s="104"/>
      <c r="CF380" s="5"/>
      <c r="CG380" s="5"/>
      <c r="CH380" s="3"/>
      <c r="CJ380" s="5"/>
      <c r="CN380" s="3"/>
      <c r="CO380" s="3"/>
      <c r="CP380" s="5"/>
      <c r="CR380" s="3"/>
      <c r="DN380" s="5"/>
      <c r="DP380" s="3"/>
      <c r="EB380" s="7"/>
      <c r="EC380" s="7"/>
      <c r="EF380" s="4"/>
      <c r="EG380" s="4"/>
      <c r="EQ380" s="2"/>
      <c r="ER380" s="2"/>
    </row>
    <row r="381" spans="1:148">
      <c r="A381" s="227">
        <v>213</v>
      </c>
      <c r="B381" s="228" t="s">
        <v>500</v>
      </c>
      <c r="C381" s="228" t="s">
        <v>116</v>
      </c>
      <c r="D381" s="228" t="s">
        <v>153</v>
      </c>
      <c r="E381" s="228" t="s">
        <v>501</v>
      </c>
      <c r="F381" s="228" t="s">
        <v>40</v>
      </c>
      <c r="G381" s="228" t="s">
        <v>1289</v>
      </c>
      <c r="H381" s="228" t="s">
        <v>1285</v>
      </c>
      <c r="I381" s="228" t="s">
        <v>118</v>
      </c>
      <c r="J381" s="228"/>
      <c r="K381" s="229">
        <v>43236</v>
      </c>
      <c r="L381" s="230"/>
      <c r="M381" s="230">
        <v>3</v>
      </c>
      <c r="N381" s="228"/>
      <c r="O381" s="228" t="s">
        <v>119</v>
      </c>
      <c r="P381" s="231"/>
      <c r="Q381" s="231"/>
      <c r="R381" s="228" t="s">
        <v>24</v>
      </c>
      <c r="S381" s="228"/>
      <c r="T381" s="232" t="s">
        <v>120</v>
      </c>
      <c r="U381" s="228" t="s">
        <v>301</v>
      </c>
      <c r="V381" s="232" t="s">
        <v>120</v>
      </c>
      <c r="W381" s="228"/>
      <c r="X381" s="232" t="s">
        <v>120</v>
      </c>
      <c r="Y381" s="228" t="s">
        <v>120</v>
      </c>
      <c r="Z381" s="233" t="s">
        <v>120</v>
      </c>
      <c r="AA381" s="234"/>
      <c r="AB381" s="234"/>
      <c r="AC381" s="235"/>
      <c r="AD381" s="228" t="s">
        <v>120</v>
      </c>
      <c r="AE381" s="232" t="s">
        <v>120</v>
      </c>
      <c r="AF381" s="229" t="s">
        <v>207</v>
      </c>
      <c r="AG381" s="236"/>
      <c r="AH381" s="236">
        <v>3.5</v>
      </c>
      <c r="AI381" s="228" t="s">
        <v>308</v>
      </c>
      <c r="AJ381" s="232" t="s">
        <v>120</v>
      </c>
      <c r="AK381" s="228" t="s">
        <v>123</v>
      </c>
      <c r="AL381" s="228"/>
      <c r="AM381" s="232"/>
      <c r="AN381" s="228"/>
      <c r="AO381" s="228"/>
      <c r="AP381" s="237"/>
      <c r="AQ381" s="228"/>
      <c r="AR381" s="232"/>
      <c r="AS381" s="228"/>
      <c r="AT381" s="229"/>
      <c r="AU381" s="229">
        <v>43453.379065740701</v>
      </c>
      <c r="AV381" s="229"/>
      <c r="AW381" s="229"/>
      <c r="AX381" s="229"/>
      <c r="AY381" s="229"/>
      <c r="AZ381" s="238">
        <v>43236</v>
      </c>
      <c r="BA381" s="1" t="s">
        <v>7684</v>
      </c>
      <c r="BB381"/>
      <c r="BC381">
        <v>35</v>
      </c>
      <c r="BD381">
        <v>1300</v>
      </c>
      <c r="BE38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1" s="240">
        <f>COUNTIFS(_05preva_view43[Site ID],_05preva_view43[[#This Row],[Site ID]],_05preva_view43[Prevalidation Status],"Under Prevalidation")</f>
        <v>0</v>
      </c>
      <c r="BG38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1" s="242" t="str">
        <f>CONCATENATE(_05preva_view43[[#This Row],[Site ID]]," (",_05preva_view43[[#This Row],[tenant id]],") Application",IF(_05preva_view43[[#This Row],[Colo Rev]]&gt;0," Rev "&amp;_05preva_view43[[#This Row],[Colo Rev]],""),".xlsx")</f>
        <v>AYYN_0206 (YAW7848) Application.xlsx</v>
      </c>
      <c r="BI381" s="64" t="e">
        <f t="shared" ca="1" si="6"/>
        <v>#VALUE!</v>
      </c>
      <c r="BJ381" s="104" t="e">
        <f ca="1">LEFT(CELL("filename",A366),_05preva_view43[[#This Row],[Find Process &amp; Database]]-1)</f>
        <v>#VALUE!</v>
      </c>
      <c r="BK381" s="104" t="e">
        <f ca="1">_05preva_view43[Folder Path1]&amp;"Process &amp; Database\Documentation\Colo Applications"</f>
        <v>#VALUE!</v>
      </c>
      <c r="BL381" s="104" t="e">
        <f ca="1">_05preva_view43[Folder Path2]&amp;"\Colo App "&amp;_05preva_view43[[#This Row],[Operator]]&amp;"\"</f>
        <v>#VALUE!</v>
      </c>
      <c r="BM381" s="63" t="e">
        <f ca="1">_05preva_view43[[#This Row],[Folder Path3]]&amp;_05preva_view43[[#This Row],[File Name]]</f>
        <v>#VALUE!</v>
      </c>
      <c r="BN381" s="104"/>
      <c r="CF381" s="5"/>
      <c r="CG381" s="5"/>
      <c r="CH381" s="3"/>
      <c r="CJ381" s="5"/>
      <c r="CN381" s="3"/>
      <c r="CO381" s="3"/>
      <c r="CP381" s="5"/>
      <c r="CR381" s="3"/>
      <c r="DN381" s="5"/>
      <c r="DP381" s="3"/>
      <c r="EB381" s="7"/>
      <c r="EC381" s="7"/>
      <c r="EF381" s="4"/>
      <c r="EG381" s="4"/>
      <c r="EQ381" s="2"/>
      <c r="ER381" s="2"/>
    </row>
    <row r="382" spans="1:148">
      <c r="A382" s="227">
        <v>215</v>
      </c>
      <c r="B382" s="228" t="s">
        <v>502</v>
      </c>
      <c r="C382" s="228" t="s">
        <v>116</v>
      </c>
      <c r="D382" s="228" t="s">
        <v>153</v>
      </c>
      <c r="E382" s="228" t="s">
        <v>503</v>
      </c>
      <c r="F382" s="228" t="s">
        <v>40</v>
      </c>
      <c r="G382" s="228" t="s">
        <v>1289</v>
      </c>
      <c r="H382" s="228" t="s">
        <v>1290</v>
      </c>
      <c r="I382" s="228" t="s">
        <v>118</v>
      </c>
      <c r="J382" s="228"/>
      <c r="K382" s="229">
        <v>43236</v>
      </c>
      <c r="L382" s="230"/>
      <c r="M382" s="230">
        <v>3</v>
      </c>
      <c r="N382" s="228"/>
      <c r="O382" s="228" t="s">
        <v>119</v>
      </c>
      <c r="P382" s="231"/>
      <c r="Q382" s="231"/>
      <c r="R382" s="228" t="s">
        <v>24</v>
      </c>
      <c r="S382" s="228"/>
      <c r="T382" s="232" t="s">
        <v>120</v>
      </c>
      <c r="U382" s="228" t="s">
        <v>301</v>
      </c>
      <c r="V382" s="232" t="s">
        <v>120</v>
      </c>
      <c r="W382" s="228"/>
      <c r="X382" s="232" t="s">
        <v>120</v>
      </c>
      <c r="Y382" s="228" t="s">
        <v>120</v>
      </c>
      <c r="Z382" s="233" t="s">
        <v>120</v>
      </c>
      <c r="AA382" s="234"/>
      <c r="AB382" s="234"/>
      <c r="AC382" s="235"/>
      <c r="AD382" s="228" t="s">
        <v>120</v>
      </c>
      <c r="AE382" s="232" t="s">
        <v>120</v>
      </c>
      <c r="AF382" s="229" t="s">
        <v>358</v>
      </c>
      <c r="AG382" s="236"/>
      <c r="AH382" s="236">
        <v>3.5</v>
      </c>
      <c r="AI382" s="228" t="s">
        <v>211</v>
      </c>
      <c r="AJ382" s="232" t="s">
        <v>120</v>
      </c>
      <c r="AK382" s="228" t="s">
        <v>123</v>
      </c>
      <c r="AL382" s="228"/>
      <c r="AM382" s="232"/>
      <c r="AN382" s="228"/>
      <c r="AO382" s="228"/>
      <c r="AP382" s="237"/>
      <c r="AQ382" s="228"/>
      <c r="AR382" s="232"/>
      <c r="AS382" s="228"/>
      <c r="AT382" s="229"/>
      <c r="AU382" s="229">
        <v>43453.3790665509</v>
      </c>
      <c r="AV382" s="229"/>
      <c r="AW382" s="229"/>
      <c r="AX382" s="229"/>
      <c r="AY382" s="229"/>
      <c r="AZ382" s="238">
        <v>43236</v>
      </c>
      <c r="BA382" s="1" t="s">
        <v>7684</v>
      </c>
      <c r="BB382">
        <v>195</v>
      </c>
      <c r="BC382">
        <v>45</v>
      </c>
      <c r="BD382">
        <v>228</v>
      </c>
      <c r="BE38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2" s="240">
        <f>COUNTIFS(_05preva_view43[Site ID],_05preva_view43[[#This Row],[Site ID]],_05preva_view43[Prevalidation Status],"Under Prevalidation")</f>
        <v>0</v>
      </c>
      <c r="BG38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2" s="242" t="str">
        <f>CONCATENATE(_05preva_view43[[#This Row],[Site ID]]," (",_05preva_view43[[#This Row],[tenant id]],") Application",IF(_05preva_view43[[#This Row],[Colo Rev]]&gt;0," Rev "&amp;_05preva_view43[[#This Row],[Colo Rev]],""),".xlsx")</f>
        <v>AYYN_0144 (YAW7846) Application.xlsx</v>
      </c>
      <c r="BI382" s="64" t="e">
        <f t="shared" ca="1" si="6"/>
        <v>#VALUE!</v>
      </c>
      <c r="BJ382" s="104" t="e">
        <f ca="1">LEFT(CELL("filename",A367),_05preva_view43[[#This Row],[Find Process &amp; Database]]-1)</f>
        <v>#VALUE!</v>
      </c>
      <c r="BK382" s="104" t="e">
        <f ca="1">_05preva_view43[Folder Path1]&amp;"Process &amp; Database\Documentation\Colo Applications"</f>
        <v>#VALUE!</v>
      </c>
      <c r="BL382" s="104" t="e">
        <f ca="1">_05preva_view43[Folder Path2]&amp;"\Colo App "&amp;_05preva_view43[[#This Row],[Operator]]&amp;"\"</f>
        <v>#VALUE!</v>
      </c>
      <c r="BM382" s="63" t="e">
        <f ca="1">_05preva_view43[[#This Row],[Folder Path3]]&amp;_05preva_view43[[#This Row],[File Name]]</f>
        <v>#VALUE!</v>
      </c>
      <c r="BN382" s="104"/>
      <c r="CF382" s="5"/>
      <c r="CG382" s="5"/>
      <c r="CH382" s="3"/>
      <c r="CJ382" s="5"/>
      <c r="CN382" s="3"/>
      <c r="CO382" s="3"/>
      <c r="CP382" s="5"/>
      <c r="CR382" s="3"/>
      <c r="DN382" s="5"/>
      <c r="DP382" s="3"/>
      <c r="EB382" s="7"/>
      <c r="EC382" s="7"/>
      <c r="EF382" s="4"/>
      <c r="EG382" s="4"/>
      <c r="EQ382" s="2"/>
      <c r="ER382" s="2"/>
    </row>
    <row r="383" spans="1:148">
      <c r="A383" s="227">
        <v>216</v>
      </c>
      <c r="B383" s="228" t="s">
        <v>504</v>
      </c>
      <c r="C383" s="228" t="s">
        <v>116</v>
      </c>
      <c r="D383" s="228" t="s">
        <v>153</v>
      </c>
      <c r="E383" s="228" t="s">
        <v>505</v>
      </c>
      <c r="F383" s="228" t="s">
        <v>40</v>
      </c>
      <c r="G383" s="228" t="s">
        <v>1289</v>
      </c>
      <c r="H383" s="228" t="s">
        <v>1290</v>
      </c>
      <c r="I383" s="228" t="s">
        <v>118</v>
      </c>
      <c r="J383" s="228"/>
      <c r="K383" s="229">
        <v>43236</v>
      </c>
      <c r="L383" s="230"/>
      <c r="M383" s="230">
        <v>3</v>
      </c>
      <c r="N383" s="228"/>
      <c r="O383" s="228" t="s">
        <v>119</v>
      </c>
      <c r="P383" s="231"/>
      <c r="Q383" s="231"/>
      <c r="R383" s="228" t="s">
        <v>24</v>
      </c>
      <c r="S383" s="228"/>
      <c r="T383" s="232" t="s">
        <v>120</v>
      </c>
      <c r="U383" s="228" t="s">
        <v>301</v>
      </c>
      <c r="V383" s="232" t="s">
        <v>120</v>
      </c>
      <c r="W383" s="228"/>
      <c r="X383" s="232" t="s">
        <v>120</v>
      </c>
      <c r="Y383" s="228" t="s">
        <v>120</v>
      </c>
      <c r="Z383" s="233" t="s">
        <v>120</v>
      </c>
      <c r="AA383" s="234"/>
      <c r="AB383" s="234"/>
      <c r="AC383" s="235" t="s">
        <v>350</v>
      </c>
      <c r="AD383" s="228"/>
      <c r="AE383" s="232" t="s">
        <v>125</v>
      </c>
      <c r="AF383" s="229"/>
      <c r="AG383" s="236"/>
      <c r="AH383" s="236"/>
      <c r="AI383" s="228" t="s">
        <v>368</v>
      </c>
      <c r="AJ383" s="232" t="s">
        <v>120</v>
      </c>
      <c r="AK383" s="228" t="s">
        <v>123</v>
      </c>
      <c r="AL383" s="228"/>
      <c r="AM383" s="232"/>
      <c r="AN383" s="228"/>
      <c r="AO383" s="228"/>
      <c r="AP383" s="237"/>
      <c r="AQ383" s="228"/>
      <c r="AR383" s="232"/>
      <c r="AS383" s="228"/>
      <c r="AT383" s="229"/>
      <c r="AU383" s="229"/>
      <c r="AV383" s="229"/>
      <c r="AW383" s="229"/>
      <c r="AX383" s="229"/>
      <c r="AY383" s="229"/>
      <c r="AZ383" s="238"/>
      <c r="BA383" s="1" t="s">
        <v>7684</v>
      </c>
      <c r="BB383"/>
      <c r="BC383">
        <v>45</v>
      </c>
      <c r="BD383">
        <v>1700</v>
      </c>
      <c r="BE38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3" s="240">
        <f>COUNTIFS(_05preva_view43[Site ID],_05preva_view43[[#This Row],[Site ID]],_05preva_view43[Prevalidation Status],"Under Prevalidation")</f>
        <v>0</v>
      </c>
      <c r="BG38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3" s="242" t="str">
        <f>CONCATENATE(_05preva_view43[[#This Row],[Site ID]]," (",_05preva_view43[[#This Row],[tenant id]],") Application",IF(_05preva_view43[[#This Row],[Colo Rev]]&gt;0," Rev "&amp;_05preva_view43[[#This Row],[Colo Rev]],""),".xlsx")</f>
        <v>AYYN_0066 (YAW7843) Application.xlsx</v>
      </c>
      <c r="BI383" s="64" t="e">
        <f t="shared" ca="1" si="6"/>
        <v>#VALUE!</v>
      </c>
      <c r="BJ383" s="104" t="e">
        <f ca="1">LEFT(CELL("filename",A368),_05preva_view43[[#This Row],[Find Process &amp; Database]]-1)</f>
        <v>#VALUE!</v>
      </c>
      <c r="BK383" s="104" t="e">
        <f ca="1">_05preva_view43[Folder Path1]&amp;"Process &amp; Database\Documentation\Colo Applications"</f>
        <v>#VALUE!</v>
      </c>
      <c r="BL383" s="104" t="e">
        <f ca="1">_05preva_view43[Folder Path2]&amp;"\Colo App "&amp;_05preva_view43[[#This Row],[Operator]]&amp;"\"</f>
        <v>#VALUE!</v>
      </c>
      <c r="BM383" s="63" t="e">
        <f ca="1">_05preva_view43[[#This Row],[Folder Path3]]&amp;_05preva_view43[[#This Row],[File Name]]</f>
        <v>#VALUE!</v>
      </c>
      <c r="BN383" s="104"/>
      <c r="CF383" s="5"/>
      <c r="CG383" s="5"/>
      <c r="CH383" s="3"/>
      <c r="CJ383" s="5"/>
      <c r="CN383" s="3"/>
      <c r="CO383" s="3"/>
      <c r="CP383" s="5"/>
      <c r="CR383" s="3"/>
      <c r="DN383" s="5"/>
      <c r="DP383" s="3"/>
      <c r="EB383" s="7"/>
      <c r="EC383" s="7"/>
      <c r="EF383" s="4"/>
      <c r="EG383" s="4"/>
      <c r="EQ383" s="2"/>
      <c r="ER383" s="2"/>
    </row>
    <row r="384" spans="1:148">
      <c r="A384" s="227">
        <v>59</v>
      </c>
      <c r="B384" s="228" t="s">
        <v>296</v>
      </c>
      <c r="C384" s="228" t="s">
        <v>116</v>
      </c>
      <c r="D384" s="228" t="s">
        <v>153</v>
      </c>
      <c r="E384" s="228" t="s">
        <v>297</v>
      </c>
      <c r="F384" s="228" t="s">
        <v>40</v>
      </c>
      <c r="G384" s="228" t="s">
        <v>1288</v>
      </c>
      <c r="H384" s="228" t="s">
        <v>1285</v>
      </c>
      <c r="I384" s="228" t="s">
        <v>118</v>
      </c>
      <c r="J384" s="228"/>
      <c r="K384" s="229">
        <v>43234</v>
      </c>
      <c r="L384" s="230"/>
      <c r="M384" s="230">
        <v>3</v>
      </c>
      <c r="N384" s="228">
        <v>6</v>
      </c>
      <c r="O384" s="228" t="s">
        <v>119</v>
      </c>
      <c r="P384" s="231" t="s">
        <v>291</v>
      </c>
      <c r="Q384" s="231" t="s">
        <v>292</v>
      </c>
      <c r="R384" s="228" t="s">
        <v>24</v>
      </c>
      <c r="S384" s="228"/>
      <c r="T384" s="232" t="s">
        <v>120</v>
      </c>
      <c r="U384" s="228" t="s">
        <v>298</v>
      </c>
      <c r="V384" s="232" t="s">
        <v>120</v>
      </c>
      <c r="W384" s="228"/>
      <c r="X384" s="232" t="s">
        <v>120</v>
      </c>
      <c r="Y384" s="228"/>
      <c r="Z384" s="233" t="s">
        <v>120</v>
      </c>
      <c r="AA384" s="234"/>
      <c r="AB384" s="234"/>
      <c r="AC384" s="235"/>
      <c r="AD384" s="228"/>
      <c r="AE384" s="232" t="s">
        <v>120</v>
      </c>
      <c r="AF384" s="229" t="s">
        <v>207</v>
      </c>
      <c r="AG384" s="236"/>
      <c r="AH384" s="236">
        <v>3.5</v>
      </c>
      <c r="AI384" s="228" t="s">
        <v>295</v>
      </c>
      <c r="AJ384" s="232" t="s">
        <v>120</v>
      </c>
      <c r="AK384" s="228" t="s">
        <v>206</v>
      </c>
      <c r="AL384" s="228"/>
      <c r="AM384" s="232"/>
      <c r="AN384" s="228"/>
      <c r="AO384" s="228"/>
      <c r="AP384" s="237"/>
      <c r="AQ384" s="228"/>
      <c r="AR384" s="232"/>
      <c r="AS384" s="228"/>
      <c r="AT384" s="229"/>
      <c r="AU384" s="229">
        <v>43453.378968750003</v>
      </c>
      <c r="AV384" s="229"/>
      <c r="AW384" s="229"/>
      <c r="AX384" s="229"/>
      <c r="AY384" s="229"/>
      <c r="AZ384" s="238">
        <v>43234</v>
      </c>
      <c r="BA384" s="1" t="s">
        <v>7691</v>
      </c>
      <c r="BB384"/>
      <c r="BC384">
        <v>6</v>
      </c>
      <c r="BD384">
        <v>365</v>
      </c>
      <c r="BE38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4" s="240">
        <f>COUNTIFS(_05preva_view43[Site ID],_05preva_view43[[#This Row],[Site ID]],_05preva_view43[Prevalidation Status],"Under Prevalidation")</f>
        <v>0</v>
      </c>
      <c r="BG38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4" s="242" t="str">
        <f>CONCATENATE(_05preva_view43[[#This Row],[Site ID]]," (",_05preva_view43[[#This Row],[tenant id]],") Application",IF(_05preva_view43[[#This Row],[Colo Rev]]&gt;0," Rev "&amp;_05preva_view43[[#This Row],[Colo Rev]],""),".xlsx")</f>
        <v>ASKA_0137 (KNW6140) Application.xlsx</v>
      </c>
      <c r="BI384" s="64" t="e">
        <f t="shared" ca="1" si="6"/>
        <v>#VALUE!</v>
      </c>
      <c r="BJ384" s="104" t="e">
        <f ca="1">LEFT(CELL("filename",A369),_05preva_view43[[#This Row],[Find Process &amp; Database]]-1)</f>
        <v>#VALUE!</v>
      </c>
      <c r="BK384" s="104" t="e">
        <f ca="1">_05preva_view43[Folder Path1]&amp;"Process &amp; Database\Documentation\Colo Applications"</f>
        <v>#VALUE!</v>
      </c>
      <c r="BL384" s="104" t="e">
        <f ca="1">_05preva_view43[Folder Path2]&amp;"\Colo App "&amp;_05preva_view43[[#This Row],[Operator]]&amp;"\"</f>
        <v>#VALUE!</v>
      </c>
      <c r="BM384" s="63" t="e">
        <f ca="1">_05preva_view43[[#This Row],[Folder Path3]]&amp;_05preva_view43[[#This Row],[File Name]]</f>
        <v>#VALUE!</v>
      </c>
      <c r="BN384" s="104"/>
      <c r="CF384" s="5"/>
      <c r="CG384" s="5"/>
      <c r="CH384" s="3"/>
      <c r="CJ384" s="5"/>
      <c r="CN384" s="3"/>
      <c r="CO384" s="3"/>
      <c r="CP384" s="5"/>
      <c r="CR384" s="3"/>
      <c r="DN384" s="5"/>
      <c r="DP384" s="3"/>
      <c r="EB384" s="7"/>
      <c r="EC384" s="7"/>
      <c r="EF384" s="4"/>
      <c r="EG384" s="4"/>
      <c r="EQ384" s="2"/>
      <c r="ER384" s="2"/>
    </row>
    <row r="385" spans="1:148">
      <c r="A385" s="227">
        <v>55</v>
      </c>
      <c r="B385" s="228" t="s">
        <v>285</v>
      </c>
      <c r="C385" s="228" t="s">
        <v>116</v>
      </c>
      <c r="D385" s="228" t="s">
        <v>127</v>
      </c>
      <c r="E385" s="228" t="s">
        <v>286</v>
      </c>
      <c r="F385" s="228" t="s">
        <v>34</v>
      </c>
      <c r="G385" s="228" t="s">
        <v>1284</v>
      </c>
      <c r="H385" s="228" t="s">
        <v>1285</v>
      </c>
      <c r="I385" s="228" t="s">
        <v>118</v>
      </c>
      <c r="J385" s="228"/>
      <c r="K385" s="229">
        <v>43224</v>
      </c>
      <c r="L385" s="230"/>
      <c r="M385" s="230">
        <v>2</v>
      </c>
      <c r="N385" s="228">
        <v>6</v>
      </c>
      <c r="O385" s="228" t="s">
        <v>119</v>
      </c>
      <c r="P385" s="231" t="s">
        <v>247</v>
      </c>
      <c r="Q385" s="231" t="s">
        <v>227</v>
      </c>
      <c r="R385" s="228" t="s">
        <v>24</v>
      </c>
      <c r="S385" s="228"/>
      <c r="T385" s="232" t="s">
        <v>120</v>
      </c>
      <c r="U385" s="228" t="s">
        <v>121</v>
      </c>
      <c r="V385" s="232" t="s">
        <v>120</v>
      </c>
      <c r="W385" s="228"/>
      <c r="X385" s="232" t="s">
        <v>120</v>
      </c>
      <c r="Y385" s="228"/>
      <c r="Z385" s="233" t="s">
        <v>120</v>
      </c>
      <c r="AA385" s="234"/>
      <c r="AB385" s="234"/>
      <c r="AC385" s="235"/>
      <c r="AD385" s="228"/>
      <c r="AE385" s="232" t="s">
        <v>120</v>
      </c>
      <c r="AF385" s="229"/>
      <c r="AG385" s="236"/>
      <c r="AH385" s="236">
        <v>2</v>
      </c>
      <c r="AI385" s="228" t="s">
        <v>287</v>
      </c>
      <c r="AJ385" s="232" t="s">
        <v>120</v>
      </c>
      <c r="AK385" s="228" t="s">
        <v>123</v>
      </c>
      <c r="AL385" s="228"/>
      <c r="AM385" s="232"/>
      <c r="AN385" s="228"/>
      <c r="AO385" s="228"/>
      <c r="AP385" s="237"/>
      <c r="AQ385" s="228"/>
      <c r="AR385" s="232"/>
      <c r="AS385" s="228"/>
      <c r="AT385" s="229"/>
      <c r="AU385" s="229">
        <v>43453.378965162003</v>
      </c>
      <c r="AV385" s="229"/>
      <c r="AW385" s="229"/>
      <c r="AX385" s="229"/>
      <c r="AY385" s="229"/>
      <c r="AZ385" s="238">
        <v>43224</v>
      </c>
      <c r="BA385" s="1" t="s">
        <v>7684</v>
      </c>
      <c r="BB385"/>
      <c r="BC385">
        <v>35</v>
      </c>
      <c r="BD385">
        <v>1909</v>
      </c>
      <c r="BE38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5" s="240">
        <f>COUNTIFS(_05preva_view43[Site ID],_05preva_view43[[#This Row],[Site ID]],_05preva_view43[Prevalidation Status],"Under Prevalidation")</f>
        <v>0</v>
      </c>
      <c r="BG38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5" s="242" t="str">
        <f>CONCATENATE(_05preva_view43[[#This Row],[Site ID]]," (",_05preva_view43[[#This Row],[tenant id]],") Application",IF(_05preva_view43[[#This Row],[Colo Rev]]&gt;0," Rev "&amp;_05preva_view43[[#This Row],[Colo Rev]],""),".xlsx")</f>
        <v>ANMD_0080 (MDY0299) Application.xlsx</v>
      </c>
      <c r="BI385" s="64" t="e">
        <f t="shared" ca="1" si="6"/>
        <v>#VALUE!</v>
      </c>
      <c r="BJ385" s="104" t="e">
        <f ca="1">LEFT(CELL("filename",A370),_05preva_view43[[#This Row],[Find Process &amp; Database]]-1)</f>
        <v>#VALUE!</v>
      </c>
      <c r="BK385" s="104" t="e">
        <f ca="1">_05preva_view43[Folder Path1]&amp;"Process &amp; Database\Documentation\Colo Applications"</f>
        <v>#VALUE!</v>
      </c>
      <c r="BL385" s="104" t="e">
        <f ca="1">_05preva_view43[Folder Path2]&amp;"\Colo App "&amp;_05preva_view43[[#This Row],[Operator]]&amp;"\"</f>
        <v>#VALUE!</v>
      </c>
      <c r="BM385" s="63" t="e">
        <f ca="1">_05preva_view43[[#This Row],[Folder Path3]]&amp;_05preva_view43[[#This Row],[File Name]]</f>
        <v>#VALUE!</v>
      </c>
      <c r="BN385" s="104"/>
      <c r="CF385" s="5"/>
      <c r="CG385" s="5"/>
      <c r="CH385" s="3"/>
      <c r="CJ385" s="5"/>
      <c r="CN385" s="3"/>
      <c r="CO385" s="3"/>
      <c r="CP385" s="5"/>
      <c r="CR385" s="3"/>
      <c r="DN385" s="5"/>
      <c r="DP385" s="3"/>
      <c r="EB385" s="7"/>
      <c r="EC385" s="7"/>
      <c r="EF385" s="4"/>
      <c r="EG385" s="4"/>
      <c r="EQ385" s="2"/>
      <c r="ER385" s="2"/>
    </row>
    <row r="386" spans="1:148">
      <c r="A386" s="227">
        <v>57</v>
      </c>
      <c r="B386" s="228" t="s">
        <v>289</v>
      </c>
      <c r="C386" s="228" t="s">
        <v>116</v>
      </c>
      <c r="D386" s="228" t="s">
        <v>153</v>
      </c>
      <c r="E386" s="228" t="s">
        <v>290</v>
      </c>
      <c r="F386" s="228" t="s">
        <v>40</v>
      </c>
      <c r="G386" s="228" t="s">
        <v>1289</v>
      </c>
      <c r="H386" s="228" t="s">
        <v>1285</v>
      </c>
      <c r="I386" s="228" t="s">
        <v>118</v>
      </c>
      <c r="J386" s="228"/>
      <c r="K386" s="229">
        <v>43224</v>
      </c>
      <c r="L386" s="230"/>
      <c r="M386" s="230">
        <v>3</v>
      </c>
      <c r="N386" s="228">
        <v>6</v>
      </c>
      <c r="O386" s="228" t="s">
        <v>119</v>
      </c>
      <c r="P386" s="231" t="s">
        <v>291</v>
      </c>
      <c r="Q386" s="231" t="s">
        <v>292</v>
      </c>
      <c r="R386" s="228" t="s">
        <v>24</v>
      </c>
      <c r="S386" s="228"/>
      <c r="T386" s="232" t="s">
        <v>120</v>
      </c>
      <c r="U386" s="228" t="s">
        <v>121</v>
      </c>
      <c r="V386" s="232" t="s">
        <v>120</v>
      </c>
      <c r="W386" s="228"/>
      <c r="X386" s="232" t="s">
        <v>120</v>
      </c>
      <c r="Y386" s="228"/>
      <c r="Z386" s="233" t="s">
        <v>120</v>
      </c>
      <c r="AA386" s="234"/>
      <c r="AB386" s="234"/>
      <c r="AC386" s="235"/>
      <c r="AD386" s="228" t="s">
        <v>293</v>
      </c>
      <c r="AE386" s="232" t="s">
        <v>120</v>
      </c>
      <c r="AF386" s="229" t="s">
        <v>207</v>
      </c>
      <c r="AG386" s="236"/>
      <c r="AH386" s="236">
        <v>3.5</v>
      </c>
      <c r="AI386" s="228" t="s">
        <v>295</v>
      </c>
      <c r="AJ386" s="232" t="s">
        <v>120</v>
      </c>
      <c r="AK386" s="228" t="s">
        <v>123</v>
      </c>
      <c r="AL386" s="228" t="s">
        <v>294</v>
      </c>
      <c r="AM386" s="232"/>
      <c r="AN386" s="228"/>
      <c r="AO386" s="228"/>
      <c r="AP386" s="237"/>
      <c r="AQ386" s="228"/>
      <c r="AR386" s="232"/>
      <c r="AS386" s="228"/>
      <c r="AT386" s="229"/>
      <c r="AU386" s="229">
        <v>43453.3789680556</v>
      </c>
      <c r="AV386" s="229"/>
      <c r="AW386" s="229"/>
      <c r="AX386" s="229"/>
      <c r="AY386" s="229"/>
      <c r="AZ386" s="238">
        <v>43224</v>
      </c>
      <c r="BA386" s="1" t="s">
        <v>7691</v>
      </c>
      <c r="BB386"/>
      <c r="BC386">
        <v>9</v>
      </c>
      <c r="BD386">
        <v>79</v>
      </c>
      <c r="BE38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6" s="240">
        <f>COUNTIFS(_05preva_view43[Site ID],_05preva_view43[[#This Row],[Site ID]],_05preva_view43[Prevalidation Status],"Under Prevalidation")</f>
        <v>0</v>
      </c>
      <c r="BG38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6" s="242" t="str">
        <f>CONCATENATE(_05preva_view43[[#This Row],[Site ID]]," (",_05preva_view43[[#This Row],[tenant id]],") Application",IF(_05preva_view43[[#This Row],[Colo Rev]]&gt;0," Rev "&amp;_05preva_view43[[#This Row],[Colo Rev]],""),".xlsx")</f>
        <v>AYYN_0527 (YAW7098) Application.xlsx</v>
      </c>
      <c r="BI386" s="64" t="e">
        <f t="shared" ca="1" si="6"/>
        <v>#VALUE!</v>
      </c>
      <c r="BJ386" s="104" t="e">
        <f ca="1">LEFT(CELL("filename",A371),_05preva_view43[[#This Row],[Find Process &amp; Database]]-1)</f>
        <v>#VALUE!</v>
      </c>
      <c r="BK386" s="104" t="e">
        <f ca="1">_05preva_view43[Folder Path1]&amp;"Process &amp; Database\Documentation\Colo Applications"</f>
        <v>#VALUE!</v>
      </c>
      <c r="BL386" s="104" t="e">
        <f ca="1">_05preva_view43[Folder Path2]&amp;"\Colo App "&amp;_05preva_view43[[#This Row],[Operator]]&amp;"\"</f>
        <v>#VALUE!</v>
      </c>
      <c r="BM386" s="63" t="e">
        <f ca="1">_05preva_view43[[#This Row],[Folder Path3]]&amp;_05preva_view43[[#This Row],[File Name]]</f>
        <v>#VALUE!</v>
      </c>
      <c r="BN386" s="104"/>
      <c r="CF386" s="5"/>
      <c r="CG386" s="5"/>
      <c r="CH386" s="3"/>
      <c r="CJ386" s="5"/>
      <c r="CN386" s="3"/>
      <c r="CO386" s="3"/>
      <c r="CP386" s="5"/>
      <c r="CR386" s="3"/>
      <c r="DN386" s="5"/>
      <c r="DP386" s="3"/>
      <c r="EB386" s="7"/>
      <c r="EC386" s="7"/>
      <c r="EF386" s="4"/>
      <c r="EG386" s="4"/>
      <c r="EQ386" s="2"/>
      <c r="ER386" s="2"/>
    </row>
    <row r="387" spans="1:148">
      <c r="A387" s="227">
        <v>42</v>
      </c>
      <c r="B387" s="228" t="s">
        <v>253</v>
      </c>
      <c r="C387" s="228" t="s">
        <v>116</v>
      </c>
      <c r="D387" s="228" t="s">
        <v>153</v>
      </c>
      <c r="E387" s="228" t="s">
        <v>254</v>
      </c>
      <c r="F387" s="228" t="s">
        <v>34</v>
      </c>
      <c r="G387" s="228" t="s">
        <v>1284</v>
      </c>
      <c r="H387" s="228" t="s">
        <v>1285</v>
      </c>
      <c r="I387" s="228" t="s">
        <v>118</v>
      </c>
      <c r="J387" s="228"/>
      <c r="K387" s="229">
        <v>43202</v>
      </c>
      <c r="L387" s="230"/>
      <c r="M387" s="230">
        <v>2</v>
      </c>
      <c r="N387" s="228">
        <v>6</v>
      </c>
      <c r="O387" s="228" t="s">
        <v>119</v>
      </c>
      <c r="P387" s="231" t="s">
        <v>248</v>
      </c>
      <c r="Q387" s="231" t="s">
        <v>249</v>
      </c>
      <c r="R387" s="228" t="s">
        <v>24</v>
      </c>
      <c r="S387" s="228"/>
      <c r="T387" s="232" t="s">
        <v>120</v>
      </c>
      <c r="U387" s="228" t="s">
        <v>121</v>
      </c>
      <c r="V387" s="232" t="s">
        <v>120</v>
      </c>
      <c r="W387" s="228"/>
      <c r="X387" s="232" t="s">
        <v>120</v>
      </c>
      <c r="Y387" s="228" t="s">
        <v>255</v>
      </c>
      <c r="Z387" s="233" t="s">
        <v>120</v>
      </c>
      <c r="AA387" s="234"/>
      <c r="AB387" s="234"/>
      <c r="AC387" s="235"/>
      <c r="AD387" s="228"/>
      <c r="AE387" s="232" t="s">
        <v>120</v>
      </c>
      <c r="AF387" s="229" t="s">
        <v>256</v>
      </c>
      <c r="AG387" s="236"/>
      <c r="AH387" s="236">
        <v>2</v>
      </c>
      <c r="AI387" s="228" t="s">
        <v>257</v>
      </c>
      <c r="AJ387" s="232" t="s">
        <v>120</v>
      </c>
      <c r="AK387" s="228" t="s">
        <v>123</v>
      </c>
      <c r="AL387" s="228"/>
      <c r="AM387" s="232"/>
      <c r="AN387" s="228"/>
      <c r="AO387" s="228"/>
      <c r="AP387" s="237"/>
      <c r="AQ387" s="228"/>
      <c r="AR387" s="232"/>
      <c r="AS387" s="228"/>
      <c r="AT387" s="229"/>
      <c r="AU387" s="229">
        <v>43453.378945833298</v>
      </c>
      <c r="AV387" s="229"/>
      <c r="AW387" s="229"/>
      <c r="AX387" s="229"/>
      <c r="AY387" s="229"/>
      <c r="AZ387" s="238">
        <v>43202</v>
      </c>
      <c r="BA387" s="1" t="s">
        <v>7684</v>
      </c>
      <c r="BB387"/>
      <c r="BC387">
        <v>60</v>
      </c>
      <c r="BD387">
        <v>1148</v>
      </c>
      <c r="BE38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7" s="240">
        <f>COUNTIFS(_05preva_view43[Site ID],_05preva_view43[[#This Row],[Site ID]],_05preva_view43[Prevalidation Status],"Under Prevalidation")</f>
        <v>0</v>
      </c>
      <c r="BG38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7" s="242" t="str">
        <f>CONCATENATE(_05preva_view43[[#This Row],[Site ID]]," (",_05preva_view43[[#This Row],[tenant id]],") Application",IF(_05preva_view43[[#This Row],[Colo Rev]]&gt;0," Rev "&amp;_05preva_view43[[#This Row],[Colo Rev]],""),".xlsx")</f>
        <v>ACBA_0052 (BGO0947) Application.xlsx</v>
      </c>
      <c r="BI387" s="64" t="e">
        <f t="shared" ca="1" si="6"/>
        <v>#VALUE!</v>
      </c>
      <c r="BJ387" s="104" t="e">
        <f ca="1">LEFT(CELL("filename",A372),_05preva_view43[[#This Row],[Find Process &amp; Database]]-1)</f>
        <v>#VALUE!</v>
      </c>
      <c r="BK387" s="104" t="e">
        <f ca="1">_05preva_view43[Folder Path1]&amp;"Process &amp; Database\Documentation\Colo Applications"</f>
        <v>#VALUE!</v>
      </c>
      <c r="BL387" s="104" t="e">
        <f ca="1">_05preva_view43[Folder Path2]&amp;"\Colo App "&amp;_05preva_view43[[#This Row],[Operator]]&amp;"\"</f>
        <v>#VALUE!</v>
      </c>
      <c r="BM387" s="63" t="e">
        <f ca="1">_05preva_view43[[#This Row],[Folder Path3]]&amp;_05preva_view43[[#This Row],[File Name]]</f>
        <v>#VALUE!</v>
      </c>
      <c r="BN387" s="104"/>
      <c r="CF387" s="5"/>
      <c r="CG387" s="5"/>
      <c r="CH387" s="3"/>
      <c r="CJ387" s="5"/>
      <c r="CN387" s="3"/>
      <c r="CO387" s="3"/>
      <c r="CP387" s="5"/>
      <c r="CR387" s="3"/>
      <c r="DN387" s="5"/>
      <c r="DP387" s="3"/>
      <c r="EB387" s="7"/>
      <c r="EC387" s="7"/>
      <c r="EF387" s="4"/>
      <c r="EG387" s="4"/>
      <c r="EQ387" s="2"/>
      <c r="ER387" s="2"/>
    </row>
    <row r="388" spans="1:148">
      <c r="A388" s="227">
        <v>43</v>
      </c>
      <c r="B388" s="228" t="s">
        <v>258</v>
      </c>
      <c r="C388" s="228" t="s">
        <v>116</v>
      </c>
      <c r="D388" s="228" t="s">
        <v>117</v>
      </c>
      <c r="E388" s="228" t="s">
        <v>259</v>
      </c>
      <c r="F388" s="228" t="s">
        <v>34</v>
      </c>
      <c r="G388" s="228" t="s">
        <v>1284</v>
      </c>
      <c r="H388" s="228" t="s">
        <v>1285</v>
      </c>
      <c r="I388" s="228" t="s">
        <v>118</v>
      </c>
      <c r="J388" s="228"/>
      <c r="K388" s="229">
        <v>43202</v>
      </c>
      <c r="L388" s="230"/>
      <c r="M388" s="230">
        <v>2</v>
      </c>
      <c r="N388" s="228">
        <v>6</v>
      </c>
      <c r="O388" s="228" t="s">
        <v>119</v>
      </c>
      <c r="P388" s="231" t="s">
        <v>248</v>
      </c>
      <c r="Q388" s="231" t="s">
        <v>249</v>
      </c>
      <c r="R388" s="228" t="s">
        <v>24</v>
      </c>
      <c r="S388" s="228"/>
      <c r="T388" s="232" t="s">
        <v>120</v>
      </c>
      <c r="U388" s="228" t="s">
        <v>121</v>
      </c>
      <c r="V388" s="232" t="s">
        <v>120</v>
      </c>
      <c r="W388" s="228"/>
      <c r="X388" s="232" t="s">
        <v>120</v>
      </c>
      <c r="Y388" s="228" t="s">
        <v>260</v>
      </c>
      <c r="Z388" s="233" t="s">
        <v>120</v>
      </c>
      <c r="AA388" s="234"/>
      <c r="AB388" s="234"/>
      <c r="AC388" s="235"/>
      <c r="AD388" s="228"/>
      <c r="AE388" s="232" t="s">
        <v>120</v>
      </c>
      <c r="AF388" s="229" t="s">
        <v>256</v>
      </c>
      <c r="AG388" s="236"/>
      <c r="AH388" s="236">
        <v>2</v>
      </c>
      <c r="AI388" s="228" t="s">
        <v>261</v>
      </c>
      <c r="AJ388" s="232" t="s">
        <v>120</v>
      </c>
      <c r="AK388" s="228" t="s">
        <v>123</v>
      </c>
      <c r="AL388" s="228"/>
      <c r="AM388" s="232"/>
      <c r="AN388" s="228"/>
      <c r="AO388" s="228"/>
      <c r="AP388" s="237"/>
      <c r="AQ388" s="228"/>
      <c r="AR388" s="232"/>
      <c r="AS388" s="228"/>
      <c r="AT388" s="229"/>
      <c r="AU388" s="229">
        <v>43453.378948842597</v>
      </c>
      <c r="AV388" s="229"/>
      <c r="AW388" s="229"/>
      <c r="AX388" s="229"/>
      <c r="AY388" s="229"/>
      <c r="AZ388" s="238">
        <v>43202</v>
      </c>
      <c r="BA388" s="1" t="s">
        <v>7684</v>
      </c>
      <c r="BB388"/>
      <c r="BC388">
        <v>60</v>
      </c>
      <c r="BD388">
        <v>1209</v>
      </c>
      <c r="BE38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8" s="240">
        <f>COUNTIFS(_05preva_view43[Site ID],_05preva_view43[[#This Row],[Site ID]],_05preva_view43[Prevalidation Status],"Under Prevalidation")</f>
        <v>0</v>
      </c>
      <c r="BG38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8" s="242" t="str">
        <f>CONCATENATE(_05preva_view43[[#This Row],[Site ID]]," (",_05preva_view43[[#This Row],[tenant id]],") Application",IF(_05preva_view43[[#This Row],[Colo Rev]]&gt;0," Rev "&amp;_05preva_view43[[#This Row],[Colo Rev]],""),".xlsx")</f>
        <v>ACBA_0118 (BGO0948) Application.xlsx</v>
      </c>
      <c r="BI388" s="64" t="e">
        <f t="shared" ca="1" si="6"/>
        <v>#VALUE!</v>
      </c>
      <c r="BJ388" s="104" t="e">
        <f ca="1">LEFT(CELL("filename",A373),_05preva_view43[[#This Row],[Find Process &amp; Database]]-1)</f>
        <v>#VALUE!</v>
      </c>
      <c r="BK388" s="104" t="e">
        <f ca="1">_05preva_view43[Folder Path1]&amp;"Process &amp; Database\Documentation\Colo Applications"</f>
        <v>#VALUE!</v>
      </c>
      <c r="BL388" s="104" t="e">
        <f ca="1">_05preva_view43[Folder Path2]&amp;"\Colo App "&amp;_05preva_view43[[#This Row],[Operator]]&amp;"\"</f>
        <v>#VALUE!</v>
      </c>
      <c r="BM388" s="63" t="e">
        <f ca="1">_05preva_view43[[#This Row],[Folder Path3]]&amp;_05preva_view43[[#This Row],[File Name]]</f>
        <v>#VALUE!</v>
      </c>
      <c r="BN388" s="104"/>
      <c r="CF388" s="5"/>
      <c r="CG388" s="5"/>
      <c r="CH388" s="3"/>
      <c r="CJ388" s="5"/>
      <c r="CN388" s="3"/>
      <c r="CO388" s="3"/>
      <c r="CP388" s="5"/>
      <c r="CR388" s="3"/>
      <c r="DN388" s="5"/>
      <c r="DP388" s="3"/>
      <c r="EB388" s="7"/>
      <c r="EC388" s="7"/>
      <c r="EF388" s="4"/>
      <c r="EG388" s="4"/>
      <c r="EQ388" s="2"/>
      <c r="ER388" s="2"/>
    </row>
    <row r="389" spans="1:148">
      <c r="A389" s="227">
        <v>44</v>
      </c>
      <c r="B389" s="228" t="s">
        <v>262</v>
      </c>
      <c r="C389" s="228" t="s">
        <v>116</v>
      </c>
      <c r="D389" s="228" t="s">
        <v>117</v>
      </c>
      <c r="E389" s="228" t="s">
        <v>263</v>
      </c>
      <c r="F389" s="228" t="s">
        <v>34</v>
      </c>
      <c r="G389" s="228" t="s">
        <v>1284</v>
      </c>
      <c r="H389" s="228" t="s">
        <v>1285</v>
      </c>
      <c r="I389" s="228" t="s">
        <v>118</v>
      </c>
      <c r="J389" s="228"/>
      <c r="K389" s="229">
        <v>43202</v>
      </c>
      <c r="L389" s="230"/>
      <c r="M389" s="230">
        <v>2</v>
      </c>
      <c r="N389" s="228">
        <v>6</v>
      </c>
      <c r="O389" s="228" t="s">
        <v>119</v>
      </c>
      <c r="P389" s="231" t="s">
        <v>248</v>
      </c>
      <c r="Q389" s="231" t="s">
        <v>249</v>
      </c>
      <c r="R389" s="228" t="s">
        <v>24</v>
      </c>
      <c r="S389" s="228"/>
      <c r="T389" s="232" t="s">
        <v>120</v>
      </c>
      <c r="U389" s="228" t="s">
        <v>121</v>
      </c>
      <c r="V389" s="232" t="s">
        <v>120</v>
      </c>
      <c r="W389" s="228"/>
      <c r="X389" s="232" t="s">
        <v>120</v>
      </c>
      <c r="Y389" s="228"/>
      <c r="Z389" s="233" t="s">
        <v>120</v>
      </c>
      <c r="AA389" s="234"/>
      <c r="AB389" s="234"/>
      <c r="AC389" s="235"/>
      <c r="AD389" s="228"/>
      <c r="AE389" s="232" t="s">
        <v>120</v>
      </c>
      <c r="AF389" s="229" t="s">
        <v>256</v>
      </c>
      <c r="AG389" s="236"/>
      <c r="AH389" s="236">
        <v>2</v>
      </c>
      <c r="AI389" s="228" t="s">
        <v>261</v>
      </c>
      <c r="AJ389" s="232" t="s">
        <v>120</v>
      </c>
      <c r="AK389" s="228" t="s">
        <v>123</v>
      </c>
      <c r="AL389" s="228"/>
      <c r="AM389" s="232"/>
      <c r="AN389" s="228"/>
      <c r="AO389" s="228"/>
      <c r="AP389" s="237"/>
      <c r="AQ389" s="228"/>
      <c r="AR389" s="232"/>
      <c r="AS389" s="228"/>
      <c r="AT389" s="229"/>
      <c r="AU389" s="229">
        <v>43453.378949652797</v>
      </c>
      <c r="AV389" s="229"/>
      <c r="AW389" s="229"/>
      <c r="AX389" s="229"/>
      <c r="AY389" s="229"/>
      <c r="AZ389" s="238">
        <v>43202</v>
      </c>
      <c r="BA389" s="1" t="s">
        <v>7684</v>
      </c>
      <c r="BB389"/>
      <c r="BC389">
        <v>60</v>
      </c>
      <c r="BD389">
        <v>152</v>
      </c>
      <c r="BE38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89" s="240">
        <f>COUNTIFS(_05preva_view43[Site ID],_05preva_view43[[#This Row],[Site ID]],_05preva_view43[Prevalidation Status],"Under Prevalidation")</f>
        <v>0</v>
      </c>
      <c r="BG38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89" s="242" t="str">
        <f>CONCATENATE(_05preva_view43[[#This Row],[Site ID]]," (",_05preva_view43[[#This Row],[tenant id]],") Application",IF(_05preva_view43[[#This Row],[Colo Rev]]&gt;0," Rev "&amp;_05preva_view43[[#This Row],[Colo Rev]],""),".xlsx")</f>
        <v>ACBA_0075 (BGO0949) Application.xlsx</v>
      </c>
      <c r="BI389" s="64" t="e">
        <f t="shared" ca="1" si="6"/>
        <v>#VALUE!</v>
      </c>
      <c r="BJ389" s="104" t="e">
        <f ca="1">LEFT(CELL("filename",A374),_05preva_view43[[#This Row],[Find Process &amp; Database]]-1)</f>
        <v>#VALUE!</v>
      </c>
      <c r="BK389" s="104" t="e">
        <f ca="1">_05preva_view43[Folder Path1]&amp;"Process &amp; Database\Documentation\Colo Applications"</f>
        <v>#VALUE!</v>
      </c>
      <c r="BL389" s="104" t="e">
        <f ca="1">_05preva_view43[Folder Path2]&amp;"\Colo App "&amp;_05preva_view43[[#This Row],[Operator]]&amp;"\"</f>
        <v>#VALUE!</v>
      </c>
      <c r="BM389" s="63" t="e">
        <f ca="1">_05preva_view43[[#This Row],[Folder Path3]]&amp;_05preva_view43[[#This Row],[File Name]]</f>
        <v>#VALUE!</v>
      </c>
      <c r="BN389" s="104"/>
      <c r="CF389" s="5"/>
      <c r="CG389" s="5"/>
      <c r="CH389" s="3"/>
      <c r="CJ389" s="5"/>
      <c r="CN389" s="3"/>
      <c r="CO389" s="3"/>
      <c r="CP389" s="5"/>
      <c r="CR389" s="3"/>
      <c r="DN389" s="5"/>
      <c r="DP389" s="3"/>
      <c r="EB389" s="7"/>
      <c r="EC389" s="7"/>
      <c r="EF389" s="4"/>
      <c r="EG389" s="4"/>
      <c r="EQ389" s="2"/>
      <c r="ER389" s="2"/>
    </row>
    <row r="390" spans="1:148">
      <c r="A390" s="227">
        <v>45</v>
      </c>
      <c r="B390" s="228" t="s">
        <v>264</v>
      </c>
      <c r="C390" s="228" t="s">
        <v>116</v>
      </c>
      <c r="D390" s="228" t="s">
        <v>117</v>
      </c>
      <c r="E390" s="228" t="s">
        <v>265</v>
      </c>
      <c r="F390" s="228" t="s">
        <v>34</v>
      </c>
      <c r="G390" s="228" t="s">
        <v>1284</v>
      </c>
      <c r="H390" s="228" t="s">
        <v>1285</v>
      </c>
      <c r="I390" s="228" t="s">
        <v>118</v>
      </c>
      <c r="J390" s="228"/>
      <c r="K390" s="229">
        <v>43202</v>
      </c>
      <c r="L390" s="230"/>
      <c r="M390" s="230">
        <v>2</v>
      </c>
      <c r="N390" s="228">
        <v>6</v>
      </c>
      <c r="O390" s="228" t="s">
        <v>119</v>
      </c>
      <c r="P390" s="231" t="s">
        <v>248</v>
      </c>
      <c r="Q390" s="231" t="s">
        <v>249</v>
      </c>
      <c r="R390" s="228" t="s">
        <v>24</v>
      </c>
      <c r="S390" s="228"/>
      <c r="T390" s="232" t="s">
        <v>120</v>
      </c>
      <c r="U390" s="228" t="s">
        <v>121</v>
      </c>
      <c r="V390" s="232" t="s">
        <v>120</v>
      </c>
      <c r="W390" s="228"/>
      <c r="X390" s="232" t="s">
        <v>120</v>
      </c>
      <c r="Y390" s="228"/>
      <c r="Z390" s="233" t="s">
        <v>120</v>
      </c>
      <c r="AA390" s="234"/>
      <c r="AB390" s="234"/>
      <c r="AC390" s="235"/>
      <c r="AD390" s="228"/>
      <c r="AE390" s="232" t="s">
        <v>120</v>
      </c>
      <c r="AF390" s="229" t="s">
        <v>256</v>
      </c>
      <c r="AG390" s="236"/>
      <c r="AH390" s="236">
        <v>2</v>
      </c>
      <c r="AI390" s="228" t="s">
        <v>261</v>
      </c>
      <c r="AJ390" s="232" t="s">
        <v>120</v>
      </c>
      <c r="AK390" s="228" t="s">
        <v>123</v>
      </c>
      <c r="AL390" s="228"/>
      <c r="AM390" s="232"/>
      <c r="AN390" s="228"/>
      <c r="AO390" s="228"/>
      <c r="AP390" s="237"/>
      <c r="AQ390" s="228"/>
      <c r="AR390" s="232"/>
      <c r="AS390" s="228"/>
      <c r="AT390" s="229"/>
      <c r="AU390" s="229">
        <v>43453.378952199098</v>
      </c>
      <c r="AV390" s="229"/>
      <c r="AW390" s="229"/>
      <c r="AX390" s="229"/>
      <c r="AY390" s="229"/>
      <c r="AZ390" s="238">
        <v>43202</v>
      </c>
      <c r="BA390" s="1" t="s">
        <v>7684</v>
      </c>
      <c r="BB390"/>
      <c r="BC390">
        <v>60</v>
      </c>
      <c r="BD390">
        <v>131</v>
      </c>
      <c r="BE39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0" s="240">
        <f>COUNTIFS(_05preva_view43[Site ID],_05preva_view43[[#This Row],[Site ID]],_05preva_view43[Prevalidation Status],"Under Prevalidation")</f>
        <v>0</v>
      </c>
      <c r="BG39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0" s="242" t="str">
        <f>CONCATENATE(_05preva_view43[[#This Row],[Site ID]]," (",_05preva_view43[[#This Row],[tenant id]],") Application",IF(_05preva_view43[[#This Row],[Colo Rev]]&gt;0," Rev "&amp;_05preva_view43[[#This Row],[Colo Rev]],""),".xlsx")</f>
        <v>ACBA_0073 (BGO0950) Application.xlsx</v>
      </c>
      <c r="BI390" s="64" t="e">
        <f t="shared" ca="1" si="6"/>
        <v>#VALUE!</v>
      </c>
      <c r="BJ390" s="104" t="e">
        <f ca="1">LEFT(CELL("filename",A375),_05preva_view43[[#This Row],[Find Process &amp; Database]]-1)</f>
        <v>#VALUE!</v>
      </c>
      <c r="BK390" s="104" t="e">
        <f ca="1">_05preva_view43[Folder Path1]&amp;"Process &amp; Database\Documentation\Colo Applications"</f>
        <v>#VALUE!</v>
      </c>
      <c r="BL390" s="104" t="e">
        <f ca="1">_05preva_view43[Folder Path2]&amp;"\Colo App "&amp;_05preva_view43[[#This Row],[Operator]]&amp;"\"</f>
        <v>#VALUE!</v>
      </c>
      <c r="BM390" s="63" t="e">
        <f ca="1">_05preva_view43[[#This Row],[Folder Path3]]&amp;_05preva_view43[[#This Row],[File Name]]</f>
        <v>#VALUE!</v>
      </c>
      <c r="BN390" s="104"/>
      <c r="CF390" s="5"/>
      <c r="CG390" s="5"/>
      <c r="CH390" s="3"/>
      <c r="CJ390" s="5"/>
      <c r="CN390" s="3"/>
      <c r="CO390" s="3"/>
      <c r="CP390" s="5"/>
      <c r="CR390" s="3"/>
      <c r="DN390" s="5"/>
      <c r="DP390" s="3"/>
      <c r="EB390" s="7"/>
      <c r="EC390" s="7"/>
      <c r="EF390" s="4"/>
      <c r="EG390" s="4"/>
      <c r="EQ390" s="2"/>
      <c r="ER390" s="2"/>
    </row>
    <row r="391" spans="1:148">
      <c r="A391" s="227">
        <v>46</v>
      </c>
      <c r="B391" s="228" t="s">
        <v>266</v>
      </c>
      <c r="C391" s="228" t="s">
        <v>116</v>
      </c>
      <c r="D391" s="228" t="s">
        <v>117</v>
      </c>
      <c r="E391" s="228" t="s">
        <v>267</v>
      </c>
      <c r="F391" s="228" t="s">
        <v>34</v>
      </c>
      <c r="G391" s="228" t="s">
        <v>1284</v>
      </c>
      <c r="H391" s="228" t="s">
        <v>1285</v>
      </c>
      <c r="I391" s="228" t="s">
        <v>118</v>
      </c>
      <c r="J391" s="228"/>
      <c r="K391" s="229">
        <v>43202</v>
      </c>
      <c r="L391" s="230"/>
      <c r="M391" s="230">
        <v>2</v>
      </c>
      <c r="N391" s="228">
        <v>6</v>
      </c>
      <c r="O391" s="228" t="s">
        <v>119</v>
      </c>
      <c r="P391" s="231" t="s">
        <v>248</v>
      </c>
      <c r="Q391" s="231" t="s">
        <v>249</v>
      </c>
      <c r="R391" s="228" t="s">
        <v>24</v>
      </c>
      <c r="S391" s="228"/>
      <c r="T391" s="232" t="s">
        <v>120</v>
      </c>
      <c r="U391" s="228" t="s">
        <v>121</v>
      </c>
      <c r="V391" s="232" t="s">
        <v>120</v>
      </c>
      <c r="W391" s="228"/>
      <c r="X391" s="232" t="s">
        <v>120</v>
      </c>
      <c r="Y391" s="228"/>
      <c r="Z391" s="233" t="s">
        <v>120</v>
      </c>
      <c r="AA391" s="234"/>
      <c r="AB391" s="234"/>
      <c r="AC391" s="235"/>
      <c r="AD391" s="228"/>
      <c r="AE391" s="232" t="s">
        <v>120</v>
      </c>
      <c r="AF391" s="229" t="s">
        <v>256</v>
      </c>
      <c r="AG391" s="236"/>
      <c r="AH391" s="236">
        <v>2</v>
      </c>
      <c r="AI391" s="228" t="s">
        <v>261</v>
      </c>
      <c r="AJ391" s="232" t="s">
        <v>120</v>
      </c>
      <c r="AK391" s="228" t="s">
        <v>123</v>
      </c>
      <c r="AL391" s="228"/>
      <c r="AM391" s="232"/>
      <c r="AN391" s="228"/>
      <c r="AO391" s="228"/>
      <c r="AP391" s="237"/>
      <c r="AQ391" s="228"/>
      <c r="AR391" s="232"/>
      <c r="AS391" s="228"/>
      <c r="AT391" s="229"/>
      <c r="AU391" s="229">
        <v>43453.378953240703</v>
      </c>
      <c r="AV391" s="229"/>
      <c r="AW391" s="229"/>
      <c r="AX391" s="229"/>
      <c r="AY391" s="229"/>
      <c r="AZ391" s="238">
        <v>43202</v>
      </c>
      <c r="BA391" s="1" t="s">
        <v>7684</v>
      </c>
      <c r="BB391"/>
      <c r="BC391">
        <v>60</v>
      </c>
      <c r="BD391">
        <v>1194</v>
      </c>
      <c r="BE39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1" s="240">
        <f>COUNTIFS(_05preva_view43[Site ID],_05preva_view43[[#This Row],[Site ID]],_05preva_view43[Prevalidation Status],"Under Prevalidation")</f>
        <v>0</v>
      </c>
      <c r="BG39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1" s="242" t="str">
        <f>CONCATENATE(_05preva_view43[[#This Row],[Site ID]]," (",_05preva_view43[[#This Row],[tenant id]],") Application",IF(_05preva_view43[[#This Row],[Colo Rev]]&gt;0," Rev "&amp;_05preva_view43[[#This Row],[Colo Rev]],""),".xlsx")</f>
        <v>ACBA_0067 (BGO0965) Application.xlsx</v>
      </c>
      <c r="BI391" s="64" t="e">
        <f t="shared" ca="1" si="6"/>
        <v>#VALUE!</v>
      </c>
      <c r="BJ391" s="104" t="e">
        <f ca="1">LEFT(CELL("filename",A376),_05preva_view43[[#This Row],[Find Process &amp; Database]]-1)</f>
        <v>#VALUE!</v>
      </c>
      <c r="BK391" s="104" t="e">
        <f ca="1">_05preva_view43[Folder Path1]&amp;"Process &amp; Database\Documentation\Colo Applications"</f>
        <v>#VALUE!</v>
      </c>
      <c r="BL391" s="104" t="e">
        <f ca="1">_05preva_view43[Folder Path2]&amp;"\Colo App "&amp;_05preva_view43[[#This Row],[Operator]]&amp;"\"</f>
        <v>#VALUE!</v>
      </c>
      <c r="BM391" s="63" t="e">
        <f ca="1">_05preva_view43[[#This Row],[Folder Path3]]&amp;_05preva_view43[[#This Row],[File Name]]</f>
        <v>#VALUE!</v>
      </c>
      <c r="BN391" s="104"/>
      <c r="CF391" s="5"/>
      <c r="CG391" s="5"/>
      <c r="CH391" s="3"/>
      <c r="CJ391" s="5"/>
      <c r="CN391" s="3"/>
      <c r="CO391" s="3"/>
      <c r="CP391" s="5"/>
      <c r="CR391" s="3"/>
      <c r="DN391" s="5"/>
      <c r="DP391" s="3"/>
      <c r="EB391" s="7"/>
      <c r="EC391" s="7"/>
      <c r="EF391" s="4"/>
      <c r="EG391" s="4"/>
      <c r="EQ391" s="2"/>
      <c r="ER391" s="2"/>
    </row>
    <row r="392" spans="1:148">
      <c r="A392" s="227">
        <v>47</v>
      </c>
      <c r="B392" s="228" t="s">
        <v>268</v>
      </c>
      <c r="C392" s="228" t="s">
        <v>116</v>
      </c>
      <c r="D392" s="228" t="s">
        <v>117</v>
      </c>
      <c r="E392" s="228" t="s">
        <v>269</v>
      </c>
      <c r="F392" s="228" t="s">
        <v>34</v>
      </c>
      <c r="G392" s="228" t="s">
        <v>1284</v>
      </c>
      <c r="H392" s="228" t="s">
        <v>1285</v>
      </c>
      <c r="I392" s="228" t="s">
        <v>118</v>
      </c>
      <c r="J392" s="228"/>
      <c r="K392" s="229">
        <v>43202</v>
      </c>
      <c r="L392" s="230"/>
      <c r="M392" s="230">
        <v>2</v>
      </c>
      <c r="N392" s="228">
        <v>6</v>
      </c>
      <c r="O392" s="228" t="s">
        <v>119</v>
      </c>
      <c r="P392" s="231" t="s">
        <v>248</v>
      </c>
      <c r="Q392" s="231" t="s">
        <v>249</v>
      </c>
      <c r="R392" s="228" t="s">
        <v>24</v>
      </c>
      <c r="S392" s="228"/>
      <c r="T392" s="232" t="s">
        <v>120</v>
      </c>
      <c r="U392" s="228" t="s">
        <v>121</v>
      </c>
      <c r="V392" s="232" t="s">
        <v>120</v>
      </c>
      <c r="W392" s="228"/>
      <c r="X392" s="232" t="s">
        <v>120</v>
      </c>
      <c r="Y392" s="228"/>
      <c r="Z392" s="233" t="s">
        <v>120</v>
      </c>
      <c r="AA392" s="234"/>
      <c r="AB392" s="234"/>
      <c r="AC392" s="235"/>
      <c r="AD392" s="228"/>
      <c r="AE392" s="232" t="s">
        <v>120</v>
      </c>
      <c r="AF392" s="229" t="s">
        <v>256</v>
      </c>
      <c r="AG392" s="236"/>
      <c r="AH392" s="236">
        <v>2</v>
      </c>
      <c r="AI392" s="228" t="s">
        <v>261</v>
      </c>
      <c r="AJ392" s="232" t="s">
        <v>120</v>
      </c>
      <c r="AK392" s="228" t="s">
        <v>123</v>
      </c>
      <c r="AL392" s="228"/>
      <c r="AM392" s="232"/>
      <c r="AN392" s="228"/>
      <c r="AO392" s="228"/>
      <c r="AP392" s="237"/>
      <c r="AQ392" s="228"/>
      <c r="AR392" s="232"/>
      <c r="AS392" s="228"/>
      <c r="AT392" s="229"/>
      <c r="AU392" s="229">
        <v>43453.3789555556</v>
      </c>
      <c r="AV392" s="229"/>
      <c r="AW392" s="229"/>
      <c r="AX392" s="229"/>
      <c r="AY392" s="229"/>
      <c r="AZ392" s="238">
        <v>43202</v>
      </c>
      <c r="BA392" s="1" t="s">
        <v>7684</v>
      </c>
      <c r="BB392"/>
      <c r="BC392">
        <v>60</v>
      </c>
      <c r="BD392">
        <v>1321</v>
      </c>
      <c r="BE39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2" s="240">
        <f>COUNTIFS(_05preva_view43[Site ID],_05preva_view43[[#This Row],[Site ID]],_05preva_view43[Prevalidation Status],"Under Prevalidation")</f>
        <v>0</v>
      </c>
      <c r="BG39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2" s="242" t="str">
        <f>CONCATENATE(_05preva_view43[[#This Row],[Site ID]]," (",_05preva_view43[[#This Row],[tenant id]],") Application",IF(_05preva_view43[[#This Row],[Colo Rev]]&gt;0," Rev "&amp;_05preva_view43[[#This Row],[Colo Rev]],""),".xlsx")</f>
        <v>ACBA_0124 (BGO0970) Application.xlsx</v>
      </c>
      <c r="BI392" s="64" t="e">
        <f t="shared" ca="1" si="6"/>
        <v>#VALUE!</v>
      </c>
      <c r="BJ392" s="104" t="e">
        <f ca="1">LEFT(CELL("filename",A377),_05preva_view43[[#This Row],[Find Process &amp; Database]]-1)</f>
        <v>#VALUE!</v>
      </c>
      <c r="BK392" s="104" t="e">
        <f ca="1">_05preva_view43[Folder Path1]&amp;"Process &amp; Database\Documentation\Colo Applications"</f>
        <v>#VALUE!</v>
      </c>
      <c r="BL392" s="104" t="e">
        <f ca="1">_05preva_view43[Folder Path2]&amp;"\Colo App "&amp;_05preva_view43[[#This Row],[Operator]]&amp;"\"</f>
        <v>#VALUE!</v>
      </c>
      <c r="BM392" s="63" t="e">
        <f ca="1">_05preva_view43[[#This Row],[Folder Path3]]&amp;_05preva_view43[[#This Row],[File Name]]</f>
        <v>#VALUE!</v>
      </c>
      <c r="BN392" s="104"/>
      <c r="CF392" s="5"/>
      <c r="CG392" s="5"/>
      <c r="CH392" s="3"/>
      <c r="CJ392" s="5"/>
      <c r="CN392" s="3"/>
      <c r="CO392" s="3"/>
      <c r="CP392" s="5"/>
      <c r="CR392" s="3"/>
      <c r="DN392" s="5"/>
      <c r="DP392" s="3"/>
      <c r="EB392" s="7"/>
      <c r="EC392" s="7"/>
      <c r="EF392" s="4"/>
      <c r="EG392" s="4"/>
      <c r="EQ392" s="2"/>
      <c r="ER392" s="2"/>
    </row>
    <row r="393" spans="1:148">
      <c r="A393" s="227">
        <v>48</v>
      </c>
      <c r="B393" s="228" t="s">
        <v>270</v>
      </c>
      <c r="C393" s="228" t="s">
        <v>116</v>
      </c>
      <c r="D393" s="228" t="s">
        <v>117</v>
      </c>
      <c r="E393" s="228" t="s">
        <v>271</v>
      </c>
      <c r="F393" s="228" t="s">
        <v>34</v>
      </c>
      <c r="G393" s="228" t="s">
        <v>1284</v>
      </c>
      <c r="H393" s="228" t="s">
        <v>1285</v>
      </c>
      <c r="I393" s="228" t="s">
        <v>118</v>
      </c>
      <c r="J393" s="228"/>
      <c r="K393" s="229">
        <v>43202</v>
      </c>
      <c r="L393" s="230"/>
      <c r="M393" s="230">
        <v>2</v>
      </c>
      <c r="N393" s="228">
        <v>6</v>
      </c>
      <c r="O393" s="228" t="s">
        <v>119</v>
      </c>
      <c r="P393" s="231" t="s">
        <v>248</v>
      </c>
      <c r="Q393" s="231" t="s">
        <v>249</v>
      </c>
      <c r="R393" s="228" t="s">
        <v>24</v>
      </c>
      <c r="S393" s="228"/>
      <c r="T393" s="232" t="s">
        <v>120</v>
      </c>
      <c r="U393" s="228" t="s">
        <v>121</v>
      </c>
      <c r="V393" s="232" t="s">
        <v>120</v>
      </c>
      <c r="W393" s="228"/>
      <c r="X393" s="232" t="s">
        <v>120</v>
      </c>
      <c r="Y393" s="228"/>
      <c r="Z393" s="233" t="s">
        <v>120</v>
      </c>
      <c r="AA393" s="234"/>
      <c r="AB393" s="234"/>
      <c r="AC393" s="235"/>
      <c r="AD393" s="228"/>
      <c r="AE393" s="232" t="s">
        <v>120</v>
      </c>
      <c r="AF393" s="229" t="s">
        <v>256</v>
      </c>
      <c r="AG393" s="236"/>
      <c r="AH393" s="236">
        <v>2</v>
      </c>
      <c r="AI393" s="228" t="s">
        <v>243</v>
      </c>
      <c r="AJ393" s="232" t="s">
        <v>120</v>
      </c>
      <c r="AK393" s="228" t="s">
        <v>123</v>
      </c>
      <c r="AL393" s="228"/>
      <c r="AM393" s="232"/>
      <c r="AN393" s="228"/>
      <c r="AO393" s="228"/>
      <c r="AP393" s="237"/>
      <c r="AQ393" s="228"/>
      <c r="AR393" s="232"/>
      <c r="AS393" s="228"/>
      <c r="AT393" s="229"/>
      <c r="AU393" s="229">
        <v>43453.378956250002</v>
      </c>
      <c r="AV393" s="229"/>
      <c r="AW393" s="229"/>
      <c r="AX393" s="229"/>
      <c r="AY393" s="229"/>
      <c r="AZ393" s="238">
        <v>43202</v>
      </c>
      <c r="BA393" s="1" t="s">
        <v>7684</v>
      </c>
      <c r="BB393"/>
      <c r="BC393">
        <v>60</v>
      </c>
      <c r="BD393">
        <v>1792</v>
      </c>
      <c r="BE39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3" s="240">
        <f>COUNTIFS(_05preva_view43[Site ID],_05preva_view43[[#This Row],[Site ID]],_05preva_view43[Prevalidation Status],"Under Prevalidation")</f>
        <v>0</v>
      </c>
      <c r="BG39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3" s="242" t="str">
        <f>CONCATENATE(_05preva_view43[[#This Row],[Site ID]]," (",_05preva_view43[[#This Row],[tenant id]],") Application",IF(_05preva_view43[[#This Row],[Colo Rev]]&gt;0," Rev "&amp;_05preva_view43[[#This Row],[Colo Rev]],""),".xlsx")</f>
        <v>ANNP_0243 (NPW0263) Application.xlsx</v>
      </c>
      <c r="BI393" s="64" t="e">
        <f t="shared" ca="1" si="6"/>
        <v>#VALUE!</v>
      </c>
      <c r="BJ393" s="104" t="e">
        <f ca="1">LEFT(CELL("filename",A378),_05preva_view43[[#This Row],[Find Process &amp; Database]]-1)</f>
        <v>#VALUE!</v>
      </c>
      <c r="BK393" s="104" t="e">
        <f ca="1">_05preva_view43[Folder Path1]&amp;"Process &amp; Database\Documentation\Colo Applications"</f>
        <v>#VALUE!</v>
      </c>
      <c r="BL393" s="104" t="e">
        <f ca="1">_05preva_view43[Folder Path2]&amp;"\Colo App "&amp;_05preva_view43[[#This Row],[Operator]]&amp;"\"</f>
        <v>#VALUE!</v>
      </c>
      <c r="BM393" s="63" t="e">
        <f ca="1">_05preva_view43[[#This Row],[Folder Path3]]&amp;_05preva_view43[[#This Row],[File Name]]</f>
        <v>#VALUE!</v>
      </c>
      <c r="BN393" s="104"/>
      <c r="CF393" s="5"/>
      <c r="CG393" s="5"/>
      <c r="CH393" s="3"/>
      <c r="CJ393" s="5"/>
      <c r="CN393" s="3"/>
      <c r="CO393" s="3"/>
      <c r="CP393" s="5"/>
      <c r="CR393" s="3"/>
      <c r="DN393" s="5"/>
      <c r="DP393" s="3"/>
      <c r="EB393" s="7"/>
      <c r="EC393" s="7"/>
      <c r="EF393" s="4"/>
      <c r="EG393" s="4"/>
      <c r="EQ393" s="2"/>
      <c r="ER393" s="2"/>
    </row>
    <row r="394" spans="1:148">
      <c r="A394" s="227">
        <v>49</v>
      </c>
      <c r="B394" s="228" t="s">
        <v>272</v>
      </c>
      <c r="C394" s="228" t="s">
        <v>116</v>
      </c>
      <c r="D394" s="228" t="s">
        <v>117</v>
      </c>
      <c r="E394" s="228" t="s">
        <v>273</v>
      </c>
      <c r="F394" s="228" t="s">
        <v>34</v>
      </c>
      <c r="G394" s="228" t="s">
        <v>1284</v>
      </c>
      <c r="H394" s="228" t="s">
        <v>1285</v>
      </c>
      <c r="I394" s="228" t="s">
        <v>118</v>
      </c>
      <c r="J394" s="228"/>
      <c r="K394" s="229">
        <v>43202</v>
      </c>
      <c r="L394" s="230"/>
      <c r="M394" s="230">
        <v>2</v>
      </c>
      <c r="N394" s="228">
        <v>6</v>
      </c>
      <c r="O394" s="228" t="s">
        <v>119</v>
      </c>
      <c r="P394" s="231" t="s">
        <v>248</v>
      </c>
      <c r="Q394" s="231" t="s">
        <v>249</v>
      </c>
      <c r="R394" s="228" t="s">
        <v>24</v>
      </c>
      <c r="S394" s="228"/>
      <c r="T394" s="232" t="s">
        <v>120</v>
      </c>
      <c r="U394" s="228" t="s">
        <v>121</v>
      </c>
      <c r="V394" s="232" t="s">
        <v>120</v>
      </c>
      <c r="W394" s="228"/>
      <c r="X394" s="232" t="s">
        <v>120</v>
      </c>
      <c r="Y394" s="228" t="s">
        <v>274</v>
      </c>
      <c r="Z394" s="233" t="s">
        <v>120</v>
      </c>
      <c r="AA394" s="234"/>
      <c r="AB394" s="234"/>
      <c r="AC394" s="235"/>
      <c r="AD394" s="228" t="s">
        <v>275</v>
      </c>
      <c r="AE394" s="232" t="s">
        <v>120</v>
      </c>
      <c r="AF394" s="229" t="s">
        <v>256</v>
      </c>
      <c r="AG394" s="236"/>
      <c r="AH394" s="236">
        <v>2</v>
      </c>
      <c r="AI394" s="228" t="s">
        <v>277</v>
      </c>
      <c r="AJ394" s="232" t="s">
        <v>120</v>
      </c>
      <c r="AK394" s="228" t="s">
        <v>206</v>
      </c>
      <c r="AL394" s="228" t="s">
        <v>276</v>
      </c>
      <c r="AM394" s="232"/>
      <c r="AN394" s="228"/>
      <c r="AO394" s="228"/>
      <c r="AP394" s="237"/>
      <c r="AQ394" s="228"/>
      <c r="AR394" s="232"/>
      <c r="AS394" s="228"/>
      <c r="AT394" s="229"/>
      <c r="AU394" s="229">
        <v>43453.378957291701</v>
      </c>
      <c r="AV394" s="229"/>
      <c r="AW394" s="229"/>
      <c r="AX394" s="229"/>
      <c r="AY394" s="229"/>
      <c r="AZ394" s="238">
        <v>43202</v>
      </c>
      <c r="BA394" s="1" t="s">
        <v>7684</v>
      </c>
      <c r="BB394"/>
      <c r="BC394">
        <v>60</v>
      </c>
      <c r="BD394">
        <v>1676</v>
      </c>
      <c r="BE39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4" s="240">
        <f>COUNTIFS(_05preva_view43[Site ID],_05preva_view43[[#This Row],[Site ID]],_05preva_view43[Prevalidation Status],"Under Prevalidation")</f>
        <v>0</v>
      </c>
      <c r="BG39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4" s="242" t="str">
        <f>CONCATENATE(_05preva_view43[[#This Row],[Site ID]]," (",_05preva_view43[[#This Row],[tenant id]],") Application",IF(_05preva_view43[[#This Row],[Colo Rev]]&gt;0," Rev "&amp;_05preva_view43[[#This Row],[Colo Rev]],""),".xlsx")</f>
        <v>ANNP_0241 (NPW0264) Application.xlsx</v>
      </c>
      <c r="BI394" s="64" t="e">
        <f t="shared" ca="1" si="6"/>
        <v>#VALUE!</v>
      </c>
      <c r="BJ394" s="104" t="e">
        <f ca="1">LEFT(CELL("filename",A379),_05preva_view43[[#This Row],[Find Process &amp; Database]]-1)</f>
        <v>#VALUE!</v>
      </c>
      <c r="BK394" s="104" t="e">
        <f ca="1">_05preva_view43[Folder Path1]&amp;"Process &amp; Database\Documentation\Colo Applications"</f>
        <v>#VALUE!</v>
      </c>
      <c r="BL394" s="104" t="e">
        <f ca="1">_05preva_view43[Folder Path2]&amp;"\Colo App "&amp;_05preva_view43[[#This Row],[Operator]]&amp;"\"</f>
        <v>#VALUE!</v>
      </c>
      <c r="BM394" s="63" t="e">
        <f ca="1">_05preva_view43[[#This Row],[Folder Path3]]&amp;_05preva_view43[[#This Row],[File Name]]</f>
        <v>#VALUE!</v>
      </c>
      <c r="BN394" s="104"/>
      <c r="CF394" s="5"/>
      <c r="CG394" s="5"/>
      <c r="CH394" s="3"/>
      <c r="CJ394" s="5"/>
      <c r="CN394" s="3"/>
      <c r="CO394" s="3"/>
      <c r="CP394" s="5"/>
      <c r="CR394" s="3"/>
      <c r="DN394" s="5"/>
      <c r="DP394" s="3"/>
      <c r="EB394" s="7"/>
      <c r="EC394" s="7"/>
      <c r="EF394" s="4"/>
      <c r="EG394" s="4"/>
      <c r="EQ394" s="2"/>
      <c r="ER394" s="2"/>
    </row>
    <row r="395" spans="1:148">
      <c r="A395" s="227">
        <v>36</v>
      </c>
      <c r="B395" s="228" t="s">
        <v>238</v>
      </c>
      <c r="C395" s="228" t="s">
        <v>116</v>
      </c>
      <c r="D395" s="228" t="s">
        <v>127</v>
      </c>
      <c r="E395" s="228" t="s">
        <v>239</v>
      </c>
      <c r="F395" s="228" t="s">
        <v>34</v>
      </c>
      <c r="G395" s="228" t="s">
        <v>1284</v>
      </c>
      <c r="H395" s="228" t="s">
        <v>1290</v>
      </c>
      <c r="I395" s="228" t="s">
        <v>118</v>
      </c>
      <c r="J395" s="228"/>
      <c r="K395" s="229">
        <v>43193</v>
      </c>
      <c r="L395" s="230"/>
      <c r="M395" s="230">
        <v>2</v>
      </c>
      <c r="N395" s="228">
        <v>6</v>
      </c>
      <c r="O395" s="228" t="s">
        <v>119</v>
      </c>
      <c r="P395" s="231" t="s">
        <v>240</v>
      </c>
      <c r="Q395" s="231" t="s">
        <v>241</v>
      </c>
      <c r="R395" s="228" t="s">
        <v>24</v>
      </c>
      <c r="S395" s="228"/>
      <c r="T395" s="232" t="s">
        <v>120</v>
      </c>
      <c r="U395" s="228" t="s">
        <v>121</v>
      </c>
      <c r="V395" s="232" t="s">
        <v>229</v>
      </c>
      <c r="W395" s="228"/>
      <c r="X395" s="232" t="s">
        <v>120</v>
      </c>
      <c r="Y395" s="228" t="s">
        <v>242</v>
      </c>
      <c r="Z395" s="233" t="s">
        <v>120</v>
      </c>
      <c r="AA395" s="234"/>
      <c r="AB395" s="234"/>
      <c r="AC395" s="235"/>
      <c r="AD395" s="228"/>
      <c r="AE395" s="232" t="s">
        <v>120</v>
      </c>
      <c r="AF395" s="229" t="s">
        <v>230</v>
      </c>
      <c r="AG395" s="236"/>
      <c r="AH395" s="236">
        <v>2</v>
      </c>
      <c r="AI395" s="228" t="s">
        <v>243</v>
      </c>
      <c r="AJ395" s="232" t="s">
        <v>120</v>
      </c>
      <c r="AK395" s="228" t="s">
        <v>206</v>
      </c>
      <c r="AL395" s="228" t="s">
        <v>222</v>
      </c>
      <c r="AM395" s="232"/>
      <c r="AN395" s="228"/>
      <c r="AO395" s="228"/>
      <c r="AP395" s="237"/>
      <c r="AQ395" s="228"/>
      <c r="AR395" s="232"/>
      <c r="AS395" s="228"/>
      <c r="AT395" s="229"/>
      <c r="AU395" s="229">
        <v>43453.378931944397</v>
      </c>
      <c r="AV395" s="229"/>
      <c r="AW395" s="229"/>
      <c r="AX395" s="229"/>
      <c r="AY395" s="229"/>
      <c r="AZ395" s="238">
        <v>43193</v>
      </c>
      <c r="BA395" s="1" t="s">
        <v>7684</v>
      </c>
      <c r="BB395"/>
      <c r="BC395">
        <v>50</v>
      </c>
      <c r="BD395">
        <v>88</v>
      </c>
      <c r="BE39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5" s="240">
        <f>COUNTIFS(_05preva_view43[Site ID],_05preva_view43[[#This Row],[Site ID]],_05preva_view43[Prevalidation Status],"Under Prevalidation")</f>
        <v>0</v>
      </c>
      <c r="BG39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5" s="242" t="str">
        <f>CONCATENATE(_05preva_view43[[#This Row],[Site ID]]," (",_05preva_view43[[#This Row],[tenant id]],") Application",IF(_05preva_view43[[#This Row],[Colo Rev]]&gt;0," Rev "&amp;_05preva_view43[[#This Row],[Colo Rev]],""),".xlsx")</f>
        <v>ANKC_0017 (KCN0349) Application.xlsx</v>
      </c>
      <c r="BI395" s="64" t="e">
        <f t="shared" ca="1" si="6"/>
        <v>#VALUE!</v>
      </c>
      <c r="BJ395" s="104" t="e">
        <f ca="1">LEFT(CELL("filename",A380),_05preva_view43[[#This Row],[Find Process &amp; Database]]-1)</f>
        <v>#VALUE!</v>
      </c>
      <c r="BK395" s="104" t="e">
        <f ca="1">_05preva_view43[Folder Path1]&amp;"Process &amp; Database\Documentation\Colo Applications"</f>
        <v>#VALUE!</v>
      </c>
      <c r="BL395" s="104" t="e">
        <f ca="1">_05preva_view43[Folder Path2]&amp;"\Colo App "&amp;_05preva_view43[[#This Row],[Operator]]&amp;"\"</f>
        <v>#VALUE!</v>
      </c>
      <c r="BM395" s="63" t="e">
        <f ca="1">_05preva_view43[[#This Row],[Folder Path3]]&amp;_05preva_view43[[#This Row],[File Name]]</f>
        <v>#VALUE!</v>
      </c>
      <c r="BN395" s="104"/>
      <c r="CF395" s="5"/>
      <c r="CG395" s="5"/>
      <c r="CH395" s="3"/>
      <c r="CJ395" s="5"/>
      <c r="CN395" s="3"/>
      <c r="CO395" s="3"/>
      <c r="CP395" s="5"/>
      <c r="CR395" s="3"/>
      <c r="DN395" s="5"/>
      <c r="DP395" s="3"/>
      <c r="EB395" s="7"/>
      <c r="EC395" s="7"/>
      <c r="EF395" s="4"/>
      <c r="EG395" s="4"/>
      <c r="EQ395" s="2"/>
      <c r="ER395" s="2"/>
    </row>
    <row r="396" spans="1:148">
      <c r="A396" s="227">
        <v>37</v>
      </c>
      <c r="B396" s="228" t="s">
        <v>244</v>
      </c>
      <c r="C396" s="228" t="s">
        <v>116</v>
      </c>
      <c r="D396" s="228" t="s">
        <v>127</v>
      </c>
      <c r="E396" s="228" t="s">
        <v>245</v>
      </c>
      <c r="F396" s="228" t="s">
        <v>34</v>
      </c>
      <c r="G396" s="228" t="s">
        <v>1284</v>
      </c>
      <c r="H396" s="228" t="s">
        <v>1285</v>
      </c>
      <c r="I396" s="228" t="s">
        <v>118</v>
      </c>
      <c r="J396" s="228"/>
      <c r="K396" s="229">
        <v>43193</v>
      </c>
      <c r="L396" s="230"/>
      <c r="M396" s="230">
        <v>2</v>
      </c>
      <c r="N396" s="228">
        <v>6</v>
      </c>
      <c r="O396" s="228" t="s">
        <v>119</v>
      </c>
      <c r="P396" s="231" t="s">
        <v>240</v>
      </c>
      <c r="Q396" s="231" t="s">
        <v>241</v>
      </c>
      <c r="R396" s="228" t="s">
        <v>24</v>
      </c>
      <c r="S396" s="228"/>
      <c r="T396" s="232" t="s">
        <v>120</v>
      </c>
      <c r="U396" s="228" t="s">
        <v>121</v>
      </c>
      <c r="V396" s="232" t="s">
        <v>120</v>
      </c>
      <c r="W396" s="228"/>
      <c r="X396" s="232" t="s">
        <v>120</v>
      </c>
      <c r="Y396" s="228" t="s">
        <v>242</v>
      </c>
      <c r="Z396" s="233" t="s">
        <v>120</v>
      </c>
      <c r="AA396" s="234"/>
      <c r="AB396" s="234"/>
      <c r="AC396" s="235"/>
      <c r="AD396" s="228"/>
      <c r="AE396" s="232" t="s">
        <v>120</v>
      </c>
      <c r="AF396" s="229" t="s">
        <v>230</v>
      </c>
      <c r="AG396" s="236"/>
      <c r="AH396" s="236">
        <v>2</v>
      </c>
      <c r="AI396" s="228" t="s">
        <v>231</v>
      </c>
      <c r="AJ396" s="232" t="s">
        <v>120</v>
      </c>
      <c r="AK396" s="228" t="s">
        <v>123</v>
      </c>
      <c r="AL396" s="228"/>
      <c r="AM396" s="232"/>
      <c r="AN396" s="228"/>
      <c r="AO396" s="228"/>
      <c r="AP396" s="237"/>
      <c r="AQ396" s="228"/>
      <c r="AR396" s="232"/>
      <c r="AS396" s="228"/>
      <c r="AT396" s="229"/>
      <c r="AU396" s="229">
        <v>43453.378934606502</v>
      </c>
      <c r="AV396" s="229"/>
      <c r="AW396" s="229"/>
      <c r="AX396" s="229"/>
      <c r="AY396" s="229"/>
      <c r="AZ396" s="238">
        <v>43193</v>
      </c>
      <c r="BA396" s="1" t="s">
        <v>7684</v>
      </c>
      <c r="BB396"/>
      <c r="BC396">
        <v>45</v>
      </c>
      <c r="BD396">
        <v>1895</v>
      </c>
      <c r="BE39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6" s="240">
        <f>COUNTIFS(_05preva_view43[Site ID],_05preva_view43[[#This Row],[Site ID]],_05preva_view43[Prevalidation Status],"Under Prevalidation")</f>
        <v>0</v>
      </c>
      <c r="BG39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6" s="242" t="str">
        <f>CONCATENATE(_05preva_view43[[#This Row],[Site ID]]," (",_05preva_view43[[#This Row],[tenant id]],") Application",IF(_05preva_view43[[#This Row],[Colo Rev]]&gt;0," Rev "&amp;_05preva_view43[[#This Row],[Colo Rev]],""),".xlsx")</f>
        <v>ANMD_0073 (MDY0002) Application.xlsx</v>
      </c>
      <c r="BI396" s="64" t="e">
        <f t="shared" ca="1" si="6"/>
        <v>#VALUE!</v>
      </c>
      <c r="BJ396" s="104" t="e">
        <f ca="1">LEFT(CELL("filename",A381),_05preva_view43[[#This Row],[Find Process &amp; Database]]-1)</f>
        <v>#VALUE!</v>
      </c>
      <c r="BK396" s="104" t="e">
        <f ca="1">_05preva_view43[Folder Path1]&amp;"Process &amp; Database\Documentation\Colo Applications"</f>
        <v>#VALUE!</v>
      </c>
      <c r="BL396" s="104" t="e">
        <f ca="1">_05preva_view43[Folder Path2]&amp;"\Colo App "&amp;_05preva_view43[[#This Row],[Operator]]&amp;"\"</f>
        <v>#VALUE!</v>
      </c>
      <c r="BM396" s="63" t="e">
        <f ca="1">_05preva_view43[[#This Row],[Folder Path3]]&amp;_05preva_view43[[#This Row],[File Name]]</f>
        <v>#VALUE!</v>
      </c>
      <c r="BN396" s="104"/>
      <c r="CF396" s="5"/>
      <c r="CG396" s="5"/>
      <c r="CH396" s="3"/>
      <c r="CJ396" s="5"/>
      <c r="CN396" s="3"/>
      <c r="CO396" s="3"/>
      <c r="CP396" s="5"/>
      <c r="CR396" s="3"/>
      <c r="DN396" s="5"/>
      <c r="DP396" s="3"/>
      <c r="EB396" s="7"/>
      <c r="EC396" s="7"/>
      <c r="EF396" s="4"/>
      <c r="EG396" s="4"/>
      <c r="EQ396" s="2"/>
      <c r="ER396" s="2"/>
    </row>
    <row r="397" spans="1:148">
      <c r="A397" s="227">
        <v>40</v>
      </c>
      <c r="B397" s="228" t="s">
        <v>250</v>
      </c>
      <c r="C397" s="228" t="s">
        <v>116</v>
      </c>
      <c r="D397" s="228" t="s">
        <v>117</v>
      </c>
      <c r="E397" s="228" t="s">
        <v>251</v>
      </c>
      <c r="F397" s="228" t="s">
        <v>34</v>
      </c>
      <c r="G397" s="228" t="s">
        <v>1284</v>
      </c>
      <c r="H397" s="228" t="s">
        <v>1285</v>
      </c>
      <c r="I397" s="228" t="s">
        <v>118</v>
      </c>
      <c r="J397" s="228"/>
      <c r="K397" s="229">
        <v>43193</v>
      </c>
      <c r="L397" s="230"/>
      <c r="M397" s="230">
        <v>2</v>
      </c>
      <c r="N397" s="228">
        <v>6</v>
      </c>
      <c r="O397" s="228" t="s">
        <v>119</v>
      </c>
      <c r="P397" s="231" t="s">
        <v>246</v>
      </c>
      <c r="Q397" s="231" t="s">
        <v>247</v>
      </c>
      <c r="R397" s="228" t="s">
        <v>24</v>
      </c>
      <c r="S397" s="228"/>
      <c r="T397" s="232" t="s">
        <v>120</v>
      </c>
      <c r="U397" s="228" t="s">
        <v>121</v>
      </c>
      <c r="V397" s="232" t="s">
        <v>120</v>
      </c>
      <c r="W397" s="228"/>
      <c r="X397" s="232" t="s">
        <v>120</v>
      </c>
      <c r="Y397" s="228"/>
      <c r="Z397" s="233" t="s">
        <v>120</v>
      </c>
      <c r="AA397" s="234"/>
      <c r="AB397" s="234"/>
      <c r="AC397" s="235"/>
      <c r="AD397" s="228"/>
      <c r="AE397" s="232" t="s">
        <v>120</v>
      </c>
      <c r="AF397" s="229" t="s">
        <v>230</v>
      </c>
      <c r="AG397" s="236"/>
      <c r="AH397" s="236">
        <v>2</v>
      </c>
      <c r="AI397" s="228" t="s">
        <v>231</v>
      </c>
      <c r="AJ397" s="232" t="s">
        <v>120</v>
      </c>
      <c r="AK397" s="228" t="s">
        <v>123</v>
      </c>
      <c r="AL397" s="228"/>
      <c r="AM397" s="232"/>
      <c r="AN397" s="228"/>
      <c r="AO397" s="228"/>
      <c r="AP397" s="237"/>
      <c r="AQ397" s="228"/>
      <c r="AR397" s="232"/>
      <c r="AS397" s="228"/>
      <c r="AT397" s="229"/>
      <c r="AU397" s="229">
        <v>43453.3789420139</v>
      </c>
      <c r="AV397" s="229"/>
      <c r="AW397" s="229"/>
      <c r="AX397" s="229"/>
      <c r="AY397" s="229"/>
      <c r="AZ397" s="238">
        <v>43193</v>
      </c>
      <c r="BA397" s="1" t="s">
        <v>7684</v>
      </c>
      <c r="BB397"/>
      <c r="BC397">
        <v>35</v>
      </c>
      <c r="BD397">
        <v>243</v>
      </c>
      <c r="BE39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7" s="240">
        <f>COUNTIFS(_05preva_view43[Site ID],_05preva_view43[[#This Row],[Site ID]],_05preva_view43[Prevalidation Status],"Under Prevalidation")</f>
        <v>0</v>
      </c>
      <c r="BG39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7" s="242" t="str">
        <f>CONCATENATE(_05preva_view43[[#This Row],[Site ID]]," (",_05preva_view43[[#This Row],[tenant id]],") Application",IF(_05preva_view43[[#This Row],[Colo Rev]]&gt;0," Rev "&amp;_05preva_view43[[#This Row],[Colo Rev]],""),".xlsx")</f>
        <v>ANMG_0187 (MGY0444) Application.xlsx</v>
      </c>
      <c r="BI397" s="64" t="e">
        <f t="shared" ca="1" si="6"/>
        <v>#VALUE!</v>
      </c>
      <c r="BJ397" s="104" t="e">
        <f ca="1">LEFT(CELL("filename",A382),_05preva_view43[[#This Row],[Find Process &amp; Database]]-1)</f>
        <v>#VALUE!</v>
      </c>
      <c r="BK397" s="104" t="e">
        <f ca="1">_05preva_view43[Folder Path1]&amp;"Process &amp; Database\Documentation\Colo Applications"</f>
        <v>#VALUE!</v>
      </c>
      <c r="BL397" s="104" t="e">
        <f ca="1">_05preva_view43[Folder Path2]&amp;"\Colo App "&amp;_05preva_view43[[#This Row],[Operator]]&amp;"\"</f>
        <v>#VALUE!</v>
      </c>
      <c r="BM397" s="63" t="e">
        <f ca="1">_05preva_view43[[#This Row],[Folder Path3]]&amp;_05preva_view43[[#This Row],[File Name]]</f>
        <v>#VALUE!</v>
      </c>
      <c r="BN397" s="104"/>
      <c r="CF397" s="5"/>
      <c r="CG397" s="5"/>
      <c r="CH397" s="3"/>
      <c r="CJ397" s="5"/>
      <c r="CN397" s="3"/>
      <c r="CO397" s="3"/>
      <c r="CP397" s="5"/>
      <c r="CR397" s="3"/>
      <c r="DN397" s="5"/>
      <c r="DP397" s="3"/>
      <c r="EB397" s="7"/>
      <c r="EC397" s="7"/>
      <c r="EF397" s="4"/>
      <c r="EG397" s="4"/>
      <c r="EQ397" s="2"/>
      <c r="ER397" s="2"/>
    </row>
    <row r="398" spans="1:148">
      <c r="A398" s="227">
        <v>35</v>
      </c>
      <c r="B398" s="228" t="s">
        <v>232</v>
      </c>
      <c r="C398" s="228" t="s">
        <v>116</v>
      </c>
      <c r="D398" s="228" t="s">
        <v>153</v>
      </c>
      <c r="E398" s="228" t="s">
        <v>233</v>
      </c>
      <c r="F398" s="228" t="s">
        <v>35</v>
      </c>
      <c r="G398" s="228" t="s">
        <v>1287</v>
      </c>
      <c r="H398" s="228" t="s">
        <v>1285</v>
      </c>
      <c r="I398" s="228" t="s">
        <v>118</v>
      </c>
      <c r="J398" s="228"/>
      <c r="K398" s="229">
        <v>43192</v>
      </c>
      <c r="L398" s="230"/>
      <c r="M398" s="230">
        <v>1.3</v>
      </c>
      <c r="N398" s="228">
        <v>5</v>
      </c>
      <c r="O398" s="228" t="s">
        <v>119</v>
      </c>
      <c r="P398" s="231" t="s">
        <v>234</v>
      </c>
      <c r="Q398" s="231" t="s">
        <v>220</v>
      </c>
      <c r="R398" s="228" t="s">
        <v>24</v>
      </c>
      <c r="S398" s="228"/>
      <c r="T398" s="232" t="s">
        <v>120</v>
      </c>
      <c r="U398" s="228" t="s">
        <v>121</v>
      </c>
      <c r="V398" s="232" t="s">
        <v>120</v>
      </c>
      <c r="W398" s="228"/>
      <c r="X398" s="232" t="s">
        <v>120</v>
      </c>
      <c r="Y398" s="228" t="s">
        <v>235</v>
      </c>
      <c r="Z398" s="233" t="s">
        <v>120</v>
      </c>
      <c r="AA398" s="234"/>
      <c r="AB398" s="234"/>
      <c r="AC398" s="235"/>
      <c r="AD398" s="228"/>
      <c r="AE398" s="232" t="s">
        <v>120</v>
      </c>
      <c r="AF398" s="229" t="s">
        <v>236</v>
      </c>
      <c r="AG398" s="236"/>
      <c r="AH398" s="236">
        <v>1.3</v>
      </c>
      <c r="AI398" s="228" t="s">
        <v>237</v>
      </c>
      <c r="AJ398" s="232" t="s">
        <v>120</v>
      </c>
      <c r="AK398" s="228" t="s">
        <v>123</v>
      </c>
      <c r="AL398" s="228"/>
      <c r="AM398" s="232"/>
      <c r="AN398" s="228"/>
      <c r="AO398" s="228"/>
      <c r="AP398" s="237"/>
      <c r="AQ398" s="228"/>
      <c r="AR398" s="232"/>
      <c r="AS398" s="228"/>
      <c r="AT398" s="229"/>
      <c r="AU398" s="229">
        <v>43453.378928472201</v>
      </c>
      <c r="AV398" s="229"/>
      <c r="AW398" s="229"/>
      <c r="AX398" s="229"/>
      <c r="AY398" s="229"/>
      <c r="AZ398" s="238">
        <v>43192</v>
      </c>
      <c r="BA398" s="1" t="s">
        <v>7684</v>
      </c>
      <c r="BB398">
        <v>195</v>
      </c>
      <c r="BC398">
        <v>35</v>
      </c>
      <c r="BD398">
        <v>660</v>
      </c>
      <c r="BE39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8" s="240">
        <f>COUNTIFS(_05preva_view43[Site ID],_05preva_view43[[#This Row],[Site ID]],_05preva_view43[Prevalidation Status],"Under Prevalidation")</f>
        <v>0</v>
      </c>
      <c r="BG39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8" s="242" t="str">
        <f>CONCATENATE(_05preva_view43[[#This Row],[Site ID]]," (",_05preva_view43[[#This Row],[tenant id]],") Application",IF(_05preva_view43[[#This Row],[Colo Rev]]&gt;0," Rev "&amp;_05preva_view43[[#This Row],[Colo Rev]],""),".xlsx")</f>
        <v>AYYN_0135 (YGN02071) Application.xlsx</v>
      </c>
      <c r="BI398" s="64" t="e">
        <f t="shared" ca="1" si="6"/>
        <v>#VALUE!</v>
      </c>
      <c r="BJ398" s="104" t="e">
        <f ca="1">LEFT(CELL("filename",A383),_05preva_view43[[#This Row],[Find Process &amp; Database]]-1)</f>
        <v>#VALUE!</v>
      </c>
      <c r="BK398" s="104" t="e">
        <f ca="1">_05preva_view43[Folder Path1]&amp;"Process &amp; Database\Documentation\Colo Applications"</f>
        <v>#VALUE!</v>
      </c>
      <c r="BL398" s="104" t="e">
        <f ca="1">_05preva_view43[Folder Path2]&amp;"\Colo App "&amp;_05preva_view43[[#This Row],[Operator]]&amp;"\"</f>
        <v>#VALUE!</v>
      </c>
      <c r="BM398" s="63" t="e">
        <f ca="1">_05preva_view43[[#This Row],[Folder Path3]]&amp;_05preva_view43[[#This Row],[File Name]]</f>
        <v>#VALUE!</v>
      </c>
      <c r="BN398" s="104"/>
      <c r="CF398" s="5"/>
      <c r="CG398" s="5"/>
      <c r="CH398" s="3"/>
      <c r="CJ398" s="5"/>
      <c r="CN398" s="3"/>
      <c r="CO398" s="3"/>
      <c r="CP398" s="5"/>
      <c r="CR398" s="3"/>
      <c r="DN398" s="5"/>
      <c r="DP398" s="3"/>
      <c r="EB398" s="7"/>
      <c r="EC398" s="7"/>
      <c r="EF398" s="4"/>
      <c r="EG398" s="4"/>
      <c r="EQ398" s="2"/>
      <c r="ER398" s="2"/>
    </row>
    <row r="399" spans="1:148">
      <c r="A399" s="227">
        <v>34</v>
      </c>
      <c r="B399" s="228" t="s">
        <v>225</v>
      </c>
      <c r="C399" s="228" t="s">
        <v>116</v>
      </c>
      <c r="D399" s="228" t="s">
        <v>117</v>
      </c>
      <c r="E399" s="228" t="s">
        <v>226</v>
      </c>
      <c r="F399" s="228" t="s">
        <v>34</v>
      </c>
      <c r="G399" s="228" t="s">
        <v>1284</v>
      </c>
      <c r="H399" s="228" t="s">
        <v>1285</v>
      </c>
      <c r="I399" s="228" t="s">
        <v>118</v>
      </c>
      <c r="J399" s="228"/>
      <c r="K399" s="229">
        <v>43189</v>
      </c>
      <c r="L399" s="230"/>
      <c r="M399" s="230">
        <v>2</v>
      </c>
      <c r="N399" s="228">
        <v>6</v>
      </c>
      <c r="O399" s="228" t="s">
        <v>119</v>
      </c>
      <c r="P399" s="231" t="s">
        <v>227</v>
      </c>
      <c r="Q399" s="231" t="s">
        <v>228</v>
      </c>
      <c r="R399" s="228" t="s">
        <v>24</v>
      </c>
      <c r="S399" s="228"/>
      <c r="T399" s="232" t="s">
        <v>120</v>
      </c>
      <c r="U399" s="228" t="s">
        <v>121</v>
      </c>
      <c r="V399" s="232" t="s">
        <v>120</v>
      </c>
      <c r="W399" s="228"/>
      <c r="X399" s="232" t="s">
        <v>120</v>
      </c>
      <c r="Y399" s="228" t="s">
        <v>229</v>
      </c>
      <c r="Z399" s="233" t="s">
        <v>120</v>
      </c>
      <c r="AA399" s="234"/>
      <c r="AB399" s="234"/>
      <c r="AC399" s="235"/>
      <c r="AD399" s="228"/>
      <c r="AE399" s="232" t="s">
        <v>120</v>
      </c>
      <c r="AF399" s="229" t="s">
        <v>230</v>
      </c>
      <c r="AG399" s="236"/>
      <c r="AH399" s="236">
        <v>2</v>
      </c>
      <c r="AI399" s="228" t="s">
        <v>231</v>
      </c>
      <c r="AJ399" s="232" t="s">
        <v>120</v>
      </c>
      <c r="AK399" s="228" t="s">
        <v>123</v>
      </c>
      <c r="AL399" s="228"/>
      <c r="AM399" s="232"/>
      <c r="AN399" s="228"/>
      <c r="AO399" s="228"/>
      <c r="AP399" s="237"/>
      <c r="AQ399" s="228"/>
      <c r="AR399" s="232"/>
      <c r="AS399" s="228"/>
      <c r="AT399" s="229"/>
      <c r="AU399" s="229">
        <v>43453.3789256944</v>
      </c>
      <c r="AV399" s="229"/>
      <c r="AW399" s="229"/>
      <c r="AX399" s="229"/>
      <c r="AY399" s="229"/>
      <c r="AZ399" s="238">
        <v>43189</v>
      </c>
      <c r="BA399" s="1" t="s">
        <v>7684</v>
      </c>
      <c r="BB399"/>
      <c r="BC399">
        <v>35</v>
      </c>
      <c r="BD399">
        <v>169</v>
      </c>
      <c r="BE39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399" s="240">
        <f>COUNTIFS(_05preva_view43[Site ID],_05preva_view43[[#This Row],[Site ID]],_05preva_view43[Prevalidation Status],"Under Prevalidation")</f>
        <v>0</v>
      </c>
      <c r="BG39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399" s="242" t="str">
        <f>CONCATENATE(_05preva_view43[[#This Row],[Site ID]]," (",_05preva_view43[[#This Row],[tenant id]],") Application",IF(_05preva_view43[[#This Row],[Colo Rev]]&gt;0," Rev "&amp;_05preva_view43[[#This Row],[Colo Rev]],""),".xlsx")</f>
        <v>ANNP_0252 (NPW0260) Application.xlsx</v>
      </c>
      <c r="BI399" s="64" t="e">
        <f t="shared" ca="1" si="6"/>
        <v>#VALUE!</v>
      </c>
      <c r="BJ399" s="104" t="e">
        <f ca="1">LEFT(CELL("filename",A384),_05preva_view43[[#This Row],[Find Process &amp; Database]]-1)</f>
        <v>#VALUE!</v>
      </c>
      <c r="BK399" s="104" t="e">
        <f ca="1">_05preva_view43[Folder Path1]&amp;"Process &amp; Database\Documentation\Colo Applications"</f>
        <v>#VALUE!</v>
      </c>
      <c r="BL399" s="104" t="e">
        <f ca="1">_05preva_view43[Folder Path2]&amp;"\Colo App "&amp;_05preva_view43[[#This Row],[Operator]]&amp;"\"</f>
        <v>#VALUE!</v>
      </c>
      <c r="BM399" s="63" t="e">
        <f ca="1">_05preva_view43[[#This Row],[Folder Path3]]&amp;_05preva_view43[[#This Row],[File Name]]</f>
        <v>#VALUE!</v>
      </c>
      <c r="BN399" s="104"/>
      <c r="CF399" s="5"/>
      <c r="CG399" s="5"/>
      <c r="CH399" s="3"/>
      <c r="CJ399" s="5"/>
      <c r="CN399" s="3"/>
      <c r="CO399" s="3"/>
      <c r="CP399" s="5"/>
      <c r="CR399" s="3"/>
      <c r="DN399" s="5"/>
      <c r="DP399" s="3"/>
      <c r="EB399" s="7"/>
      <c r="EC399" s="7"/>
      <c r="EF399" s="4"/>
      <c r="EG399" s="4"/>
      <c r="EQ399" s="2"/>
      <c r="ER399" s="2"/>
    </row>
    <row r="400" spans="1:148">
      <c r="A400" s="227">
        <v>33</v>
      </c>
      <c r="B400" s="228" t="s">
        <v>218</v>
      </c>
      <c r="C400" s="228" t="s">
        <v>116</v>
      </c>
      <c r="D400" s="228" t="s">
        <v>127</v>
      </c>
      <c r="E400" s="228" t="s">
        <v>219</v>
      </c>
      <c r="F400" s="228" t="s">
        <v>40</v>
      </c>
      <c r="G400" s="228" t="s">
        <v>1289</v>
      </c>
      <c r="H400" s="228" t="s">
        <v>1285</v>
      </c>
      <c r="I400" s="228" t="s">
        <v>118</v>
      </c>
      <c r="J400" s="228"/>
      <c r="K400" s="229">
        <v>43181</v>
      </c>
      <c r="L400" s="230"/>
      <c r="M400" s="230">
        <v>3.5</v>
      </c>
      <c r="N400" s="228">
        <v>5.5</v>
      </c>
      <c r="O400" s="228" t="s">
        <v>119</v>
      </c>
      <c r="P400" s="231" t="s">
        <v>220</v>
      </c>
      <c r="Q400" s="231" t="s">
        <v>221</v>
      </c>
      <c r="R400" s="228" t="s">
        <v>24</v>
      </c>
      <c r="S400" s="228"/>
      <c r="T400" s="232" t="s">
        <v>120</v>
      </c>
      <c r="U400" s="228" t="s">
        <v>121</v>
      </c>
      <c r="V400" s="232" t="s">
        <v>120</v>
      </c>
      <c r="W400" s="228" t="s">
        <v>224</v>
      </c>
      <c r="X400" s="232" t="s">
        <v>120</v>
      </c>
      <c r="Y400" s="228"/>
      <c r="Z400" s="233" t="s">
        <v>120</v>
      </c>
      <c r="AA400" s="234"/>
      <c r="AB400" s="234"/>
      <c r="AC400" s="235"/>
      <c r="AD400" s="228" t="s">
        <v>216</v>
      </c>
      <c r="AE400" s="232" t="s">
        <v>120</v>
      </c>
      <c r="AF400" s="229"/>
      <c r="AG400" s="236"/>
      <c r="AH400" s="236"/>
      <c r="AI400" s="228" t="s">
        <v>223</v>
      </c>
      <c r="AJ400" s="232" t="s">
        <v>120</v>
      </c>
      <c r="AK400" s="228" t="s">
        <v>206</v>
      </c>
      <c r="AL400" s="228" t="s">
        <v>222</v>
      </c>
      <c r="AM400" s="232"/>
      <c r="AN400" s="228"/>
      <c r="AO400" s="228"/>
      <c r="AP400" s="237"/>
      <c r="AQ400" s="228"/>
      <c r="AR400" s="232"/>
      <c r="AS400" s="228"/>
      <c r="AT400" s="229"/>
      <c r="AU400" s="229">
        <v>43453.378924421297</v>
      </c>
      <c r="AV400" s="229"/>
      <c r="AW400" s="229"/>
      <c r="AX400" s="229"/>
      <c r="AY400" s="229"/>
      <c r="AZ400" s="238">
        <v>43181</v>
      </c>
      <c r="BA400" s="1" t="s">
        <v>7684</v>
      </c>
      <c r="BB400">
        <v>130</v>
      </c>
      <c r="BC400">
        <v>45</v>
      </c>
      <c r="BD400">
        <v>1154</v>
      </c>
      <c r="BE40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0" s="240">
        <f>COUNTIFS(_05preva_view43[Site ID],_05preva_view43[[#This Row],[Site ID]],_05preva_view43[Prevalidation Status],"Under Prevalidation")</f>
        <v>0</v>
      </c>
      <c r="BG40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0" s="242" t="str">
        <f>CONCATENATE(_05preva_view43[[#This Row],[Site ID]]," (",_05preva_view43[[#This Row],[tenant id]],") Application",IF(_05preva_view43[[#This Row],[Colo Rev]]&gt;0," Rev "&amp;_05preva_view43[[#This Row],[Colo Rev]],""),".xlsx")</f>
        <v>ANSG_0343 (SAW0697) Application.xlsx</v>
      </c>
      <c r="BI400" s="64" t="e">
        <f t="shared" ref="BI400:BI422" ca="1" si="7">FIND("Process &amp; Database\",CELL("filename",$A$1))</f>
        <v>#VALUE!</v>
      </c>
      <c r="BJ400" s="104" t="e">
        <f ca="1">LEFT(CELL("filename",A385),_05preva_view43[[#This Row],[Find Process &amp; Database]]-1)</f>
        <v>#VALUE!</v>
      </c>
      <c r="BK400" s="104" t="e">
        <f ca="1">_05preva_view43[Folder Path1]&amp;"Process &amp; Database\Documentation\Colo Applications"</f>
        <v>#VALUE!</v>
      </c>
      <c r="BL400" s="104" t="e">
        <f ca="1">_05preva_view43[Folder Path2]&amp;"\Colo App "&amp;_05preva_view43[[#This Row],[Operator]]&amp;"\"</f>
        <v>#VALUE!</v>
      </c>
      <c r="BM400" s="63" t="e">
        <f ca="1">_05preva_view43[[#This Row],[Folder Path3]]&amp;_05preva_view43[[#This Row],[File Name]]</f>
        <v>#VALUE!</v>
      </c>
      <c r="BN400" s="104"/>
      <c r="CF400" s="5"/>
      <c r="CG400" s="5"/>
      <c r="CH400" s="3"/>
      <c r="CJ400" s="5"/>
      <c r="CN400" s="3"/>
      <c r="CO400" s="3"/>
      <c r="CP400" s="5"/>
      <c r="CR400" s="3"/>
      <c r="DN400" s="5"/>
      <c r="DP400" s="3"/>
      <c r="EB400" s="7"/>
      <c r="EC400" s="7"/>
      <c r="EF400" s="4"/>
      <c r="EG400" s="4"/>
      <c r="EQ400" s="2"/>
      <c r="ER400" s="2"/>
    </row>
    <row r="401" spans="1:148">
      <c r="A401" s="227">
        <v>2</v>
      </c>
      <c r="B401" s="228" t="s">
        <v>126</v>
      </c>
      <c r="C401" s="228" t="s">
        <v>116</v>
      </c>
      <c r="D401" s="228" t="s">
        <v>127</v>
      </c>
      <c r="E401" s="228" t="s">
        <v>128</v>
      </c>
      <c r="F401" s="228" t="s">
        <v>34</v>
      </c>
      <c r="G401" s="228" t="s">
        <v>1284</v>
      </c>
      <c r="H401" s="228" t="s">
        <v>1285</v>
      </c>
      <c r="I401" s="228" t="s">
        <v>118</v>
      </c>
      <c r="J401" s="228"/>
      <c r="K401" s="229">
        <v>43172</v>
      </c>
      <c r="L401" s="230"/>
      <c r="M401" s="230"/>
      <c r="N401" s="228"/>
      <c r="O401" s="228" t="s">
        <v>119</v>
      </c>
      <c r="P401" s="231"/>
      <c r="Q401" s="231"/>
      <c r="R401" s="228" t="s">
        <v>24</v>
      </c>
      <c r="S401" s="228"/>
      <c r="T401" s="232" t="s">
        <v>120</v>
      </c>
      <c r="U401" s="228" t="s">
        <v>121</v>
      </c>
      <c r="V401" s="232" t="s">
        <v>120</v>
      </c>
      <c r="W401" s="228"/>
      <c r="X401" s="232" t="s">
        <v>120</v>
      </c>
      <c r="Y401" s="228" t="s">
        <v>129</v>
      </c>
      <c r="Z401" s="233" t="s">
        <v>120</v>
      </c>
      <c r="AA401" s="234"/>
      <c r="AB401" s="234"/>
      <c r="AC401" s="235"/>
      <c r="AD401" s="228"/>
      <c r="AE401" s="232" t="s">
        <v>120</v>
      </c>
      <c r="AF401" s="229"/>
      <c r="AG401" s="236"/>
      <c r="AH401" s="236"/>
      <c r="AI401" s="228" t="s">
        <v>131</v>
      </c>
      <c r="AJ401" s="232" t="s">
        <v>120</v>
      </c>
      <c r="AK401" s="228" t="s">
        <v>123</v>
      </c>
      <c r="AL401" s="228" t="s">
        <v>130</v>
      </c>
      <c r="AM401" s="232"/>
      <c r="AN401" s="228"/>
      <c r="AO401" s="228"/>
      <c r="AP401" s="237"/>
      <c r="AQ401" s="228"/>
      <c r="AR401" s="232"/>
      <c r="AS401" s="228"/>
      <c r="AT401" s="229"/>
      <c r="AU401" s="229">
        <v>43453.3788732639</v>
      </c>
      <c r="AV401" s="229"/>
      <c r="AW401" s="229"/>
      <c r="AX401" s="229"/>
      <c r="AY401" s="229"/>
      <c r="AZ401" s="238">
        <v>43172</v>
      </c>
      <c r="BA401" s="1" t="s">
        <v>7684</v>
      </c>
      <c r="BB401"/>
      <c r="BC401">
        <v>40</v>
      </c>
      <c r="BD401">
        <v>128</v>
      </c>
      <c r="BE40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1" s="240">
        <f>COUNTIFS(_05preva_view43[Site ID],_05preva_view43[[#This Row],[Site ID]],_05preva_view43[Prevalidation Status],"Under Prevalidation")</f>
        <v>0</v>
      </c>
      <c r="BG40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1" s="242" t="str">
        <f>CONCATENATE(_05preva_view43[[#This Row],[Site ID]]," (",_05preva_view43[[#This Row],[tenant id]],") Application",IF(_05preva_view43[[#This Row],[Colo Rev]]&gt;0," Rev "&amp;_05preva_view43[[#This Row],[Colo Rev]],""),".xlsx")</f>
        <v>ANKC_0015 (KCN0160) Application.xlsx</v>
      </c>
      <c r="BI401" s="64" t="e">
        <f t="shared" ca="1" si="7"/>
        <v>#VALUE!</v>
      </c>
      <c r="BJ401" s="104" t="e">
        <f ca="1">LEFT(CELL("filename",A386),_05preva_view43[[#This Row],[Find Process &amp; Database]]-1)</f>
        <v>#VALUE!</v>
      </c>
      <c r="BK401" s="104" t="e">
        <f ca="1">_05preva_view43[Folder Path1]&amp;"Process &amp; Database\Documentation\Colo Applications"</f>
        <v>#VALUE!</v>
      </c>
      <c r="BL401" s="104" t="e">
        <f ca="1">_05preva_view43[Folder Path2]&amp;"\Colo App "&amp;_05preva_view43[[#This Row],[Operator]]&amp;"\"</f>
        <v>#VALUE!</v>
      </c>
      <c r="BM401" s="63" t="e">
        <f ca="1">_05preva_view43[[#This Row],[Folder Path3]]&amp;_05preva_view43[[#This Row],[File Name]]</f>
        <v>#VALUE!</v>
      </c>
      <c r="BN401" s="104"/>
      <c r="CF401" s="5"/>
      <c r="CG401" s="5"/>
      <c r="CH401" s="3"/>
      <c r="CJ401" s="5"/>
      <c r="CN401" s="3"/>
      <c r="CO401" s="3"/>
      <c r="CP401" s="5"/>
      <c r="CR401" s="3"/>
      <c r="DN401" s="5"/>
      <c r="DP401" s="3"/>
      <c r="EB401" s="7"/>
      <c r="EC401" s="7"/>
      <c r="EF401" s="4"/>
      <c r="EG401" s="4"/>
      <c r="EQ401" s="2"/>
      <c r="ER401" s="2"/>
    </row>
    <row r="402" spans="1:148">
      <c r="A402" s="227">
        <v>3</v>
      </c>
      <c r="B402" s="228" t="s">
        <v>132</v>
      </c>
      <c r="C402" s="228" t="s">
        <v>116</v>
      </c>
      <c r="D402" s="228" t="s">
        <v>127</v>
      </c>
      <c r="E402" s="228" t="s">
        <v>133</v>
      </c>
      <c r="F402" s="228" t="s">
        <v>34</v>
      </c>
      <c r="G402" s="228" t="s">
        <v>1284</v>
      </c>
      <c r="H402" s="228" t="s">
        <v>1285</v>
      </c>
      <c r="I402" s="228" t="s">
        <v>118</v>
      </c>
      <c r="J402" s="228"/>
      <c r="K402" s="229">
        <v>43172</v>
      </c>
      <c r="L402" s="230"/>
      <c r="M402" s="230"/>
      <c r="N402" s="228"/>
      <c r="O402" s="228" t="s">
        <v>119</v>
      </c>
      <c r="P402" s="231"/>
      <c r="Q402" s="231"/>
      <c r="R402" s="228" t="s">
        <v>24</v>
      </c>
      <c r="S402" s="228"/>
      <c r="T402" s="232" t="s">
        <v>120</v>
      </c>
      <c r="U402" s="228" t="s">
        <v>121</v>
      </c>
      <c r="V402" s="232" t="s">
        <v>120</v>
      </c>
      <c r="W402" s="228"/>
      <c r="X402" s="232" t="s">
        <v>120</v>
      </c>
      <c r="Y402" s="228" t="s">
        <v>122</v>
      </c>
      <c r="Z402" s="233" t="s">
        <v>120</v>
      </c>
      <c r="AA402" s="234"/>
      <c r="AB402" s="234"/>
      <c r="AC402" s="235"/>
      <c r="AD402" s="228"/>
      <c r="AE402" s="232" t="s">
        <v>120</v>
      </c>
      <c r="AF402" s="229"/>
      <c r="AG402" s="236"/>
      <c r="AH402" s="236"/>
      <c r="AI402" s="228" t="s">
        <v>134</v>
      </c>
      <c r="AJ402" s="232" t="s">
        <v>120</v>
      </c>
      <c r="AK402" s="228" t="s">
        <v>123</v>
      </c>
      <c r="AL402" s="228" t="s">
        <v>130</v>
      </c>
      <c r="AM402" s="232"/>
      <c r="AN402" s="228"/>
      <c r="AO402" s="228"/>
      <c r="AP402" s="237"/>
      <c r="AQ402" s="228"/>
      <c r="AR402" s="232"/>
      <c r="AS402" s="228"/>
      <c r="AT402" s="229"/>
      <c r="AU402" s="229">
        <v>43453.378876620402</v>
      </c>
      <c r="AV402" s="229"/>
      <c r="AW402" s="229"/>
      <c r="AX402" s="229"/>
      <c r="AY402" s="229"/>
      <c r="AZ402" s="238">
        <v>43172</v>
      </c>
      <c r="BA402" s="1" t="s">
        <v>7684</v>
      </c>
      <c r="BB402"/>
      <c r="BC402">
        <v>50</v>
      </c>
      <c r="BD402">
        <v>92</v>
      </c>
      <c r="BE40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2" s="240">
        <f>COUNTIFS(_05preva_view43[Site ID],_05preva_view43[[#This Row],[Site ID]],_05preva_view43[Prevalidation Status],"Under Prevalidation")</f>
        <v>0</v>
      </c>
      <c r="BG40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2" s="242" t="str">
        <f>CONCATENATE(_05preva_view43[[#This Row],[Site ID]]," (",_05preva_view43[[#This Row],[tenant id]],") Application",IF(_05preva_view43[[#This Row],[Colo Rev]]&gt;0," Rev "&amp;_05preva_view43[[#This Row],[Colo Rev]],""),".xlsx")</f>
        <v>ANMD_0065 (MDY0723) Application.xlsx</v>
      </c>
      <c r="BI402" s="64" t="e">
        <f t="shared" ca="1" si="7"/>
        <v>#VALUE!</v>
      </c>
      <c r="BJ402" s="104" t="e">
        <f ca="1">LEFT(CELL("filename",A387),_05preva_view43[[#This Row],[Find Process &amp; Database]]-1)</f>
        <v>#VALUE!</v>
      </c>
      <c r="BK402" s="104" t="e">
        <f ca="1">_05preva_view43[Folder Path1]&amp;"Process &amp; Database\Documentation\Colo Applications"</f>
        <v>#VALUE!</v>
      </c>
      <c r="BL402" s="104" t="e">
        <f ca="1">_05preva_view43[Folder Path2]&amp;"\Colo App "&amp;_05preva_view43[[#This Row],[Operator]]&amp;"\"</f>
        <v>#VALUE!</v>
      </c>
      <c r="BM402" s="63" t="e">
        <f ca="1">_05preva_view43[[#This Row],[Folder Path3]]&amp;_05preva_view43[[#This Row],[File Name]]</f>
        <v>#VALUE!</v>
      </c>
      <c r="BN402" s="104"/>
      <c r="CF402" s="5"/>
      <c r="CG402" s="5"/>
      <c r="CH402" s="3"/>
      <c r="CJ402" s="5"/>
      <c r="CN402" s="3"/>
      <c r="CO402" s="3"/>
      <c r="CP402" s="5"/>
      <c r="CR402" s="3"/>
      <c r="DN402" s="5"/>
      <c r="DP402" s="3"/>
      <c r="EB402" s="7"/>
      <c r="EC402" s="7"/>
      <c r="EF402" s="4"/>
      <c r="EG402" s="4"/>
      <c r="EQ402" s="2"/>
      <c r="ER402" s="2"/>
    </row>
    <row r="403" spans="1:148">
      <c r="A403" s="227">
        <v>4</v>
      </c>
      <c r="B403" s="228" t="s">
        <v>135</v>
      </c>
      <c r="C403" s="228" t="s">
        <v>116</v>
      </c>
      <c r="D403" s="228" t="s">
        <v>127</v>
      </c>
      <c r="E403" s="228" t="s">
        <v>136</v>
      </c>
      <c r="F403" s="228" t="s">
        <v>34</v>
      </c>
      <c r="G403" s="228" t="s">
        <v>1284</v>
      </c>
      <c r="H403" s="228" t="s">
        <v>1285</v>
      </c>
      <c r="I403" s="228" t="s">
        <v>118</v>
      </c>
      <c r="J403" s="228"/>
      <c r="K403" s="229">
        <v>43172</v>
      </c>
      <c r="L403" s="230"/>
      <c r="M403" s="230"/>
      <c r="N403" s="228"/>
      <c r="O403" s="228" t="s">
        <v>119</v>
      </c>
      <c r="P403" s="231"/>
      <c r="Q403" s="231"/>
      <c r="R403" s="228" t="s">
        <v>24</v>
      </c>
      <c r="S403" s="228"/>
      <c r="T403" s="232" t="s">
        <v>120</v>
      </c>
      <c r="U403" s="228" t="s">
        <v>121</v>
      </c>
      <c r="V403" s="232" t="s">
        <v>120</v>
      </c>
      <c r="W403" s="228"/>
      <c r="X403" s="232" t="s">
        <v>120</v>
      </c>
      <c r="Y403" s="228" t="s">
        <v>137</v>
      </c>
      <c r="Z403" s="233" t="s">
        <v>120</v>
      </c>
      <c r="AA403" s="234"/>
      <c r="AB403" s="234"/>
      <c r="AC403" s="235"/>
      <c r="AD403" s="228" t="s">
        <v>138</v>
      </c>
      <c r="AE403" s="232" t="s">
        <v>120</v>
      </c>
      <c r="AF403" s="229"/>
      <c r="AG403" s="236"/>
      <c r="AH403" s="236"/>
      <c r="AI403" s="228" t="s">
        <v>140</v>
      </c>
      <c r="AJ403" s="232" t="s">
        <v>120</v>
      </c>
      <c r="AK403" s="228" t="s">
        <v>123</v>
      </c>
      <c r="AL403" s="228" t="s">
        <v>139</v>
      </c>
      <c r="AM403" s="232"/>
      <c r="AN403" s="228"/>
      <c r="AO403" s="228"/>
      <c r="AP403" s="237"/>
      <c r="AQ403" s="228"/>
      <c r="AR403" s="232"/>
      <c r="AS403" s="228"/>
      <c r="AT403" s="229"/>
      <c r="AU403" s="229">
        <v>43453.378878124997</v>
      </c>
      <c r="AV403" s="229"/>
      <c r="AW403" s="229"/>
      <c r="AX403" s="229"/>
      <c r="AY403" s="229"/>
      <c r="AZ403" s="238">
        <v>43172</v>
      </c>
      <c r="BA403" s="1" t="s">
        <v>7684</v>
      </c>
      <c r="BB403"/>
      <c r="BC403">
        <v>35</v>
      </c>
      <c r="BD403">
        <v>1977</v>
      </c>
      <c r="BE40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3" s="240">
        <f>COUNTIFS(_05preva_view43[Site ID],_05preva_view43[[#This Row],[Site ID]],_05preva_view43[Prevalidation Status],"Under Prevalidation")</f>
        <v>0</v>
      </c>
      <c r="BG40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3" s="242" t="str">
        <f>CONCATENATE(_05preva_view43[[#This Row],[Site ID]]," (",_05preva_view43[[#This Row],[tenant id]],") Application",IF(_05preva_view43[[#This Row],[Colo Rev]]&gt;0," Rev "&amp;_05preva_view43[[#This Row],[Colo Rev]],""),".xlsx")</f>
        <v>ANMD_0119 (MDY0093) Application.xlsx</v>
      </c>
      <c r="BI403" s="64" t="e">
        <f t="shared" ca="1" si="7"/>
        <v>#VALUE!</v>
      </c>
      <c r="BJ403" s="104" t="e">
        <f ca="1">LEFT(CELL("filename",A388),_05preva_view43[[#This Row],[Find Process &amp; Database]]-1)</f>
        <v>#VALUE!</v>
      </c>
      <c r="BK403" s="104" t="e">
        <f ca="1">_05preva_view43[Folder Path1]&amp;"Process &amp; Database\Documentation\Colo Applications"</f>
        <v>#VALUE!</v>
      </c>
      <c r="BL403" s="104" t="e">
        <f ca="1">_05preva_view43[Folder Path2]&amp;"\Colo App "&amp;_05preva_view43[[#This Row],[Operator]]&amp;"\"</f>
        <v>#VALUE!</v>
      </c>
      <c r="BM403" s="63" t="e">
        <f ca="1">_05preva_view43[[#This Row],[Folder Path3]]&amp;_05preva_view43[[#This Row],[File Name]]</f>
        <v>#VALUE!</v>
      </c>
      <c r="BN403" s="104"/>
      <c r="CF403" s="5"/>
      <c r="CG403" s="5"/>
      <c r="CH403" s="3"/>
      <c r="CJ403" s="5"/>
      <c r="CN403" s="3"/>
      <c r="CO403" s="3"/>
      <c r="CP403" s="5"/>
      <c r="CR403" s="3"/>
      <c r="DN403" s="5"/>
      <c r="DP403" s="3"/>
      <c r="EB403" s="7"/>
      <c r="EC403" s="7"/>
      <c r="EF403" s="4"/>
      <c r="EG403" s="4"/>
      <c r="EQ403" s="2"/>
      <c r="ER403" s="2"/>
    </row>
    <row r="404" spans="1:148">
      <c r="A404" s="227">
        <v>6</v>
      </c>
      <c r="B404" s="228" t="s">
        <v>142</v>
      </c>
      <c r="C404" s="228" t="s">
        <v>116</v>
      </c>
      <c r="D404" s="228" t="s">
        <v>127</v>
      </c>
      <c r="E404" s="228" t="s">
        <v>143</v>
      </c>
      <c r="F404" s="228" t="s">
        <v>34</v>
      </c>
      <c r="G404" s="228" t="s">
        <v>1284</v>
      </c>
      <c r="H404" s="228" t="s">
        <v>1285</v>
      </c>
      <c r="I404" s="228" t="s">
        <v>118</v>
      </c>
      <c r="J404" s="228"/>
      <c r="K404" s="229">
        <v>43172</v>
      </c>
      <c r="L404" s="230"/>
      <c r="M404" s="230"/>
      <c r="N404" s="228"/>
      <c r="O404" s="228" t="s">
        <v>119</v>
      </c>
      <c r="P404" s="231"/>
      <c r="Q404" s="231"/>
      <c r="R404" s="228" t="s">
        <v>24</v>
      </c>
      <c r="S404" s="228"/>
      <c r="T404" s="232" t="s">
        <v>120</v>
      </c>
      <c r="U404" s="228" t="s">
        <v>121</v>
      </c>
      <c r="V404" s="232" t="s">
        <v>120</v>
      </c>
      <c r="W404" s="228"/>
      <c r="X404" s="232" t="s">
        <v>120</v>
      </c>
      <c r="Y404" s="228" t="s">
        <v>144</v>
      </c>
      <c r="Z404" s="233" t="s">
        <v>120</v>
      </c>
      <c r="AA404" s="234"/>
      <c r="AB404" s="234"/>
      <c r="AC404" s="235"/>
      <c r="AD404" s="228"/>
      <c r="AE404" s="232" t="s">
        <v>120</v>
      </c>
      <c r="AF404" s="229"/>
      <c r="AG404" s="236"/>
      <c r="AH404" s="236"/>
      <c r="AI404" s="228" t="s">
        <v>140</v>
      </c>
      <c r="AJ404" s="232" t="s">
        <v>120</v>
      </c>
      <c r="AK404" s="228" t="s">
        <v>123</v>
      </c>
      <c r="AL404" s="228"/>
      <c r="AM404" s="232"/>
      <c r="AN404" s="228"/>
      <c r="AO404" s="228"/>
      <c r="AP404" s="237"/>
      <c r="AQ404" s="228"/>
      <c r="AR404" s="232"/>
      <c r="AS404" s="228"/>
      <c r="AT404" s="229"/>
      <c r="AU404" s="229">
        <v>43453.378882291698</v>
      </c>
      <c r="AV404" s="229"/>
      <c r="AW404" s="229"/>
      <c r="AX404" s="229"/>
      <c r="AY404" s="229"/>
      <c r="AZ404" s="238">
        <v>43172</v>
      </c>
      <c r="BA404" s="1" t="s">
        <v>7684</v>
      </c>
      <c r="BB404"/>
      <c r="BC404">
        <v>60</v>
      </c>
      <c r="BD404">
        <v>1429</v>
      </c>
      <c r="BE40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4" s="240">
        <f>COUNTIFS(_05preva_view43[Site ID],_05preva_view43[[#This Row],[Site ID]],_05preva_view43[Prevalidation Status],"Under Prevalidation")</f>
        <v>0</v>
      </c>
      <c r="BG40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4" s="242" t="str">
        <f>CONCATENATE(_05preva_view43[[#This Row],[Site ID]]," (",_05preva_view43[[#This Row],[tenant id]],") Application",IF(_05preva_view43[[#This Row],[Colo Rev]]&gt;0," Rev "&amp;_05preva_view43[[#This Row],[Colo Rev]],""),".xlsx")</f>
        <v>ANMD_0174 (MDY0004) Application.xlsx</v>
      </c>
      <c r="BI404" s="64" t="e">
        <f t="shared" ca="1" si="7"/>
        <v>#VALUE!</v>
      </c>
      <c r="BJ404" s="104" t="e">
        <f ca="1">LEFT(CELL("filename",A389),_05preva_view43[[#This Row],[Find Process &amp; Database]]-1)</f>
        <v>#VALUE!</v>
      </c>
      <c r="BK404" s="104" t="e">
        <f ca="1">_05preva_view43[Folder Path1]&amp;"Process &amp; Database\Documentation\Colo Applications"</f>
        <v>#VALUE!</v>
      </c>
      <c r="BL404" s="104" t="e">
        <f ca="1">_05preva_view43[Folder Path2]&amp;"\Colo App "&amp;_05preva_view43[[#This Row],[Operator]]&amp;"\"</f>
        <v>#VALUE!</v>
      </c>
      <c r="BM404" s="63" t="e">
        <f ca="1">_05preva_view43[[#This Row],[Folder Path3]]&amp;_05preva_view43[[#This Row],[File Name]]</f>
        <v>#VALUE!</v>
      </c>
      <c r="BN404" s="104"/>
      <c r="CF404" s="5"/>
      <c r="CG404" s="5"/>
      <c r="CH404" s="3"/>
      <c r="CJ404" s="5"/>
      <c r="CN404" s="3"/>
      <c r="CO404" s="3"/>
      <c r="CP404" s="5"/>
      <c r="CR404" s="3"/>
      <c r="DN404" s="5"/>
      <c r="DP404" s="3"/>
      <c r="EB404" s="7"/>
      <c r="EC404" s="7"/>
      <c r="EF404" s="4"/>
      <c r="EG404" s="4"/>
      <c r="EQ404" s="2"/>
      <c r="ER404" s="2"/>
    </row>
    <row r="405" spans="1:148">
      <c r="A405" s="227">
        <v>7</v>
      </c>
      <c r="B405" s="228" t="s">
        <v>145</v>
      </c>
      <c r="C405" s="228" t="s">
        <v>116</v>
      </c>
      <c r="D405" s="228" t="s">
        <v>127</v>
      </c>
      <c r="E405" s="228" t="s">
        <v>146</v>
      </c>
      <c r="F405" s="228" t="s">
        <v>34</v>
      </c>
      <c r="G405" s="228" t="s">
        <v>1284</v>
      </c>
      <c r="H405" s="228" t="s">
        <v>1285</v>
      </c>
      <c r="I405" s="228" t="s">
        <v>118</v>
      </c>
      <c r="J405" s="228"/>
      <c r="K405" s="229">
        <v>43172</v>
      </c>
      <c r="L405" s="230"/>
      <c r="M405" s="230"/>
      <c r="N405" s="228"/>
      <c r="O405" s="228" t="s">
        <v>119</v>
      </c>
      <c r="P405" s="231"/>
      <c r="Q405" s="231"/>
      <c r="R405" s="228" t="s">
        <v>24</v>
      </c>
      <c r="S405" s="228"/>
      <c r="T405" s="232" t="s">
        <v>120</v>
      </c>
      <c r="U405" s="228" t="s">
        <v>121</v>
      </c>
      <c r="V405" s="232" t="s">
        <v>120</v>
      </c>
      <c r="W405" s="228"/>
      <c r="X405" s="232" t="s">
        <v>120</v>
      </c>
      <c r="Y405" s="228" t="s">
        <v>147</v>
      </c>
      <c r="Z405" s="233" t="s">
        <v>120</v>
      </c>
      <c r="AA405" s="234"/>
      <c r="AB405" s="234"/>
      <c r="AC405" s="235"/>
      <c r="AD405" s="228"/>
      <c r="AE405" s="232" t="s">
        <v>120</v>
      </c>
      <c r="AF405" s="229"/>
      <c r="AG405" s="236"/>
      <c r="AH405" s="236"/>
      <c r="AI405" s="228" t="s">
        <v>124</v>
      </c>
      <c r="AJ405" s="232" t="s">
        <v>120</v>
      </c>
      <c r="AK405" s="228" t="s">
        <v>123</v>
      </c>
      <c r="AL405" s="228"/>
      <c r="AM405" s="232"/>
      <c r="AN405" s="228"/>
      <c r="AO405" s="228"/>
      <c r="AP405" s="237"/>
      <c r="AQ405" s="228"/>
      <c r="AR405" s="232"/>
      <c r="AS405" s="228"/>
      <c r="AT405" s="229"/>
      <c r="AU405" s="229">
        <v>43453.378884027799</v>
      </c>
      <c r="AV405" s="229"/>
      <c r="AW405" s="229"/>
      <c r="AX405" s="229"/>
      <c r="AY405" s="229"/>
      <c r="AZ405" s="238">
        <v>43172</v>
      </c>
      <c r="BA405" s="1" t="s">
        <v>7684</v>
      </c>
      <c r="BB405"/>
      <c r="BC405">
        <v>45</v>
      </c>
      <c r="BD405">
        <v>1518</v>
      </c>
      <c r="BE40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5" s="240">
        <f>COUNTIFS(_05preva_view43[Site ID],_05preva_view43[[#This Row],[Site ID]],_05preva_view43[Prevalidation Status],"Under Prevalidation")</f>
        <v>0</v>
      </c>
      <c r="BG40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5" s="242" t="str">
        <f>CONCATENATE(_05preva_view43[[#This Row],[Site ID]]," (",_05preva_view43[[#This Row],[tenant id]],") Application",IF(_05preva_view43[[#This Row],[Colo Rev]]&gt;0," Rev "&amp;_05preva_view43[[#This Row],[Colo Rev]],""),".xlsx")</f>
        <v>ANSG_0344 (SGG0260) Application.xlsx</v>
      </c>
      <c r="BI405" s="64" t="e">
        <f t="shared" ca="1" si="7"/>
        <v>#VALUE!</v>
      </c>
      <c r="BJ405" s="104" t="e">
        <f ca="1">LEFT(CELL("filename",A390),_05preva_view43[[#This Row],[Find Process &amp; Database]]-1)</f>
        <v>#VALUE!</v>
      </c>
      <c r="BK405" s="104" t="e">
        <f ca="1">_05preva_view43[Folder Path1]&amp;"Process &amp; Database\Documentation\Colo Applications"</f>
        <v>#VALUE!</v>
      </c>
      <c r="BL405" s="104" t="e">
        <f ca="1">_05preva_view43[Folder Path2]&amp;"\Colo App "&amp;_05preva_view43[[#This Row],[Operator]]&amp;"\"</f>
        <v>#VALUE!</v>
      </c>
      <c r="BM405" s="63" t="e">
        <f ca="1">_05preva_view43[[#This Row],[Folder Path3]]&amp;_05preva_view43[[#This Row],[File Name]]</f>
        <v>#VALUE!</v>
      </c>
      <c r="BN405" s="104"/>
      <c r="CF405" s="5"/>
      <c r="CG405" s="5"/>
      <c r="CH405" s="3"/>
      <c r="CJ405" s="5"/>
      <c r="CN405" s="3"/>
      <c r="CO405" s="3"/>
      <c r="CP405" s="5"/>
      <c r="CR405" s="3"/>
      <c r="DN405" s="5"/>
      <c r="DP405" s="3"/>
      <c r="EB405" s="7"/>
      <c r="EC405" s="7"/>
      <c r="EF405" s="4"/>
      <c r="EG405" s="4"/>
      <c r="EQ405" s="2"/>
      <c r="ER405" s="2"/>
    </row>
    <row r="406" spans="1:148">
      <c r="A406" s="227">
        <v>9</v>
      </c>
      <c r="B406" s="228" t="s">
        <v>148</v>
      </c>
      <c r="C406" s="228" t="s">
        <v>116</v>
      </c>
      <c r="D406" s="228" t="s">
        <v>117</v>
      </c>
      <c r="E406" s="228" t="s">
        <v>149</v>
      </c>
      <c r="F406" s="228" t="s">
        <v>34</v>
      </c>
      <c r="G406" s="228" t="s">
        <v>1284</v>
      </c>
      <c r="H406" s="228" t="s">
        <v>1285</v>
      </c>
      <c r="I406" s="228" t="s">
        <v>118</v>
      </c>
      <c r="J406" s="228"/>
      <c r="K406" s="229">
        <v>43172</v>
      </c>
      <c r="L406" s="230"/>
      <c r="M406" s="230"/>
      <c r="N406" s="228"/>
      <c r="O406" s="228" t="s">
        <v>119</v>
      </c>
      <c r="P406" s="231"/>
      <c r="Q406" s="231"/>
      <c r="R406" s="228" t="s">
        <v>24</v>
      </c>
      <c r="S406" s="228"/>
      <c r="T406" s="232" t="s">
        <v>120</v>
      </c>
      <c r="U406" s="228" t="s">
        <v>121</v>
      </c>
      <c r="V406" s="232" t="s">
        <v>120</v>
      </c>
      <c r="W406" s="228"/>
      <c r="X406" s="232" t="s">
        <v>120</v>
      </c>
      <c r="Y406" s="228" t="s">
        <v>150</v>
      </c>
      <c r="Z406" s="233" t="s">
        <v>120</v>
      </c>
      <c r="AA406" s="234"/>
      <c r="AB406" s="234"/>
      <c r="AC406" s="235"/>
      <c r="AD406" s="228"/>
      <c r="AE406" s="232" t="s">
        <v>120</v>
      </c>
      <c r="AF406" s="229"/>
      <c r="AG406" s="236"/>
      <c r="AH406" s="236"/>
      <c r="AI406" s="228" t="s">
        <v>151</v>
      </c>
      <c r="AJ406" s="232" t="s">
        <v>120</v>
      </c>
      <c r="AK406" s="228" t="s">
        <v>123</v>
      </c>
      <c r="AL406" s="228"/>
      <c r="AM406" s="232"/>
      <c r="AN406" s="228"/>
      <c r="AO406" s="228"/>
      <c r="AP406" s="237"/>
      <c r="AQ406" s="228"/>
      <c r="AR406" s="232"/>
      <c r="AS406" s="228"/>
      <c r="AT406" s="229"/>
      <c r="AU406" s="229">
        <v>43453.378887152801</v>
      </c>
      <c r="AV406" s="229"/>
      <c r="AW406" s="229"/>
      <c r="AX406" s="229"/>
      <c r="AY406" s="229"/>
      <c r="AZ406" s="238">
        <v>43172</v>
      </c>
      <c r="BA406" s="1" t="s">
        <v>7684</v>
      </c>
      <c r="BB406"/>
      <c r="BC406">
        <v>40</v>
      </c>
      <c r="BD406">
        <v>531</v>
      </c>
      <c r="BE40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6" s="240">
        <f>COUNTIFS(_05preva_view43[Site ID],_05preva_view43[[#This Row],[Site ID]],_05preva_view43[Prevalidation Status],"Under Prevalidation")</f>
        <v>0</v>
      </c>
      <c r="BG40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6" s="242" t="str">
        <f>CONCATENATE(_05preva_view43[[#This Row],[Site ID]]," (",_05preva_view43[[#This Row],[tenant id]],") Application",IF(_05preva_view43[[#This Row],[Colo Rev]]&gt;0," Rev "&amp;_05preva_view43[[#This Row],[Colo Rev]],""),".xlsx")</f>
        <v>ANSH_0006 (SHN0876) Application.xlsx</v>
      </c>
      <c r="BI406" s="64" t="e">
        <f t="shared" ca="1" si="7"/>
        <v>#VALUE!</v>
      </c>
      <c r="BJ406" s="104" t="e">
        <f ca="1">LEFT(CELL("filename",A391),_05preva_view43[[#This Row],[Find Process &amp; Database]]-1)</f>
        <v>#VALUE!</v>
      </c>
      <c r="BK406" s="104" t="e">
        <f ca="1">_05preva_view43[Folder Path1]&amp;"Process &amp; Database\Documentation\Colo Applications"</f>
        <v>#VALUE!</v>
      </c>
      <c r="BL406" s="104" t="e">
        <f ca="1">_05preva_view43[Folder Path2]&amp;"\Colo App "&amp;_05preva_view43[[#This Row],[Operator]]&amp;"\"</f>
        <v>#VALUE!</v>
      </c>
      <c r="BM406" s="63" t="e">
        <f ca="1">_05preva_view43[[#This Row],[Folder Path3]]&amp;_05preva_view43[[#This Row],[File Name]]</f>
        <v>#VALUE!</v>
      </c>
      <c r="BN406" s="104"/>
      <c r="CF406" s="5"/>
      <c r="CG406" s="5"/>
      <c r="CH406" s="3"/>
      <c r="CJ406" s="5"/>
      <c r="CN406" s="3"/>
      <c r="CO406" s="3"/>
      <c r="CP406" s="5"/>
      <c r="CR406" s="3"/>
      <c r="DN406" s="5"/>
      <c r="DP406" s="3"/>
      <c r="EB406" s="7"/>
      <c r="EC406" s="7"/>
      <c r="EF406" s="4"/>
      <c r="EG406" s="4"/>
      <c r="EQ406" s="2"/>
      <c r="ER406" s="2"/>
    </row>
    <row r="407" spans="1:148">
      <c r="A407" s="227">
        <v>10</v>
      </c>
      <c r="B407" s="228" t="s">
        <v>152</v>
      </c>
      <c r="C407" s="228" t="s">
        <v>116</v>
      </c>
      <c r="D407" s="228" t="s">
        <v>153</v>
      </c>
      <c r="E407" s="228" t="s">
        <v>154</v>
      </c>
      <c r="F407" s="228" t="s">
        <v>34</v>
      </c>
      <c r="G407" s="228" t="s">
        <v>1284</v>
      </c>
      <c r="H407" s="228" t="s">
        <v>1285</v>
      </c>
      <c r="I407" s="228" t="s">
        <v>118</v>
      </c>
      <c r="J407" s="228"/>
      <c r="K407" s="229">
        <v>43172</v>
      </c>
      <c r="L407" s="230"/>
      <c r="M407" s="230"/>
      <c r="N407" s="228"/>
      <c r="O407" s="228" t="s">
        <v>119</v>
      </c>
      <c r="P407" s="231"/>
      <c r="Q407" s="231"/>
      <c r="R407" s="228" t="s">
        <v>24</v>
      </c>
      <c r="S407" s="228"/>
      <c r="T407" s="232" t="s">
        <v>120</v>
      </c>
      <c r="U407" s="228" t="s">
        <v>121</v>
      </c>
      <c r="V407" s="232" t="s">
        <v>120</v>
      </c>
      <c r="W407" s="228"/>
      <c r="X407" s="232" t="s">
        <v>120</v>
      </c>
      <c r="Y407" s="228" t="s">
        <v>155</v>
      </c>
      <c r="Z407" s="233" t="s">
        <v>120</v>
      </c>
      <c r="AA407" s="234"/>
      <c r="AB407" s="234"/>
      <c r="AC407" s="235"/>
      <c r="AD407" s="228"/>
      <c r="AE407" s="232" t="s">
        <v>120</v>
      </c>
      <c r="AF407" s="229"/>
      <c r="AG407" s="236"/>
      <c r="AH407" s="236"/>
      <c r="AI407" s="228" t="s">
        <v>156</v>
      </c>
      <c r="AJ407" s="232" t="s">
        <v>120</v>
      </c>
      <c r="AK407" s="228" t="s">
        <v>123</v>
      </c>
      <c r="AL407" s="228"/>
      <c r="AM407" s="232"/>
      <c r="AN407" s="228"/>
      <c r="AO407" s="228"/>
      <c r="AP407" s="237"/>
      <c r="AQ407" s="228"/>
      <c r="AR407" s="232"/>
      <c r="AS407" s="228"/>
      <c r="AT407" s="229"/>
      <c r="AU407" s="229">
        <v>43453.378889351901</v>
      </c>
      <c r="AV407" s="229"/>
      <c r="AW407" s="229"/>
      <c r="AX407" s="229"/>
      <c r="AY407" s="229"/>
      <c r="AZ407" s="238">
        <v>43172</v>
      </c>
      <c r="BA407" s="1" t="s">
        <v>7684</v>
      </c>
      <c r="BB407"/>
      <c r="BC407">
        <v>60</v>
      </c>
      <c r="BD407">
        <v>1437</v>
      </c>
      <c r="BE40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7" s="240">
        <f>COUNTIFS(_05preva_view43[Site ID],_05preva_view43[[#This Row],[Site ID]],_05preva_view43[Prevalidation Status],"Under Prevalidation")</f>
        <v>0</v>
      </c>
      <c r="BG40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7" s="242" t="str">
        <f>CONCATENATE(_05preva_view43[[#This Row],[Site ID]]," (",_05preva_view43[[#This Row],[tenant id]],") Application",IF(_05preva_view43[[#This Row],[Colo Rev]]&gt;0," Rev "&amp;_05preva_view43[[#This Row],[Colo Rev]],""),".xlsx")</f>
        <v>ASKA_0150 (KYN0014) Application.xlsx</v>
      </c>
      <c r="BI407" s="64" t="e">
        <f t="shared" ca="1" si="7"/>
        <v>#VALUE!</v>
      </c>
      <c r="BJ407" s="104" t="e">
        <f ca="1">LEFT(CELL("filename",A392),_05preva_view43[[#This Row],[Find Process &amp; Database]]-1)</f>
        <v>#VALUE!</v>
      </c>
      <c r="BK407" s="104" t="e">
        <f ca="1">_05preva_view43[Folder Path1]&amp;"Process &amp; Database\Documentation\Colo Applications"</f>
        <v>#VALUE!</v>
      </c>
      <c r="BL407" s="104" t="e">
        <f ca="1">_05preva_view43[Folder Path2]&amp;"\Colo App "&amp;_05preva_view43[[#This Row],[Operator]]&amp;"\"</f>
        <v>#VALUE!</v>
      </c>
      <c r="BM407" s="63" t="e">
        <f ca="1">_05preva_view43[[#This Row],[Folder Path3]]&amp;_05preva_view43[[#This Row],[File Name]]</f>
        <v>#VALUE!</v>
      </c>
      <c r="BN407" s="104"/>
      <c r="CF407" s="5"/>
      <c r="CG407" s="5"/>
      <c r="CH407" s="3"/>
      <c r="CJ407" s="5"/>
      <c r="CN407" s="3"/>
      <c r="CO407" s="3"/>
      <c r="CP407" s="5"/>
      <c r="CR407" s="3"/>
      <c r="DN407" s="5"/>
      <c r="DP407" s="3"/>
      <c r="EB407" s="7"/>
      <c r="EC407" s="7"/>
      <c r="EF407" s="4"/>
      <c r="EG407" s="4"/>
      <c r="EQ407" s="2"/>
      <c r="ER407" s="2"/>
    </row>
    <row r="408" spans="1:148">
      <c r="A408" s="227">
        <v>11</v>
      </c>
      <c r="B408" s="228" t="s">
        <v>157</v>
      </c>
      <c r="C408" s="228" t="s">
        <v>116</v>
      </c>
      <c r="D408" s="228" t="s">
        <v>153</v>
      </c>
      <c r="E408" s="228" t="s">
        <v>158</v>
      </c>
      <c r="F408" s="228" t="s">
        <v>34</v>
      </c>
      <c r="G408" s="228" t="s">
        <v>1284</v>
      </c>
      <c r="H408" s="228" t="s">
        <v>1285</v>
      </c>
      <c r="I408" s="228" t="s">
        <v>118</v>
      </c>
      <c r="J408" s="228"/>
      <c r="K408" s="229">
        <v>43172</v>
      </c>
      <c r="L408" s="230"/>
      <c r="M408" s="230"/>
      <c r="N408" s="228"/>
      <c r="O408" s="228" t="s">
        <v>119</v>
      </c>
      <c r="P408" s="231"/>
      <c r="Q408" s="231"/>
      <c r="R408" s="228" t="s">
        <v>24</v>
      </c>
      <c r="S408" s="228"/>
      <c r="T408" s="232" t="s">
        <v>120</v>
      </c>
      <c r="U408" s="228" t="s">
        <v>121</v>
      </c>
      <c r="V408" s="232" t="s">
        <v>120</v>
      </c>
      <c r="W408" s="228"/>
      <c r="X408" s="232" t="s">
        <v>120</v>
      </c>
      <c r="Y408" s="228" t="s">
        <v>159</v>
      </c>
      <c r="Z408" s="233" t="s">
        <v>120</v>
      </c>
      <c r="AA408" s="234"/>
      <c r="AB408" s="234"/>
      <c r="AC408" s="235"/>
      <c r="AD408" s="228"/>
      <c r="AE408" s="232" t="s">
        <v>120</v>
      </c>
      <c r="AF408" s="229"/>
      <c r="AG408" s="236"/>
      <c r="AH408" s="236"/>
      <c r="AI408" s="228" t="s">
        <v>160</v>
      </c>
      <c r="AJ408" s="232" t="s">
        <v>120</v>
      </c>
      <c r="AK408" s="228" t="s">
        <v>123</v>
      </c>
      <c r="AL408" s="228"/>
      <c r="AM408" s="232"/>
      <c r="AN408" s="228"/>
      <c r="AO408" s="228"/>
      <c r="AP408" s="237"/>
      <c r="AQ408" s="228"/>
      <c r="AR408" s="232"/>
      <c r="AS408" s="228"/>
      <c r="AT408" s="229"/>
      <c r="AU408" s="229">
        <v>43453.378891666704</v>
      </c>
      <c r="AV408" s="229"/>
      <c r="AW408" s="229"/>
      <c r="AX408" s="229"/>
      <c r="AY408" s="229"/>
      <c r="AZ408" s="238">
        <v>43172</v>
      </c>
      <c r="BA408" s="1" t="s">
        <v>7684</v>
      </c>
      <c r="BB408"/>
      <c r="BC408">
        <v>40</v>
      </c>
      <c r="BD408">
        <v>105</v>
      </c>
      <c r="BE40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8" s="240">
        <f>COUNTIFS(_05preva_view43[Site ID],_05preva_view43[[#This Row],[Site ID]],_05preva_view43[Prevalidation Status],"Under Prevalidation")</f>
        <v>0</v>
      </c>
      <c r="BG40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8" s="242" t="str">
        <f>CONCATENATE(_05preva_view43[[#This Row],[Site ID]]," (",_05preva_view43[[#This Row],[tenant id]],") Application",IF(_05preva_view43[[#This Row],[Colo Rev]]&gt;0," Rev "&amp;_05preva_view43[[#This Row],[Colo Rev]],""),".xlsx")</f>
        <v>ASMO_0275 (MON0306) Application.xlsx</v>
      </c>
      <c r="BI408" s="64" t="e">
        <f t="shared" ca="1" si="7"/>
        <v>#VALUE!</v>
      </c>
      <c r="BJ408" s="104" t="e">
        <f ca="1">LEFT(CELL("filename",A393),_05preva_view43[[#This Row],[Find Process &amp; Database]]-1)</f>
        <v>#VALUE!</v>
      </c>
      <c r="BK408" s="104" t="e">
        <f ca="1">_05preva_view43[Folder Path1]&amp;"Process &amp; Database\Documentation\Colo Applications"</f>
        <v>#VALUE!</v>
      </c>
      <c r="BL408" s="104" t="e">
        <f ca="1">_05preva_view43[Folder Path2]&amp;"\Colo App "&amp;_05preva_view43[[#This Row],[Operator]]&amp;"\"</f>
        <v>#VALUE!</v>
      </c>
      <c r="BM408" s="63" t="e">
        <f ca="1">_05preva_view43[[#This Row],[Folder Path3]]&amp;_05preva_view43[[#This Row],[File Name]]</f>
        <v>#VALUE!</v>
      </c>
      <c r="BN408" s="104"/>
      <c r="CF408" s="5"/>
      <c r="CG408" s="5"/>
      <c r="CH408" s="3"/>
      <c r="CJ408" s="5"/>
      <c r="CN408" s="3"/>
      <c r="CO408" s="3"/>
      <c r="CP408" s="5"/>
      <c r="CR408" s="3"/>
      <c r="DN408" s="5"/>
      <c r="DP408" s="3"/>
      <c r="EB408" s="7"/>
      <c r="EC408" s="7"/>
      <c r="EF408" s="4"/>
      <c r="EG408" s="4"/>
      <c r="EQ408" s="2"/>
      <c r="ER408" s="2"/>
    </row>
    <row r="409" spans="1:148">
      <c r="A409" s="227">
        <v>13</v>
      </c>
      <c r="B409" s="228" t="s">
        <v>161</v>
      </c>
      <c r="C409" s="228" t="s">
        <v>116</v>
      </c>
      <c r="D409" s="228" t="s">
        <v>153</v>
      </c>
      <c r="E409" s="228" t="s">
        <v>162</v>
      </c>
      <c r="F409" s="228" t="s">
        <v>34</v>
      </c>
      <c r="G409" s="228" t="s">
        <v>1284</v>
      </c>
      <c r="H409" s="228" t="s">
        <v>1285</v>
      </c>
      <c r="I409" s="228" t="s">
        <v>118</v>
      </c>
      <c r="J409" s="228"/>
      <c r="K409" s="229">
        <v>43172</v>
      </c>
      <c r="L409" s="230"/>
      <c r="M409" s="230"/>
      <c r="N409" s="228"/>
      <c r="O409" s="228" t="s">
        <v>119</v>
      </c>
      <c r="P409" s="231"/>
      <c r="Q409" s="231"/>
      <c r="R409" s="228" t="s">
        <v>24</v>
      </c>
      <c r="S409" s="228"/>
      <c r="T409" s="232" t="s">
        <v>120</v>
      </c>
      <c r="U409" s="228" t="s">
        <v>121</v>
      </c>
      <c r="V409" s="232" t="s">
        <v>120</v>
      </c>
      <c r="W409" s="228"/>
      <c r="X409" s="232" t="s">
        <v>120</v>
      </c>
      <c r="Y409" s="228" t="s">
        <v>163</v>
      </c>
      <c r="Z409" s="233" t="s">
        <v>120</v>
      </c>
      <c r="AA409" s="234"/>
      <c r="AB409" s="234"/>
      <c r="AC409" s="235"/>
      <c r="AD409" s="228" t="s">
        <v>138</v>
      </c>
      <c r="AE409" s="232" t="s">
        <v>120</v>
      </c>
      <c r="AF409" s="229"/>
      <c r="AG409" s="236"/>
      <c r="AH409" s="236"/>
      <c r="AI409" s="228" t="s">
        <v>140</v>
      </c>
      <c r="AJ409" s="232" t="s">
        <v>120</v>
      </c>
      <c r="AK409" s="228" t="s">
        <v>123</v>
      </c>
      <c r="AL409" s="228"/>
      <c r="AM409" s="232"/>
      <c r="AN409" s="228"/>
      <c r="AO409" s="228"/>
      <c r="AP409" s="237"/>
      <c r="AQ409" s="228"/>
      <c r="AR409" s="232"/>
      <c r="AS409" s="228"/>
      <c r="AT409" s="229"/>
      <c r="AU409" s="229">
        <v>43453.3788965278</v>
      </c>
      <c r="AV409" s="229"/>
      <c r="AW409" s="229"/>
      <c r="AX409" s="229"/>
      <c r="AY409" s="229"/>
      <c r="AZ409" s="238">
        <v>43172</v>
      </c>
      <c r="BA409" s="1" t="s">
        <v>7684</v>
      </c>
      <c r="BB409"/>
      <c r="BC409">
        <v>35</v>
      </c>
      <c r="BD409">
        <v>66</v>
      </c>
      <c r="BE40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09" s="240">
        <f>COUNTIFS(_05preva_view43[Site ID],_05preva_view43[[#This Row],[Site ID]],_05preva_view43[Prevalidation Status],"Under Prevalidation")</f>
        <v>0</v>
      </c>
      <c r="BG40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09" s="242" t="str">
        <f>CONCATENATE(_05preva_view43[[#This Row],[Site ID]]," (",_05preva_view43[[#This Row],[tenant id]],") Application",IF(_05preva_view43[[#This Row],[Colo Rev]]&gt;0," Rev "&amp;_05preva_view43[[#This Row],[Colo Rev]],""),".xlsx")</f>
        <v>AYYN_0121 (YGN1319) Application.xlsx</v>
      </c>
      <c r="BI409" s="64" t="e">
        <f t="shared" ca="1" si="7"/>
        <v>#VALUE!</v>
      </c>
      <c r="BJ409" s="104" t="e">
        <f ca="1">LEFT(CELL("filename",A394),_05preva_view43[[#This Row],[Find Process &amp; Database]]-1)</f>
        <v>#VALUE!</v>
      </c>
      <c r="BK409" s="104" t="e">
        <f ca="1">_05preva_view43[Folder Path1]&amp;"Process &amp; Database\Documentation\Colo Applications"</f>
        <v>#VALUE!</v>
      </c>
      <c r="BL409" s="104" t="e">
        <f ca="1">_05preva_view43[Folder Path2]&amp;"\Colo App "&amp;_05preva_view43[[#This Row],[Operator]]&amp;"\"</f>
        <v>#VALUE!</v>
      </c>
      <c r="BM409" s="63" t="e">
        <f ca="1">_05preva_view43[[#This Row],[Folder Path3]]&amp;_05preva_view43[[#This Row],[File Name]]</f>
        <v>#VALUE!</v>
      </c>
      <c r="BN409" s="104"/>
      <c r="CF409" s="5"/>
      <c r="CG409" s="5"/>
      <c r="CH409" s="3"/>
      <c r="CJ409" s="5"/>
      <c r="CN409" s="3"/>
      <c r="CO409" s="3"/>
      <c r="CP409" s="5"/>
      <c r="CR409" s="3"/>
      <c r="DN409" s="5"/>
      <c r="DP409" s="3"/>
      <c r="EB409" s="7"/>
      <c r="EC409" s="7"/>
      <c r="EF409" s="4"/>
      <c r="EG409" s="4"/>
      <c r="EQ409" s="2"/>
      <c r="ER409" s="2"/>
    </row>
    <row r="410" spans="1:148">
      <c r="A410" s="227">
        <v>17</v>
      </c>
      <c r="B410" s="228" t="s">
        <v>166</v>
      </c>
      <c r="C410" s="228" t="s">
        <v>116</v>
      </c>
      <c r="D410" s="228" t="s">
        <v>153</v>
      </c>
      <c r="E410" s="228" t="s">
        <v>167</v>
      </c>
      <c r="F410" s="228" t="s">
        <v>34</v>
      </c>
      <c r="G410" s="228" t="s">
        <v>118</v>
      </c>
      <c r="H410" s="228"/>
      <c r="I410" s="228" t="s">
        <v>118</v>
      </c>
      <c r="J410" s="228"/>
      <c r="K410" s="229">
        <v>43172</v>
      </c>
      <c r="L410" s="230"/>
      <c r="M410" s="230"/>
      <c r="N410" s="228"/>
      <c r="O410" s="228" t="s">
        <v>119</v>
      </c>
      <c r="P410" s="231"/>
      <c r="Q410" s="231"/>
      <c r="R410" s="228" t="s">
        <v>24</v>
      </c>
      <c r="S410" s="228"/>
      <c r="T410" s="232" t="s">
        <v>120</v>
      </c>
      <c r="U410" s="228" t="s">
        <v>121</v>
      </c>
      <c r="V410" s="232" t="s">
        <v>120</v>
      </c>
      <c r="W410" s="228"/>
      <c r="X410" s="232" t="s">
        <v>120</v>
      </c>
      <c r="Y410" s="228" t="s">
        <v>168</v>
      </c>
      <c r="Z410" s="233" t="s">
        <v>120</v>
      </c>
      <c r="AA410" s="234"/>
      <c r="AB410" s="234"/>
      <c r="AC410" s="235"/>
      <c r="AD410" s="228" t="s">
        <v>169</v>
      </c>
      <c r="AE410" s="232" t="s">
        <v>120</v>
      </c>
      <c r="AF410" s="229" t="s">
        <v>170</v>
      </c>
      <c r="AG410" s="236"/>
      <c r="AH410" s="236"/>
      <c r="AI410" s="228" t="s">
        <v>171</v>
      </c>
      <c r="AJ410" s="232" t="s">
        <v>120</v>
      </c>
      <c r="AK410" s="228"/>
      <c r="AL410" s="228" t="s">
        <v>164</v>
      </c>
      <c r="AM410" s="232"/>
      <c r="AN410" s="228"/>
      <c r="AO410" s="228"/>
      <c r="AP410" s="237"/>
      <c r="AQ410" s="228"/>
      <c r="AR410" s="232"/>
      <c r="AS410" s="228"/>
      <c r="AT410" s="229"/>
      <c r="AU410" s="229">
        <v>43453.378902662</v>
      </c>
      <c r="AV410" s="229"/>
      <c r="AW410" s="229"/>
      <c r="AX410" s="229"/>
      <c r="AY410" s="229"/>
      <c r="AZ410" s="238">
        <v>43172</v>
      </c>
      <c r="BA410" s="1" t="s">
        <v>7691</v>
      </c>
      <c r="BB410"/>
      <c r="BC410">
        <v>6</v>
      </c>
      <c r="BD410">
        <v>1256</v>
      </c>
      <c r="BE41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0" s="240">
        <f>COUNTIFS(_05preva_view43[Site ID],_05preva_view43[[#This Row],[Site ID]],_05preva_view43[Prevalidation Status],"Under Prevalidation")</f>
        <v>0</v>
      </c>
      <c r="BG41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0" s="242" t="str">
        <f>CONCATENATE(_05preva_view43[[#This Row],[Site ID]]," (",_05preva_view43[[#This Row],[tenant id]],") Application",IF(_05preva_view43[[#This Row],[Colo Rev]]&gt;0," Rev "&amp;_05preva_view43[[#This Row],[Colo Rev]],""),".xlsx")</f>
        <v>AYYN_0389 (YGN0167) Application.xlsx</v>
      </c>
      <c r="BI410" s="64" t="e">
        <f t="shared" ca="1" si="7"/>
        <v>#VALUE!</v>
      </c>
      <c r="BJ410" s="104" t="e">
        <f ca="1">LEFT(CELL("filename",A395),_05preva_view43[[#This Row],[Find Process &amp; Database]]-1)</f>
        <v>#VALUE!</v>
      </c>
      <c r="BK410" s="104" t="e">
        <f ca="1">_05preva_view43[Folder Path1]&amp;"Process &amp; Database\Documentation\Colo Applications"</f>
        <v>#VALUE!</v>
      </c>
      <c r="BL410" s="104" t="e">
        <f ca="1">_05preva_view43[Folder Path2]&amp;"\Colo App "&amp;_05preva_view43[[#This Row],[Operator]]&amp;"\"</f>
        <v>#VALUE!</v>
      </c>
      <c r="BM410" s="63" t="e">
        <f ca="1">_05preva_view43[[#This Row],[Folder Path3]]&amp;_05preva_view43[[#This Row],[File Name]]</f>
        <v>#VALUE!</v>
      </c>
      <c r="BN410" s="104"/>
      <c r="CF410" s="5"/>
      <c r="CG410" s="5"/>
      <c r="CH410" s="3"/>
      <c r="CJ410" s="5"/>
      <c r="CN410" s="3"/>
      <c r="CO410" s="3"/>
      <c r="CP410" s="5"/>
      <c r="CR410" s="3"/>
      <c r="DN410" s="5"/>
      <c r="DP410" s="3"/>
      <c r="EB410" s="7"/>
      <c r="EC410" s="7"/>
      <c r="EF410" s="4"/>
      <c r="EG410" s="4"/>
      <c r="EQ410" s="2"/>
      <c r="ER410" s="2"/>
    </row>
    <row r="411" spans="1:148">
      <c r="A411" s="227">
        <v>18</v>
      </c>
      <c r="B411" s="228" t="s">
        <v>172</v>
      </c>
      <c r="C411" s="228" t="s">
        <v>116</v>
      </c>
      <c r="D411" s="228" t="s">
        <v>153</v>
      </c>
      <c r="E411" s="228" t="s">
        <v>173</v>
      </c>
      <c r="F411" s="228" t="s">
        <v>34</v>
      </c>
      <c r="G411" s="228" t="s">
        <v>118</v>
      </c>
      <c r="H411" s="228"/>
      <c r="I411" s="228" t="s">
        <v>118</v>
      </c>
      <c r="J411" s="228"/>
      <c r="K411" s="229">
        <v>43172</v>
      </c>
      <c r="L411" s="230"/>
      <c r="M411" s="230"/>
      <c r="N411" s="228"/>
      <c r="O411" s="228" t="s">
        <v>119</v>
      </c>
      <c r="P411" s="231"/>
      <c r="Q411" s="231"/>
      <c r="R411" s="228" t="s">
        <v>24</v>
      </c>
      <c r="S411" s="228"/>
      <c r="T411" s="232" t="s">
        <v>120</v>
      </c>
      <c r="U411" s="228" t="s">
        <v>121</v>
      </c>
      <c r="V411" s="232" t="s">
        <v>120</v>
      </c>
      <c r="W411" s="228"/>
      <c r="X411" s="232" t="s">
        <v>120</v>
      </c>
      <c r="Y411" s="228" t="s">
        <v>174</v>
      </c>
      <c r="Z411" s="233" t="s">
        <v>120</v>
      </c>
      <c r="AA411" s="234"/>
      <c r="AB411" s="234"/>
      <c r="AC411" s="235"/>
      <c r="AD411" s="228" t="s">
        <v>175</v>
      </c>
      <c r="AE411" s="232" t="s">
        <v>120</v>
      </c>
      <c r="AF411" s="229"/>
      <c r="AG411" s="236"/>
      <c r="AH411" s="236"/>
      <c r="AI411" s="228" t="s">
        <v>165</v>
      </c>
      <c r="AJ411" s="232" t="s">
        <v>120</v>
      </c>
      <c r="AK411" s="228"/>
      <c r="AL411" s="228" t="s">
        <v>164</v>
      </c>
      <c r="AM411" s="232"/>
      <c r="AN411" s="228"/>
      <c r="AO411" s="228"/>
      <c r="AP411" s="237"/>
      <c r="AQ411" s="228"/>
      <c r="AR411" s="232"/>
      <c r="AS411" s="228"/>
      <c r="AT411" s="229"/>
      <c r="AU411" s="229">
        <v>43453.378903356497</v>
      </c>
      <c r="AV411" s="229"/>
      <c r="AW411" s="229"/>
      <c r="AX411" s="229"/>
      <c r="AY411" s="229"/>
      <c r="AZ411" s="238">
        <v>43172</v>
      </c>
      <c r="BA411" s="1" t="s">
        <v>7691</v>
      </c>
      <c r="BB411"/>
      <c r="BC411">
        <v>6</v>
      </c>
      <c r="BD411">
        <v>1474</v>
      </c>
      <c r="BE41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1" s="240">
        <f>COUNTIFS(_05preva_view43[Site ID],_05preva_view43[[#This Row],[Site ID]],_05preva_view43[Prevalidation Status],"Under Prevalidation")</f>
        <v>0</v>
      </c>
      <c r="BG41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1" s="242" t="str">
        <f>CONCATENATE(_05preva_view43[[#This Row],[Site ID]]," (",_05preva_view43[[#This Row],[tenant id]],") Application",IF(_05preva_view43[[#This Row],[Colo Rev]]&gt;0," Rev "&amp;_05preva_view43[[#This Row],[Colo Rev]],""),".xlsx")</f>
        <v>AYYN_0396 (YGN0171) Application.xlsx</v>
      </c>
      <c r="BI411" s="64" t="e">
        <f t="shared" ca="1" si="7"/>
        <v>#VALUE!</v>
      </c>
      <c r="BJ411" s="104" t="e">
        <f ca="1">LEFT(CELL("filename",A396),_05preva_view43[[#This Row],[Find Process &amp; Database]]-1)</f>
        <v>#VALUE!</v>
      </c>
      <c r="BK411" s="104" t="e">
        <f ca="1">_05preva_view43[Folder Path1]&amp;"Process &amp; Database\Documentation\Colo Applications"</f>
        <v>#VALUE!</v>
      </c>
      <c r="BL411" s="104" t="e">
        <f ca="1">_05preva_view43[Folder Path2]&amp;"\Colo App "&amp;_05preva_view43[[#This Row],[Operator]]&amp;"\"</f>
        <v>#VALUE!</v>
      </c>
      <c r="BM411" s="63" t="e">
        <f ca="1">_05preva_view43[[#This Row],[Folder Path3]]&amp;_05preva_view43[[#This Row],[File Name]]</f>
        <v>#VALUE!</v>
      </c>
      <c r="BN411" s="104"/>
      <c r="CF411" s="5"/>
      <c r="CG411" s="5"/>
      <c r="CH411" s="3"/>
      <c r="CJ411" s="5"/>
      <c r="CN411" s="3"/>
      <c r="CO411" s="3"/>
      <c r="CP411" s="5"/>
      <c r="CR411" s="3"/>
      <c r="DN411" s="5"/>
      <c r="DP411" s="3"/>
      <c r="EB411" s="7"/>
      <c r="EC411" s="7"/>
      <c r="EF411" s="4"/>
      <c r="EG411" s="4"/>
      <c r="EQ411" s="2"/>
      <c r="ER411" s="2"/>
    </row>
    <row r="412" spans="1:148">
      <c r="A412" s="227">
        <v>19</v>
      </c>
      <c r="B412" s="228" t="s">
        <v>176</v>
      </c>
      <c r="C412" s="228" t="s">
        <v>116</v>
      </c>
      <c r="D412" s="228" t="s">
        <v>153</v>
      </c>
      <c r="E412" s="228" t="s">
        <v>177</v>
      </c>
      <c r="F412" s="228" t="s">
        <v>34</v>
      </c>
      <c r="G412" s="228" t="s">
        <v>1284</v>
      </c>
      <c r="H412" s="228" t="s">
        <v>1285</v>
      </c>
      <c r="I412" s="228" t="s">
        <v>118</v>
      </c>
      <c r="J412" s="228"/>
      <c r="K412" s="229">
        <v>43172</v>
      </c>
      <c r="L412" s="230"/>
      <c r="M412" s="230"/>
      <c r="N412" s="228"/>
      <c r="O412" s="228" t="s">
        <v>119</v>
      </c>
      <c r="P412" s="231"/>
      <c r="Q412" s="231"/>
      <c r="R412" s="228" t="s">
        <v>24</v>
      </c>
      <c r="S412" s="228"/>
      <c r="T412" s="232" t="s">
        <v>120</v>
      </c>
      <c r="U412" s="228" t="s">
        <v>121</v>
      </c>
      <c r="V412" s="232" t="s">
        <v>120</v>
      </c>
      <c r="W412" s="228"/>
      <c r="X412" s="232" t="s">
        <v>120</v>
      </c>
      <c r="Y412" s="228" t="s">
        <v>178</v>
      </c>
      <c r="Z412" s="233" t="s">
        <v>120</v>
      </c>
      <c r="AA412" s="234"/>
      <c r="AB412" s="234"/>
      <c r="AC412" s="235"/>
      <c r="AD412" s="228" t="s">
        <v>138</v>
      </c>
      <c r="AE412" s="232" t="s">
        <v>120</v>
      </c>
      <c r="AF412" s="229"/>
      <c r="AG412" s="236"/>
      <c r="AH412" s="236"/>
      <c r="AI412" s="228" t="s">
        <v>179</v>
      </c>
      <c r="AJ412" s="232" t="s">
        <v>120</v>
      </c>
      <c r="AK412" s="228"/>
      <c r="AL412" s="228" t="s">
        <v>164</v>
      </c>
      <c r="AM412" s="232"/>
      <c r="AN412" s="228"/>
      <c r="AO412" s="228"/>
      <c r="AP412" s="237"/>
      <c r="AQ412" s="228"/>
      <c r="AR412" s="232"/>
      <c r="AS412" s="228"/>
      <c r="AT412" s="229"/>
      <c r="AU412" s="229">
        <v>43453.378905208301</v>
      </c>
      <c r="AV412" s="229"/>
      <c r="AW412" s="229"/>
      <c r="AX412" s="229"/>
      <c r="AY412" s="229"/>
      <c r="AZ412" s="238">
        <v>43172</v>
      </c>
      <c r="BA412" s="1" t="s">
        <v>7684</v>
      </c>
      <c r="BB412"/>
      <c r="BC412">
        <v>35</v>
      </c>
      <c r="BD412">
        <v>1737</v>
      </c>
      <c r="BE41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2" s="240">
        <f>COUNTIFS(_05preva_view43[Site ID],_05preva_view43[[#This Row],[Site ID]],_05preva_view43[Prevalidation Status],"Under Prevalidation")</f>
        <v>0</v>
      </c>
      <c r="BG41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2" s="242" t="str">
        <f>CONCATENATE(_05preva_view43[[#This Row],[Site ID]]," (",_05preva_view43[[#This Row],[tenant id]],") Application",IF(_05preva_view43[[#This Row],[Colo Rev]]&gt;0," Rev "&amp;_05preva_view43[[#This Row],[Colo Rev]],""),".xlsx")</f>
        <v>AYYN_0583 (YGN1201) Application.xlsx</v>
      </c>
      <c r="BI412" s="64" t="e">
        <f t="shared" ca="1" si="7"/>
        <v>#VALUE!</v>
      </c>
      <c r="BJ412" s="104" t="e">
        <f ca="1">LEFT(CELL("filename",A397),_05preva_view43[[#This Row],[Find Process &amp; Database]]-1)</f>
        <v>#VALUE!</v>
      </c>
      <c r="BK412" s="104" t="e">
        <f ca="1">_05preva_view43[Folder Path1]&amp;"Process &amp; Database\Documentation\Colo Applications"</f>
        <v>#VALUE!</v>
      </c>
      <c r="BL412" s="104" t="e">
        <f ca="1">_05preva_view43[Folder Path2]&amp;"\Colo App "&amp;_05preva_view43[[#This Row],[Operator]]&amp;"\"</f>
        <v>#VALUE!</v>
      </c>
      <c r="BM412" s="63" t="e">
        <f ca="1">_05preva_view43[[#This Row],[Folder Path3]]&amp;_05preva_view43[[#This Row],[File Name]]</f>
        <v>#VALUE!</v>
      </c>
      <c r="BN412" s="104"/>
      <c r="CF412" s="5"/>
      <c r="CG412" s="5"/>
      <c r="CH412" s="3"/>
      <c r="CJ412" s="5"/>
      <c r="CN412" s="3"/>
      <c r="CO412" s="3"/>
      <c r="CP412" s="5"/>
      <c r="CR412" s="3"/>
      <c r="DN412" s="5"/>
      <c r="DP412" s="3"/>
      <c r="EB412" s="7"/>
      <c r="EC412" s="7"/>
      <c r="EF412" s="4"/>
      <c r="EG412" s="4"/>
      <c r="EQ412" s="2"/>
      <c r="ER412" s="2"/>
    </row>
    <row r="413" spans="1:148">
      <c r="A413" s="227">
        <v>21</v>
      </c>
      <c r="B413" s="228" t="s">
        <v>181</v>
      </c>
      <c r="C413" s="228" t="s">
        <v>116</v>
      </c>
      <c r="D413" s="228" t="s">
        <v>153</v>
      </c>
      <c r="E413" s="228" t="s">
        <v>182</v>
      </c>
      <c r="F413" s="228" t="s">
        <v>41</v>
      </c>
      <c r="G413" s="228" t="s">
        <v>1286</v>
      </c>
      <c r="H413" s="228" t="s">
        <v>1285</v>
      </c>
      <c r="I413" s="228" t="s">
        <v>118</v>
      </c>
      <c r="J413" s="228"/>
      <c r="K413" s="229">
        <v>43172</v>
      </c>
      <c r="L413" s="230"/>
      <c r="M413" s="230"/>
      <c r="N413" s="228"/>
      <c r="O413" s="228" t="s">
        <v>119</v>
      </c>
      <c r="P413" s="231"/>
      <c r="Q413" s="231"/>
      <c r="R413" s="228" t="s">
        <v>24</v>
      </c>
      <c r="S413" s="228"/>
      <c r="T413" s="232" t="s">
        <v>120</v>
      </c>
      <c r="U413" s="228" t="s">
        <v>121</v>
      </c>
      <c r="V413" s="232" t="s">
        <v>120</v>
      </c>
      <c r="W413" s="228"/>
      <c r="X413" s="232" t="s">
        <v>120</v>
      </c>
      <c r="Y413" s="228"/>
      <c r="Z413" s="233" t="s">
        <v>120</v>
      </c>
      <c r="AA413" s="234"/>
      <c r="AB413" s="234"/>
      <c r="AC413" s="235"/>
      <c r="AD413" s="228"/>
      <c r="AE413" s="232" t="s">
        <v>120</v>
      </c>
      <c r="AF413" s="229"/>
      <c r="AG413" s="236"/>
      <c r="AH413" s="236"/>
      <c r="AI413" s="228" t="s">
        <v>183</v>
      </c>
      <c r="AJ413" s="232" t="s">
        <v>120</v>
      </c>
      <c r="AK413" s="228"/>
      <c r="AL413" s="228"/>
      <c r="AM413" s="232"/>
      <c r="AN413" s="228"/>
      <c r="AO413" s="228"/>
      <c r="AP413" s="237"/>
      <c r="AQ413" s="228"/>
      <c r="AR413" s="232"/>
      <c r="AS413" s="228"/>
      <c r="AT413" s="229"/>
      <c r="AU413" s="229">
        <v>43453.378908217601</v>
      </c>
      <c r="AV413" s="229"/>
      <c r="AW413" s="229"/>
      <c r="AX413" s="229"/>
      <c r="AY413" s="229"/>
      <c r="AZ413" s="238">
        <v>43172</v>
      </c>
      <c r="BA413" s="1" t="s">
        <v>7684</v>
      </c>
      <c r="BB413"/>
      <c r="BC413">
        <v>35</v>
      </c>
      <c r="BD413">
        <v>1624</v>
      </c>
      <c r="BE413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3" s="240">
        <f>COUNTIFS(_05preva_view43[Site ID],_05preva_view43[[#This Row],[Site ID]],_05preva_view43[Prevalidation Status],"Under Prevalidation")</f>
        <v>0</v>
      </c>
      <c r="BG413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3" s="242" t="str">
        <f>CONCATENATE(_05preva_view43[[#This Row],[Site ID]]," (",_05preva_view43[[#This Row],[tenant id]],") Application",IF(_05preva_view43[[#This Row],[Colo Rev]]&gt;0," Rev "&amp;_05preva_view43[[#This Row],[Colo Rev]],""),".xlsx")</f>
        <v>AYYN_0269 (YGNINSN052) Application.xlsx</v>
      </c>
      <c r="BI413" s="64" t="e">
        <f t="shared" ca="1" si="7"/>
        <v>#VALUE!</v>
      </c>
      <c r="BJ413" s="104" t="e">
        <f ca="1">LEFT(CELL("filename",A398),_05preva_view43[[#This Row],[Find Process &amp; Database]]-1)</f>
        <v>#VALUE!</v>
      </c>
      <c r="BK413" s="104" t="e">
        <f ca="1">_05preva_view43[Folder Path1]&amp;"Process &amp; Database\Documentation\Colo Applications"</f>
        <v>#VALUE!</v>
      </c>
      <c r="BL413" s="104" t="e">
        <f ca="1">_05preva_view43[Folder Path2]&amp;"\Colo App "&amp;_05preva_view43[[#This Row],[Operator]]&amp;"\"</f>
        <v>#VALUE!</v>
      </c>
      <c r="BM413" s="63" t="e">
        <f ca="1">_05preva_view43[[#This Row],[Folder Path3]]&amp;_05preva_view43[[#This Row],[File Name]]</f>
        <v>#VALUE!</v>
      </c>
      <c r="BN413" s="104"/>
      <c r="CF413" s="5"/>
      <c r="CG413" s="5"/>
      <c r="CH413" s="3"/>
      <c r="CJ413" s="5"/>
      <c r="CN413" s="3"/>
      <c r="CO413" s="3"/>
      <c r="CP413" s="5"/>
      <c r="CR413" s="3"/>
      <c r="DN413" s="5"/>
      <c r="DP413" s="3"/>
      <c r="EB413" s="7"/>
      <c r="EC413" s="7"/>
      <c r="EF413" s="4"/>
      <c r="EG413" s="4"/>
      <c r="EQ413" s="2"/>
      <c r="ER413" s="2"/>
    </row>
    <row r="414" spans="1:148">
      <c r="A414" s="227">
        <v>22</v>
      </c>
      <c r="B414" s="228" t="s">
        <v>184</v>
      </c>
      <c r="C414" s="228" t="s">
        <v>116</v>
      </c>
      <c r="D414" s="228" t="s">
        <v>153</v>
      </c>
      <c r="E414" s="228" t="s">
        <v>185</v>
      </c>
      <c r="F414" s="228" t="s">
        <v>35</v>
      </c>
      <c r="G414" s="228" t="s">
        <v>1287</v>
      </c>
      <c r="H414" s="228" t="s">
        <v>1285</v>
      </c>
      <c r="I414" s="228" t="s">
        <v>118</v>
      </c>
      <c r="J414" s="228"/>
      <c r="K414" s="229">
        <v>43172</v>
      </c>
      <c r="L414" s="230"/>
      <c r="M414" s="230"/>
      <c r="N414" s="228"/>
      <c r="O414" s="228" t="s">
        <v>119</v>
      </c>
      <c r="P414" s="231"/>
      <c r="Q414" s="231"/>
      <c r="R414" s="228" t="s">
        <v>24</v>
      </c>
      <c r="S414" s="228"/>
      <c r="T414" s="232" t="s">
        <v>120</v>
      </c>
      <c r="U414" s="228" t="s">
        <v>121</v>
      </c>
      <c r="V414" s="232" t="s">
        <v>120</v>
      </c>
      <c r="W414" s="228"/>
      <c r="X414" s="232" t="s">
        <v>120</v>
      </c>
      <c r="Y414" s="228"/>
      <c r="Z414" s="233" t="s">
        <v>120</v>
      </c>
      <c r="AA414" s="234"/>
      <c r="AB414" s="234"/>
      <c r="AC414" s="235"/>
      <c r="AD414" s="228"/>
      <c r="AE414" s="232" t="s">
        <v>120</v>
      </c>
      <c r="AF414" s="229"/>
      <c r="AG414" s="236"/>
      <c r="AH414" s="236"/>
      <c r="AI414" s="228" t="s">
        <v>186</v>
      </c>
      <c r="AJ414" s="232" t="s">
        <v>120</v>
      </c>
      <c r="AK414" s="228" t="s">
        <v>123</v>
      </c>
      <c r="AL414" s="228"/>
      <c r="AM414" s="232"/>
      <c r="AN414" s="228"/>
      <c r="AO414" s="228"/>
      <c r="AP414" s="237"/>
      <c r="AQ414" s="228"/>
      <c r="AR414" s="232"/>
      <c r="AS414" s="228"/>
      <c r="AT414" s="229"/>
      <c r="AU414" s="229">
        <v>43453.378908911996</v>
      </c>
      <c r="AV414" s="229"/>
      <c r="AW414" s="229"/>
      <c r="AX414" s="229"/>
      <c r="AY414" s="229"/>
      <c r="AZ414" s="238">
        <v>43172</v>
      </c>
      <c r="BA414" s="1" t="s">
        <v>7684</v>
      </c>
      <c r="BB414"/>
      <c r="BC414">
        <v>35</v>
      </c>
      <c r="BD414">
        <v>1172</v>
      </c>
      <c r="BE414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4" s="240">
        <f>COUNTIFS(_05preva_view43[Site ID],_05preva_view43[[#This Row],[Site ID]],_05preva_view43[Prevalidation Status],"Under Prevalidation")</f>
        <v>0</v>
      </c>
      <c r="BG414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4" s="242" t="str">
        <f>CONCATENATE(_05preva_view43[[#This Row],[Site ID]]," (",_05preva_view43[[#This Row],[tenant id]],") Application",IF(_05preva_view43[[#This Row],[Colo Rev]]&gt;0," Rev "&amp;_05preva_view43[[#This Row],[Colo Rev]],""),".xlsx")</f>
        <v>AYYN_0171 (YGN01927) Application.xlsx</v>
      </c>
      <c r="BI414" s="64" t="e">
        <f t="shared" ca="1" si="7"/>
        <v>#VALUE!</v>
      </c>
      <c r="BJ414" s="104" t="e">
        <f ca="1">LEFT(CELL("filename",A399),_05preva_view43[[#This Row],[Find Process &amp; Database]]-1)</f>
        <v>#VALUE!</v>
      </c>
      <c r="BK414" s="104" t="e">
        <f ca="1">_05preva_view43[Folder Path1]&amp;"Process &amp; Database\Documentation\Colo Applications"</f>
        <v>#VALUE!</v>
      </c>
      <c r="BL414" s="104" t="e">
        <f ca="1">_05preva_view43[Folder Path2]&amp;"\Colo App "&amp;_05preva_view43[[#This Row],[Operator]]&amp;"\"</f>
        <v>#VALUE!</v>
      </c>
      <c r="BM414" s="63" t="e">
        <f ca="1">_05preva_view43[[#This Row],[Folder Path3]]&amp;_05preva_view43[[#This Row],[File Name]]</f>
        <v>#VALUE!</v>
      </c>
      <c r="BN414" s="104"/>
      <c r="CF414" s="5"/>
      <c r="CG414" s="5"/>
      <c r="CH414" s="3"/>
      <c r="CJ414" s="5"/>
      <c r="CN414" s="3"/>
      <c r="CO414" s="3"/>
      <c r="CP414" s="5"/>
      <c r="CR414" s="3"/>
      <c r="DN414" s="5"/>
      <c r="DP414" s="3"/>
      <c r="EB414" s="7"/>
      <c r="EC414" s="7"/>
      <c r="EF414" s="4"/>
      <c r="EG414" s="4"/>
      <c r="EQ414" s="2"/>
      <c r="ER414" s="2"/>
    </row>
    <row r="415" spans="1:148">
      <c r="A415" s="227">
        <v>23</v>
      </c>
      <c r="B415" s="228" t="s">
        <v>187</v>
      </c>
      <c r="C415" s="228" t="s">
        <v>116</v>
      </c>
      <c r="D415" s="228" t="s">
        <v>127</v>
      </c>
      <c r="E415" s="228" t="s">
        <v>188</v>
      </c>
      <c r="F415" s="228" t="s">
        <v>35</v>
      </c>
      <c r="G415" s="228" t="s">
        <v>1287</v>
      </c>
      <c r="H415" s="228" t="s">
        <v>1285</v>
      </c>
      <c r="I415" s="228" t="s">
        <v>118</v>
      </c>
      <c r="J415" s="228"/>
      <c r="K415" s="229">
        <v>43172</v>
      </c>
      <c r="L415" s="230"/>
      <c r="M415" s="230"/>
      <c r="N415" s="228"/>
      <c r="O415" s="228" t="s">
        <v>119</v>
      </c>
      <c r="P415" s="231"/>
      <c r="Q415" s="231"/>
      <c r="R415" s="228" t="s">
        <v>24</v>
      </c>
      <c r="S415" s="228"/>
      <c r="T415" s="232" t="s">
        <v>120</v>
      </c>
      <c r="U415" s="228" t="s">
        <v>121</v>
      </c>
      <c r="V415" s="232" t="s">
        <v>120</v>
      </c>
      <c r="W415" s="228"/>
      <c r="X415" s="232" t="s">
        <v>120</v>
      </c>
      <c r="Y415" s="228"/>
      <c r="Z415" s="233" t="s">
        <v>120</v>
      </c>
      <c r="AA415" s="234"/>
      <c r="AB415" s="234"/>
      <c r="AC415" s="235"/>
      <c r="AD415" s="228"/>
      <c r="AE415" s="232" t="s">
        <v>120</v>
      </c>
      <c r="AF415" s="229"/>
      <c r="AG415" s="236"/>
      <c r="AH415" s="236"/>
      <c r="AI415" s="228" t="s">
        <v>189</v>
      </c>
      <c r="AJ415" s="232" t="s">
        <v>120</v>
      </c>
      <c r="AK415" s="228" t="s">
        <v>123</v>
      </c>
      <c r="AL415" s="228"/>
      <c r="AM415" s="232"/>
      <c r="AN415" s="228"/>
      <c r="AO415" s="228"/>
      <c r="AP415" s="237"/>
      <c r="AQ415" s="228"/>
      <c r="AR415" s="232"/>
      <c r="AS415" s="228"/>
      <c r="AT415" s="229"/>
      <c r="AU415" s="229">
        <v>43453.378910995401</v>
      </c>
      <c r="AV415" s="229"/>
      <c r="AW415" s="229"/>
      <c r="AX415" s="229"/>
      <c r="AY415" s="229"/>
      <c r="AZ415" s="238">
        <v>43172</v>
      </c>
      <c r="BA415" s="1" t="s">
        <v>7684</v>
      </c>
      <c r="BB415"/>
      <c r="BC415">
        <v>45</v>
      </c>
      <c r="BD415">
        <v>1225</v>
      </c>
      <c r="BE415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5" s="240">
        <f>COUNTIFS(_05preva_view43[Site ID],_05preva_view43[[#This Row],[Site ID]],_05preva_view43[Prevalidation Status],"Under Prevalidation")</f>
        <v>0</v>
      </c>
      <c r="BG415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5" s="242" t="str">
        <f>CONCATENATE(_05preva_view43[[#This Row],[Site ID]]," (",_05preva_view43[[#This Row],[tenant id]],") Application",IF(_05preva_view43[[#This Row],[Colo Rev]]&gt;0," Rev "&amp;_05preva_view43[[#This Row],[Colo Rev]],""),".xlsx")</f>
        <v>ANSG_0355 (SGG01165) Application.xlsx</v>
      </c>
      <c r="BI415" s="64" t="e">
        <f t="shared" ca="1" si="7"/>
        <v>#VALUE!</v>
      </c>
      <c r="BJ415" s="104" t="e">
        <f ca="1">LEFT(CELL("filename",A400),_05preva_view43[[#This Row],[Find Process &amp; Database]]-1)</f>
        <v>#VALUE!</v>
      </c>
      <c r="BK415" s="104" t="e">
        <f ca="1">_05preva_view43[Folder Path1]&amp;"Process &amp; Database\Documentation\Colo Applications"</f>
        <v>#VALUE!</v>
      </c>
      <c r="BL415" s="104" t="e">
        <f ca="1">_05preva_view43[Folder Path2]&amp;"\Colo App "&amp;_05preva_view43[[#This Row],[Operator]]&amp;"\"</f>
        <v>#VALUE!</v>
      </c>
      <c r="BM415" s="63" t="e">
        <f ca="1">_05preva_view43[[#This Row],[Folder Path3]]&amp;_05preva_view43[[#This Row],[File Name]]</f>
        <v>#VALUE!</v>
      </c>
      <c r="BN415" s="104"/>
      <c r="CF415" s="5"/>
      <c r="CG415" s="5"/>
      <c r="CH415" s="3"/>
      <c r="CJ415" s="5"/>
      <c r="CN415" s="3"/>
      <c r="CO415" s="3"/>
      <c r="CP415" s="5"/>
      <c r="CR415" s="3"/>
      <c r="DN415" s="5"/>
      <c r="DP415" s="3"/>
      <c r="EB415" s="7"/>
      <c r="EC415" s="7"/>
      <c r="EF415" s="4"/>
      <c r="EG415" s="4"/>
      <c r="EQ415" s="2"/>
      <c r="ER415" s="2"/>
    </row>
    <row r="416" spans="1:148">
      <c r="A416" s="227">
        <v>24</v>
      </c>
      <c r="B416" s="228" t="s">
        <v>190</v>
      </c>
      <c r="C416" s="228" t="s">
        <v>116</v>
      </c>
      <c r="D416" s="228" t="s">
        <v>153</v>
      </c>
      <c r="E416" s="228" t="s">
        <v>191</v>
      </c>
      <c r="F416" s="228" t="s">
        <v>35</v>
      </c>
      <c r="G416" s="228" t="s">
        <v>1287</v>
      </c>
      <c r="H416" s="228" t="s">
        <v>1285</v>
      </c>
      <c r="I416" s="228" t="s">
        <v>118</v>
      </c>
      <c r="J416" s="228"/>
      <c r="K416" s="229">
        <v>43172</v>
      </c>
      <c r="L416" s="230"/>
      <c r="M416" s="230"/>
      <c r="N416" s="228"/>
      <c r="O416" s="228" t="s">
        <v>119</v>
      </c>
      <c r="P416" s="231"/>
      <c r="Q416" s="231"/>
      <c r="R416" s="228" t="s">
        <v>24</v>
      </c>
      <c r="S416" s="228"/>
      <c r="T416" s="232" t="s">
        <v>120</v>
      </c>
      <c r="U416" s="228" t="s">
        <v>121</v>
      </c>
      <c r="V416" s="232" t="s">
        <v>120</v>
      </c>
      <c r="W416" s="228"/>
      <c r="X416" s="232" t="s">
        <v>120</v>
      </c>
      <c r="Y416" s="228"/>
      <c r="Z416" s="233" t="s">
        <v>120</v>
      </c>
      <c r="AA416" s="234"/>
      <c r="AB416" s="234"/>
      <c r="AC416" s="235"/>
      <c r="AD416" s="228"/>
      <c r="AE416" s="232" t="s">
        <v>120</v>
      </c>
      <c r="AF416" s="229"/>
      <c r="AG416" s="236"/>
      <c r="AH416" s="236"/>
      <c r="AI416" s="228" t="s">
        <v>192</v>
      </c>
      <c r="AJ416" s="232" t="s">
        <v>120</v>
      </c>
      <c r="AK416" s="228" t="s">
        <v>123</v>
      </c>
      <c r="AL416" s="228"/>
      <c r="AM416" s="232"/>
      <c r="AN416" s="228"/>
      <c r="AO416" s="228"/>
      <c r="AP416" s="237"/>
      <c r="AQ416" s="228"/>
      <c r="AR416" s="232"/>
      <c r="AS416" s="228"/>
      <c r="AT416" s="229"/>
      <c r="AU416" s="229">
        <v>43453.378911689797</v>
      </c>
      <c r="AV416" s="229"/>
      <c r="AW416" s="229"/>
      <c r="AX416" s="229"/>
      <c r="AY416" s="229"/>
      <c r="AZ416" s="238">
        <v>43172</v>
      </c>
      <c r="BA416" s="1" t="s">
        <v>7684</v>
      </c>
      <c r="BB416">
        <v>195</v>
      </c>
      <c r="BC416">
        <v>35</v>
      </c>
      <c r="BD416">
        <v>25</v>
      </c>
      <c r="BE416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6" s="240">
        <f>COUNTIFS(_05preva_view43[Site ID],_05preva_view43[[#This Row],[Site ID]],_05preva_view43[Prevalidation Status],"Under Prevalidation")</f>
        <v>0</v>
      </c>
      <c r="BG416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6" s="242" t="str">
        <f>CONCATENATE(_05preva_view43[[#This Row],[Site ID]]," (",_05preva_view43[[#This Row],[tenant id]],") Application",IF(_05preva_view43[[#This Row],[Colo Rev]]&gt;0," Rev "&amp;_05preva_view43[[#This Row],[Colo Rev]],""),".xlsx")</f>
        <v>AYYN_0099 (YGN02508) Application.xlsx</v>
      </c>
      <c r="BI416" s="64" t="e">
        <f t="shared" ca="1" si="7"/>
        <v>#VALUE!</v>
      </c>
      <c r="BJ416" s="104" t="e">
        <f ca="1">LEFT(CELL("filename",A401),_05preva_view43[[#This Row],[Find Process &amp; Database]]-1)</f>
        <v>#VALUE!</v>
      </c>
      <c r="BK416" s="104" t="e">
        <f ca="1">_05preva_view43[Folder Path1]&amp;"Process &amp; Database\Documentation\Colo Applications"</f>
        <v>#VALUE!</v>
      </c>
      <c r="BL416" s="104" t="e">
        <f ca="1">_05preva_view43[Folder Path2]&amp;"\Colo App "&amp;_05preva_view43[[#This Row],[Operator]]&amp;"\"</f>
        <v>#VALUE!</v>
      </c>
      <c r="BM416" s="63" t="e">
        <f ca="1">_05preva_view43[[#This Row],[Folder Path3]]&amp;_05preva_view43[[#This Row],[File Name]]</f>
        <v>#VALUE!</v>
      </c>
      <c r="BN416" s="104"/>
      <c r="CF416" s="5"/>
      <c r="CG416" s="5"/>
      <c r="CH416" s="3"/>
      <c r="CJ416" s="5"/>
      <c r="CN416" s="3"/>
      <c r="CO416" s="3"/>
      <c r="CP416" s="5"/>
      <c r="CR416" s="3"/>
      <c r="DN416" s="5"/>
      <c r="DP416" s="3"/>
      <c r="EB416" s="7"/>
      <c r="EC416" s="7"/>
      <c r="EF416" s="4"/>
      <c r="EG416" s="4"/>
      <c r="EQ416" s="2"/>
      <c r="ER416" s="2"/>
    </row>
    <row r="417" spans="1:148">
      <c r="A417" s="227">
        <v>25</v>
      </c>
      <c r="B417" s="228" t="s">
        <v>193</v>
      </c>
      <c r="C417" s="228" t="s">
        <v>116</v>
      </c>
      <c r="D417" s="228" t="s">
        <v>153</v>
      </c>
      <c r="E417" s="228" t="s">
        <v>194</v>
      </c>
      <c r="F417" s="228" t="s">
        <v>35</v>
      </c>
      <c r="G417" s="228" t="s">
        <v>1287</v>
      </c>
      <c r="H417" s="228" t="s">
        <v>1285</v>
      </c>
      <c r="I417" s="228" t="s">
        <v>118</v>
      </c>
      <c r="J417" s="228"/>
      <c r="K417" s="229">
        <v>43172</v>
      </c>
      <c r="L417" s="230"/>
      <c r="M417" s="230"/>
      <c r="N417" s="228"/>
      <c r="O417" s="228" t="s">
        <v>119</v>
      </c>
      <c r="P417" s="231"/>
      <c r="Q417" s="231"/>
      <c r="R417" s="228" t="s">
        <v>24</v>
      </c>
      <c r="S417" s="228"/>
      <c r="T417" s="232" t="s">
        <v>120</v>
      </c>
      <c r="U417" s="228" t="s">
        <v>121</v>
      </c>
      <c r="V417" s="232" t="s">
        <v>120</v>
      </c>
      <c r="W417" s="228"/>
      <c r="X417" s="232" t="s">
        <v>120</v>
      </c>
      <c r="Y417" s="228"/>
      <c r="Z417" s="233" t="s">
        <v>120</v>
      </c>
      <c r="AA417" s="234"/>
      <c r="AB417" s="234"/>
      <c r="AC417" s="235"/>
      <c r="AD417" s="228"/>
      <c r="AE417" s="232" t="s">
        <v>120</v>
      </c>
      <c r="AF417" s="229"/>
      <c r="AG417" s="236"/>
      <c r="AH417" s="236"/>
      <c r="AI417" s="228" t="s">
        <v>195</v>
      </c>
      <c r="AJ417" s="232" t="s">
        <v>120</v>
      </c>
      <c r="AK417" s="228" t="s">
        <v>123</v>
      </c>
      <c r="AL417" s="228"/>
      <c r="AM417" s="232"/>
      <c r="AN417" s="228"/>
      <c r="AO417" s="228"/>
      <c r="AP417" s="237"/>
      <c r="AQ417" s="228"/>
      <c r="AR417" s="232"/>
      <c r="AS417" s="228"/>
      <c r="AT417" s="229"/>
      <c r="AU417" s="229">
        <v>43453.378913773202</v>
      </c>
      <c r="AV417" s="229"/>
      <c r="AW417" s="229"/>
      <c r="AX417" s="229"/>
      <c r="AY417" s="229"/>
      <c r="AZ417" s="238">
        <v>43172</v>
      </c>
      <c r="BA417" s="1" t="s">
        <v>7684</v>
      </c>
      <c r="BB417">
        <v>195</v>
      </c>
      <c r="BC417">
        <v>35</v>
      </c>
      <c r="BD417">
        <v>1310</v>
      </c>
      <c r="BE417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7" s="240">
        <f>COUNTIFS(_05preva_view43[Site ID],_05preva_view43[[#This Row],[Site ID]],_05preva_view43[Prevalidation Status],"Under Prevalidation")</f>
        <v>0</v>
      </c>
      <c r="BG417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7" s="242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Application.xlsx</v>
      </c>
      <c r="BI417" s="64" t="e">
        <f t="shared" ca="1" si="7"/>
        <v>#VALUE!</v>
      </c>
      <c r="BJ417" s="104" t="e">
        <f ca="1">LEFT(CELL("filename",A402),_05preva_view43[[#This Row],[Find Process &amp; Database]]-1)</f>
        <v>#VALUE!</v>
      </c>
      <c r="BK417" s="104" t="e">
        <f ca="1">_05preva_view43[Folder Path1]&amp;"Process &amp; Database\Documentation\Colo Applications"</f>
        <v>#VALUE!</v>
      </c>
      <c r="BL417" s="104" t="e">
        <f ca="1">_05preva_view43[Folder Path2]&amp;"\Colo App "&amp;_05preva_view43[[#This Row],[Operator]]&amp;"\"</f>
        <v>#VALUE!</v>
      </c>
      <c r="BM417" s="63" t="e">
        <f ca="1">_05preva_view43[[#This Row],[Folder Path3]]&amp;_05preva_view43[[#This Row],[File Name]]</f>
        <v>#VALUE!</v>
      </c>
      <c r="BN417" s="104"/>
      <c r="CF417" s="5"/>
      <c r="CG417" s="5"/>
      <c r="CH417" s="3"/>
      <c r="CJ417" s="5"/>
      <c r="CN417" s="3"/>
      <c r="CO417" s="3"/>
      <c r="CP417" s="5"/>
      <c r="CR417" s="3"/>
      <c r="DN417" s="5"/>
      <c r="DP417" s="3"/>
      <c r="EB417" s="7"/>
      <c r="EC417" s="7"/>
      <c r="EF417" s="4"/>
      <c r="EG417" s="4"/>
      <c r="EQ417" s="2"/>
      <c r="ER417" s="2"/>
    </row>
    <row r="418" spans="1:148">
      <c r="A418" s="227">
        <v>26</v>
      </c>
      <c r="B418" s="228" t="s">
        <v>176</v>
      </c>
      <c r="C418" s="228" t="s">
        <v>116</v>
      </c>
      <c r="D418" s="228" t="s">
        <v>153</v>
      </c>
      <c r="E418" s="228" t="s">
        <v>196</v>
      </c>
      <c r="F418" s="228" t="s">
        <v>35</v>
      </c>
      <c r="G418" s="228" t="s">
        <v>1287</v>
      </c>
      <c r="H418" s="228" t="s">
        <v>1285</v>
      </c>
      <c r="I418" s="228" t="s">
        <v>118</v>
      </c>
      <c r="J418" s="228"/>
      <c r="K418" s="229">
        <v>43172</v>
      </c>
      <c r="L418" s="230"/>
      <c r="M418" s="230"/>
      <c r="N418" s="228"/>
      <c r="O418" s="228" t="s">
        <v>119</v>
      </c>
      <c r="P418" s="231"/>
      <c r="Q418" s="231"/>
      <c r="R418" s="228" t="s">
        <v>24</v>
      </c>
      <c r="S418" s="228"/>
      <c r="T418" s="232" t="s">
        <v>120</v>
      </c>
      <c r="U418" s="228" t="s">
        <v>121</v>
      </c>
      <c r="V418" s="232" t="s">
        <v>120</v>
      </c>
      <c r="W418" s="228"/>
      <c r="X418" s="232" t="s">
        <v>120</v>
      </c>
      <c r="Y418" s="228"/>
      <c r="Z418" s="233" t="s">
        <v>120</v>
      </c>
      <c r="AA418" s="234"/>
      <c r="AB418" s="234"/>
      <c r="AC418" s="235"/>
      <c r="AD418" s="228" t="s">
        <v>197</v>
      </c>
      <c r="AE418" s="232" t="s">
        <v>120</v>
      </c>
      <c r="AF418" s="229"/>
      <c r="AG418" s="236"/>
      <c r="AH418" s="236"/>
      <c r="AI418" s="228" t="s">
        <v>179</v>
      </c>
      <c r="AJ418" s="232" t="s">
        <v>120</v>
      </c>
      <c r="AK418" s="228" t="s">
        <v>123</v>
      </c>
      <c r="AL418" s="228"/>
      <c r="AM418" s="232"/>
      <c r="AN418" s="228"/>
      <c r="AO418" s="228"/>
      <c r="AP418" s="237"/>
      <c r="AQ418" s="228"/>
      <c r="AR418" s="232"/>
      <c r="AS418" s="228"/>
      <c r="AT418" s="229"/>
      <c r="AU418" s="229">
        <v>43453.378914351902</v>
      </c>
      <c r="AV418" s="229"/>
      <c r="AW418" s="229"/>
      <c r="AX418" s="229"/>
      <c r="AY418" s="229"/>
      <c r="AZ418" s="238">
        <v>43172</v>
      </c>
      <c r="BA418" s="1" t="s">
        <v>7684</v>
      </c>
      <c r="BB418"/>
      <c r="BC418">
        <v>35</v>
      </c>
      <c r="BD418">
        <v>1737</v>
      </c>
      <c r="BE418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8" s="240">
        <f>COUNTIFS(_05preva_view43[Site ID],_05preva_view43[[#This Row],[Site ID]],_05preva_view43[Prevalidation Status],"Under Prevalidation")</f>
        <v>0</v>
      </c>
      <c r="BG418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8" s="242" t="str">
        <f>CONCATENATE(_05preva_view43[[#This Row],[Site ID]]," (",_05preva_view43[[#This Row],[tenant id]],") Application",IF(_05preva_view43[[#This Row],[Colo Rev]]&gt;0," Rev "&amp;_05preva_view43[[#This Row],[Colo Rev]],""),".xlsx")</f>
        <v>AYYN_0583 (YGN02364) Application.xlsx</v>
      </c>
      <c r="BI418" s="64" t="e">
        <f t="shared" ca="1" si="7"/>
        <v>#VALUE!</v>
      </c>
      <c r="BJ418" s="104" t="e">
        <f ca="1">LEFT(CELL("filename",A403),_05preva_view43[[#This Row],[Find Process &amp; Database]]-1)</f>
        <v>#VALUE!</v>
      </c>
      <c r="BK418" s="104" t="e">
        <f ca="1">_05preva_view43[Folder Path1]&amp;"Process &amp; Database\Documentation\Colo Applications"</f>
        <v>#VALUE!</v>
      </c>
      <c r="BL418" s="104" t="e">
        <f ca="1">_05preva_view43[Folder Path2]&amp;"\Colo App "&amp;_05preva_view43[[#This Row],[Operator]]&amp;"\"</f>
        <v>#VALUE!</v>
      </c>
      <c r="BM418" s="63" t="e">
        <f ca="1">_05preva_view43[[#This Row],[Folder Path3]]&amp;_05preva_view43[[#This Row],[File Name]]</f>
        <v>#VALUE!</v>
      </c>
      <c r="BN418" s="104"/>
      <c r="CF418" s="5"/>
      <c r="CG418" s="5"/>
      <c r="CH418" s="3"/>
      <c r="CJ418" s="5"/>
      <c r="CN418" s="3"/>
      <c r="CO418" s="3"/>
      <c r="CP418" s="5"/>
      <c r="CR418" s="3"/>
      <c r="DN418" s="5"/>
      <c r="DP418" s="3"/>
      <c r="EB418" s="7"/>
      <c r="EC418" s="7"/>
      <c r="EF418" s="4"/>
      <c r="EG418" s="4"/>
      <c r="EQ418" s="2"/>
      <c r="ER418" s="2"/>
    </row>
    <row r="419" spans="1:148">
      <c r="A419" s="227">
        <v>27</v>
      </c>
      <c r="B419" s="228" t="s">
        <v>198</v>
      </c>
      <c r="C419" s="228" t="s">
        <v>116</v>
      </c>
      <c r="D419" s="228" t="s">
        <v>127</v>
      </c>
      <c r="E419" s="228" t="s">
        <v>199</v>
      </c>
      <c r="F419" s="228" t="s">
        <v>40</v>
      </c>
      <c r="G419" s="228" t="s">
        <v>1288</v>
      </c>
      <c r="H419" s="228" t="s">
        <v>1285</v>
      </c>
      <c r="I419" s="228" t="s">
        <v>118</v>
      </c>
      <c r="J419" s="228"/>
      <c r="K419" s="229">
        <v>43172</v>
      </c>
      <c r="L419" s="230"/>
      <c r="M419" s="230"/>
      <c r="N419" s="228"/>
      <c r="O419" s="228" t="s">
        <v>119</v>
      </c>
      <c r="P419" s="231"/>
      <c r="Q419" s="231"/>
      <c r="R419" s="228" t="s">
        <v>24</v>
      </c>
      <c r="S419" s="228"/>
      <c r="T419" s="232" t="s">
        <v>120</v>
      </c>
      <c r="U419" s="228" t="s">
        <v>121</v>
      </c>
      <c r="V419" s="232" t="s">
        <v>120</v>
      </c>
      <c r="W419" s="228"/>
      <c r="X419" s="232" t="s">
        <v>120</v>
      </c>
      <c r="Y419" s="228"/>
      <c r="Z419" s="233" t="s">
        <v>120</v>
      </c>
      <c r="AA419" s="234"/>
      <c r="AB419" s="234"/>
      <c r="AC419" s="235"/>
      <c r="AD419" s="228"/>
      <c r="AE419" s="232" t="s">
        <v>120</v>
      </c>
      <c r="AF419" s="229"/>
      <c r="AG419" s="236"/>
      <c r="AH419" s="236"/>
      <c r="AI419" s="228" t="s">
        <v>201</v>
      </c>
      <c r="AJ419" s="232" t="s">
        <v>120</v>
      </c>
      <c r="AK419" s="228"/>
      <c r="AL419" s="228" t="s">
        <v>200</v>
      </c>
      <c r="AM419" s="232"/>
      <c r="AN419" s="228"/>
      <c r="AO419" s="228"/>
      <c r="AP419" s="237"/>
      <c r="AQ419" s="228"/>
      <c r="AR419" s="232"/>
      <c r="AS419" s="228"/>
      <c r="AT419" s="229"/>
      <c r="AU419" s="229">
        <v>43453.3789159722</v>
      </c>
      <c r="AV419" s="229"/>
      <c r="AW419" s="229"/>
      <c r="AX419" s="229"/>
      <c r="AY419" s="229"/>
      <c r="AZ419" s="238">
        <v>43172</v>
      </c>
      <c r="BA419" s="1" t="s">
        <v>7684</v>
      </c>
      <c r="BB419">
        <v>160</v>
      </c>
      <c r="BC419">
        <v>50</v>
      </c>
      <c r="BD419">
        <v>880</v>
      </c>
      <c r="BE419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19" s="240">
        <f>COUNTIFS(_05preva_view43[Site ID],_05preva_view43[[#This Row],[Site ID]],_05preva_view43[Prevalidation Status],"Under Prevalidation")</f>
        <v>0</v>
      </c>
      <c r="BG419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19" s="242" t="str">
        <f>CONCATENATE(_05preva_view43[[#This Row],[Site ID]]," (",_05preva_view43[[#This Row],[tenant id]],") Application",IF(_05preva_view43[[#This Row],[Colo Rev]]&gt;0," Rev "&amp;_05preva_view43[[#This Row],[Colo Rev]],""),".xlsx")</f>
        <v>ANMD_0224 (MAW2259) Application.xlsx</v>
      </c>
      <c r="BI419" s="64" t="e">
        <f t="shared" ca="1" si="7"/>
        <v>#VALUE!</v>
      </c>
      <c r="BJ419" s="104" t="e">
        <f ca="1">LEFT(CELL("filename",A404),_05preva_view43[[#This Row],[Find Process &amp; Database]]-1)</f>
        <v>#VALUE!</v>
      </c>
      <c r="BK419" s="104" t="e">
        <f ca="1">_05preva_view43[Folder Path1]&amp;"Process &amp; Database\Documentation\Colo Applications"</f>
        <v>#VALUE!</v>
      </c>
      <c r="BL419" s="104" t="e">
        <f ca="1">_05preva_view43[Folder Path2]&amp;"\Colo App "&amp;_05preva_view43[[#This Row],[Operator]]&amp;"\"</f>
        <v>#VALUE!</v>
      </c>
      <c r="BM419" s="63" t="e">
        <f ca="1">_05preva_view43[[#This Row],[Folder Path3]]&amp;_05preva_view43[[#This Row],[File Name]]</f>
        <v>#VALUE!</v>
      </c>
      <c r="BN419" s="104"/>
      <c r="CF419" s="5"/>
      <c r="CG419" s="5"/>
      <c r="CH419" s="3"/>
      <c r="CJ419" s="5"/>
      <c r="CN419" s="3"/>
      <c r="CO419" s="3"/>
      <c r="CP419" s="5"/>
      <c r="CR419" s="3"/>
      <c r="DN419" s="5"/>
      <c r="DP419" s="3"/>
      <c r="EB419" s="7"/>
      <c r="EC419" s="7"/>
      <c r="EF419" s="4"/>
      <c r="EG419" s="4"/>
      <c r="EQ419" s="2"/>
      <c r="ER419" s="2"/>
    </row>
    <row r="420" spans="1:148">
      <c r="A420" s="227">
        <v>28</v>
      </c>
      <c r="B420" s="228" t="s">
        <v>202</v>
      </c>
      <c r="C420" s="228" t="s">
        <v>116</v>
      </c>
      <c r="D420" s="228" t="s">
        <v>153</v>
      </c>
      <c r="E420" s="228" t="s">
        <v>203</v>
      </c>
      <c r="F420" s="228" t="s">
        <v>40</v>
      </c>
      <c r="G420" s="228" t="s">
        <v>1288</v>
      </c>
      <c r="H420" s="228" t="s">
        <v>1285</v>
      </c>
      <c r="I420" s="228" t="s">
        <v>118</v>
      </c>
      <c r="J420" s="228"/>
      <c r="K420" s="229">
        <v>43172</v>
      </c>
      <c r="L420" s="230"/>
      <c r="M420" s="230"/>
      <c r="N420" s="228"/>
      <c r="O420" s="228" t="s">
        <v>119</v>
      </c>
      <c r="P420" s="231"/>
      <c r="Q420" s="231"/>
      <c r="R420" s="228" t="s">
        <v>24</v>
      </c>
      <c r="S420" s="228"/>
      <c r="T420" s="232" t="s">
        <v>120</v>
      </c>
      <c r="U420" s="228" t="s">
        <v>121</v>
      </c>
      <c r="V420" s="232" t="s">
        <v>120</v>
      </c>
      <c r="W420" s="228"/>
      <c r="X420" s="232" t="s">
        <v>120</v>
      </c>
      <c r="Y420" s="228"/>
      <c r="Z420" s="233" t="s">
        <v>120</v>
      </c>
      <c r="AA420" s="234"/>
      <c r="AB420" s="234"/>
      <c r="AC420" s="235"/>
      <c r="AD420" s="228"/>
      <c r="AE420" s="232" t="s">
        <v>120</v>
      </c>
      <c r="AF420" s="229"/>
      <c r="AG420" s="236"/>
      <c r="AH420" s="236"/>
      <c r="AI420" s="228" t="s">
        <v>204</v>
      </c>
      <c r="AJ420" s="232" t="s">
        <v>120</v>
      </c>
      <c r="AK420" s="228" t="s">
        <v>123</v>
      </c>
      <c r="AL420" s="228"/>
      <c r="AM420" s="232"/>
      <c r="AN420" s="228"/>
      <c r="AO420" s="228"/>
      <c r="AP420" s="237"/>
      <c r="AQ420" s="228"/>
      <c r="AR420" s="232"/>
      <c r="AS420" s="228"/>
      <c r="AT420" s="229"/>
      <c r="AU420" s="229">
        <v>43453.378916898102</v>
      </c>
      <c r="AV420" s="229"/>
      <c r="AW420" s="229"/>
      <c r="AX420" s="229"/>
      <c r="AY420" s="229"/>
      <c r="AZ420" s="238">
        <v>43172</v>
      </c>
      <c r="BA420" s="1" t="s">
        <v>7684</v>
      </c>
      <c r="BB420"/>
      <c r="BC420">
        <v>35</v>
      </c>
      <c r="BD420">
        <v>162</v>
      </c>
      <c r="BE420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20" s="240">
        <f>COUNTIFS(_05preva_view43[Site ID],_05preva_view43[[#This Row],[Site ID]],_05preva_view43[Prevalidation Status],"Under Prevalidation")</f>
        <v>0</v>
      </c>
      <c r="BG420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20" s="242" t="str">
        <f>CONCATENATE(_05preva_view43[[#This Row],[Site ID]]," (",_05preva_view43[[#This Row],[tenant id]],") Application",IF(_05preva_view43[[#This Row],[Colo Rev]]&gt;0," Rev "&amp;_05preva_view43[[#This Row],[Colo Rev]],""),".xlsx")</f>
        <v>ASMO_0163 (MOW6065) Application.xlsx</v>
      </c>
      <c r="BI420" s="64" t="e">
        <f t="shared" ca="1" si="7"/>
        <v>#VALUE!</v>
      </c>
      <c r="BJ420" s="104" t="e">
        <f ca="1">LEFT(CELL("filename",A405),_05preva_view43[[#This Row],[Find Process &amp; Database]]-1)</f>
        <v>#VALUE!</v>
      </c>
      <c r="BK420" s="104" t="e">
        <f ca="1">_05preva_view43[Folder Path1]&amp;"Process &amp; Database\Documentation\Colo Applications"</f>
        <v>#VALUE!</v>
      </c>
      <c r="BL420" s="104" t="e">
        <f ca="1">_05preva_view43[Folder Path2]&amp;"\Colo App "&amp;_05preva_view43[[#This Row],[Operator]]&amp;"\"</f>
        <v>#VALUE!</v>
      </c>
      <c r="BM420" s="63" t="e">
        <f ca="1">_05preva_view43[[#This Row],[Folder Path3]]&amp;_05preva_view43[[#This Row],[File Name]]</f>
        <v>#VALUE!</v>
      </c>
      <c r="BN420" s="104"/>
      <c r="CF420" s="5"/>
      <c r="CG420" s="5"/>
      <c r="CH420" s="3"/>
      <c r="CJ420" s="5"/>
      <c r="CN420" s="3"/>
      <c r="CO420" s="3"/>
      <c r="CP420" s="5"/>
      <c r="CR420" s="3"/>
      <c r="DN420" s="5"/>
      <c r="DP420" s="3"/>
      <c r="EB420" s="7"/>
      <c r="EC420" s="7"/>
      <c r="EF420" s="4"/>
      <c r="EG420" s="4"/>
      <c r="EQ420" s="2"/>
      <c r="ER420" s="2"/>
    </row>
    <row r="421" spans="1:148">
      <c r="A421" s="227">
        <v>30</v>
      </c>
      <c r="B421" s="228" t="s">
        <v>209</v>
      </c>
      <c r="C421" s="228" t="s">
        <v>116</v>
      </c>
      <c r="D421" s="228" t="s">
        <v>153</v>
      </c>
      <c r="E421" s="228" t="s">
        <v>210</v>
      </c>
      <c r="F421" s="228" t="s">
        <v>40</v>
      </c>
      <c r="G421" s="228" t="s">
        <v>118</v>
      </c>
      <c r="H421" s="228"/>
      <c r="I421" s="228" t="s">
        <v>118</v>
      </c>
      <c r="J421" s="228"/>
      <c r="K421" s="229">
        <v>43172</v>
      </c>
      <c r="L421" s="230"/>
      <c r="M421" s="230"/>
      <c r="N421" s="228"/>
      <c r="O421" s="228" t="s">
        <v>119</v>
      </c>
      <c r="P421" s="231"/>
      <c r="Q421" s="231"/>
      <c r="R421" s="228" t="s">
        <v>24</v>
      </c>
      <c r="S421" s="228"/>
      <c r="T421" s="232" t="s">
        <v>120</v>
      </c>
      <c r="U421" s="228" t="s">
        <v>121</v>
      </c>
      <c r="V421" s="232" t="s">
        <v>125</v>
      </c>
      <c r="W421" s="228" t="s">
        <v>212</v>
      </c>
      <c r="X421" s="232" t="s">
        <v>120</v>
      </c>
      <c r="Y421" s="228"/>
      <c r="Z421" s="233" t="s">
        <v>125</v>
      </c>
      <c r="AA421" s="234"/>
      <c r="AB421" s="234"/>
      <c r="AC421" s="235"/>
      <c r="AD421" s="228" t="s">
        <v>205</v>
      </c>
      <c r="AE421" s="232" t="s">
        <v>125</v>
      </c>
      <c r="AF421" s="229"/>
      <c r="AG421" s="236"/>
      <c r="AH421" s="236"/>
      <c r="AI421" s="228" t="s">
        <v>211</v>
      </c>
      <c r="AJ421" s="232" t="s">
        <v>120</v>
      </c>
      <c r="AK421" s="228" t="s">
        <v>123</v>
      </c>
      <c r="AL421" s="228"/>
      <c r="AM421" s="232"/>
      <c r="AN421" s="228"/>
      <c r="AO421" s="228"/>
      <c r="AP421" s="237"/>
      <c r="AQ421" s="228"/>
      <c r="AR421" s="232"/>
      <c r="AS421" s="228"/>
      <c r="AT421" s="229"/>
      <c r="AU421" s="229"/>
      <c r="AV421" s="229"/>
      <c r="AW421" s="229"/>
      <c r="AX421" s="229"/>
      <c r="AY421" s="229"/>
      <c r="AZ421" s="238"/>
      <c r="BA421" s="1" t="s">
        <v>7684</v>
      </c>
      <c r="BB421">
        <v>160</v>
      </c>
      <c r="BC421">
        <v>35</v>
      </c>
      <c r="BD421">
        <v>149</v>
      </c>
      <c r="BE421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21" s="240">
        <f>COUNTIFS(_05preva_view43[Site ID],_05preva_view43[[#This Row],[Site ID]],_05preva_view43[Prevalidation Status],"Under Prevalidation")</f>
        <v>0</v>
      </c>
      <c r="BG421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21" s="242" t="str">
        <f>CONCATENATE(_05preva_view43[[#This Row],[Site ID]]," (",_05preva_view43[[#This Row],[tenant id]],") Application",IF(_05preva_view43[[#This Row],[Colo Rev]]&gt;0," Rev "&amp;_05preva_view43[[#This Row],[Colo Rev]],""),".xlsx")</f>
        <v>AYYN_0611 (YAW4436) Application.xlsx</v>
      </c>
      <c r="BI421" s="64" t="e">
        <f t="shared" ca="1" si="7"/>
        <v>#VALUE!</v>
      </c>
      <c r="BJ421" s="104" t="e">
        <f ca="1">LEFT(CELL("filename",A406),_05preva_view43[[#This Row],[Find Process &amp; Database]]-1)</f>
        <v>#VALUE!</v>
      </c>
      <c r="BK421" s="104" t="e">
        <f ca="1">_05preva_view43[Folder Path1]&amp;"Process &amp; Database\Documentation\Colo Applications"</f>
        <v>#VALUE!</v>
      </c>
      <c r="BL421" s="104" t="e">
        <f ca="1">_05preva_view43[Folder Path2]&amp;"\Colo App "&amp;_05preva_view43[[#This Row],[Operator]]&amp;"\"</f>
        <v>#VALUE!</v>
      </c>
      <c r="BM421" s="63" t="e">
        <f ca="1">_05preva_view43[[#This Row],[Folder Path3]]&amp;_05preva_view43[[#This Row],[File Name]]</f>
        <v>#VALUE!</v>
      </c>
      <c r="BN421" s="104"/>
      <c r="CF421" s="5"/>
      <c r="CG421" s="5"/>
      <c r="CH421" s="3"/>
      <c r="CJ421" s="5"/>
      <c r="CN421" s="3"/>
      <c r="CO421" s="3"/>
      <c r="CP421" s="5"/>
      <c r="CR421" s="3"/>
      <c r="DN421" s="5"/>
      <c r="DP421" s="3"/>
      <c r="EB421" s="7"/>
      <c r="EC421" s="7"/>
      <c r="EF421" s="4"/>
      <c r="EG421" s="4"/>
      <c r="EQ421" s="2"/>
      <c r="ER421" s="2"/>
    </row>
    <row r="422" spans="1:148">
      <c r="A422" s="227">
        <v>32</v>
      </c>
      <c r="B422" s="228" t="s">
        <v>214</v>
      </c>
      <c r="C422" s="228" t="s">
        <v>116</v>
      </c>
      <c r="D422" s="228" t="s">
        <v>127</v>
      </c>
      <c r="E422" s="228" t="s">
        <v>215</v>
      </c>
      <c r="F422" s="228" t="s">
        <v>40</v>
      </c>
      <c r="G422" s="228" t="s">
        <v>1288</v>
      </c>
      <c r="H422" s="228" t="s">
        <v>1285</v>
      </c>
      <c r="I422" s="228" t="s">
        <v>118</v>
      </c>
      <c r="J422" s="228"/>
      <c r="K422" s="229">
        <v>43172</v>
      </c>
      <c r="L422" s="230"/>
      <c r="M422" s="230"/>
      <c r="N422" s="228"/>
      <c r="O422" s="228" t="s">
        <v>119</v>
      </c>
      <c r="P422" s="231"/>
      <c r="Q422" s="231"/>
      <c r="R422" s="228" t="s">
        <v>24</v>
      </c>
      <c r="S422" s="228"/>
      <c r="T422" s="232" t="s">
        <v>120</v>
      </c>
      <c r="U422" s="228" t="s">
        <v>121</v>
      </c>
      <c r="V422" s="232" t="s">
        <v>120</v>
      </c>
      <c r="W422" s="228"/>
      <c r="X422" s="232" t="s">
        <v>120</v>
      </c>
      <c r="Y422" s="228"/>
      <c r="Z422" s="233" t="s">
        <v>120</v>
      </c>
      <c r="AA422" s="234"/>
      <c r="AB422" s="234"/>
      <c r="AC422" s="235"/>
      <c r="AD422" s="228" t="s">
        <v>216</v>
      </c>
      <c r="AE422" s="232" t="s">
        <v>120</v>
      </c>
      <c r="AF422" s="229"/>
      <c r="AG422" s="236"/>
      <c r="AH422" s="236"/>
      <c r="AI422" s="228" t="s">
        <v>217</v>
      </c>
      <c r="AJ422" s="232" t="s">
        <v>120</v>
      </c>
      <c r="AK422" s="228" t="s">
        <v>123</v>
      </c>
      <c r="AL422" s="228"/>
      <c r="AM422" s="232"/>
      <c r="AN422" s="228"/>
      <c r="AO422" s="228"/>
      <c r="AP422" s="237"/>
      <c r="AQ422" s="228"/>
      <c r="AR422" s="232"/>
      <c r="AS422" s="228"/>
      <c r="AT422" s="229"/>
      <c r="AU422" s="229">
        <v>43453.378922338001</v>
      </c>
      <c r="AV422" s="229"/>
      <c r="AW422" s="229"/>
      <c r="AX422" s="229"/>
      <c r="AY422" s="229"/>
      <c r="AZ422" s="238">
        <v>43172</v>
      </c>
      <c r="BA422" s="1" t="s">
        <v>7684</v>
      </c>
      <c r="BB422">
        <v>130</v>
      </c>
      <c r="BC422">
        <v>35</v>
      </c>
      <c r="BD422">
        <v>1406</v>
      </c>
      <c r="BE422" s="23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F422" s="240">
        <f>COUNTIFS(_05preva_view43[Site ID],_05preva_view43[[#This Row],[Site ID]],_05preva_view43[Prevalidation Status],"Under Prevalidation")</f>
        <v>0</v>
      </c>
      <c r="BG422" s="241" t="e">
        <f ca="1">HYPERLINK(CheckPath(_05preva_view43[[#This Row],[File Path]],_05preva_view43[[#This Row],[File Path]],_05preva_view43[[#This Row],[Folder Path3]]),CheckPath(_05preva_view43[[#This Row],[File Path]],"Open File","No File"))</f>
        <v>#VALUE!</v>
      </c>
      <c r="BH422" s="242" t="str">
        <f>CONCATENATE(_05preva_view43[[#This Row],[Site ID]]," (",_05preva_view43[[#This Row],[tenant id]],") Application",IF(_05preva_view43[[#This Row],[Colo Rev]]&gt;0," Rev "&amp;_05preva_view43[[#This Row],[Colo Rev]],""),".xlsx")</f>
        <v>ANSG_0380 (SAW0729) Application.xlsx</v>
      </c>
      <c r="BI422" s="64" t="e">
        <f t="shared" ca="1" si="7"/>
        <v>#VALUE!</v>
      </c>
      <c r="BJ422" s="104" t="e">
        <f ca="1">LEFT(CELL("filename",A407),_05preva_view43[[#This Row],[Find Process &amp; Database]]-1)</f>
        <v>#VALUE!</v>
      </c>
      <c r="BK422" s="104" t="e">
        <f ca="1">_05preva_view43[Folder Path1]&amp;"Process &amp; Database\Documentation\Colo Applications"</f>
        <v>#VALUE!</v>
      </c>
      <c r="BL422" s="104" t="e">
        <f ca="1">_05preva_view43[Folder Path2]&amp;"\Colo App "&amp;_05preva_view43[[#This Row],[Operator]]&amp;"\"</f>
        <v>#VALUE!</v>
      </c>
      <c r="BM422" s="63" t="e">
        <f ca="1">_05preva_view43[[#This Row],[Folder Path3]]&amp;_05preva_view43[[#This Row],[File Name]]</f>
        <v>#VALUE!</v>
      </c>
      <c r="BN422" s="104"/>
      <c r="CF422" s="5"/>
      <c r="CG422" s="5"/>
      <c r="CH422" s="3"/>
      <c r="CJ422" s="5"/>
      <c r="CN422" s="3"/>
      <c r="CO422" s="3"/>
      <c r="CP422" s="5"/>
      <c r="CR422" s="3"/>
      <c r="DN422" s="5"/>
      <c r="DP422" s="3"/>
      <c r="EB422" s="7"/>
      <c r="EC422" s="7"/>
      <c r="EF422" s="4"/>
      <c r="EG422" s="4"/>
      <c r="EQ422" s="2"/>
      <c r="ER422" s="2"/>
    </row>
    <row r="423" spans="1:148">
      <c r="CF423" s="5"/>
      <c r="CG423" s="5"/>
      <c r="CH423" s="3"/>
      <c r="CJ423" s="5"/>
      <c r="CN423" s="3"/>
      <c r="CO423" s="3"/>
      <c r="CP423" s="5"/>
      <c r="CR423" s="3"/>
      <c r="DN423" s="5"/>
      <c r="DP423" s="3"/>
      <c r="EB423" s="7"/>
      <c r="EC423" s="7"/>
      <c r="EF423" s="4"/>
      <c r="EG423" s="4"/>
      <c r="EQ423" s="2"/>
      <c r="ER423" s="2"/>
    </row>
    <row r="424" spans="1:148">
      <c r="CF424" s="5"/>
      <c r="CG424" s="5"/>
      <c r="CH424" s="3"/>
      <c r="CJ424" s="5"/>
      <c r="CN424" s="3"/>
      <c r="CO424" s="3"/>
      <c r="CP424" s="5"/>
      <c r="CR424" s="3"/>
      <c r="DN424" s="5"/>
      <c r="DP424" s="3"/>
      <c r="EB424" s="7"/>
      <c r="EC424" s="7"/>
      <c r="EF424" s="4"/>
      <c r="EG424" s="4"/>
      <c r="EQ424" s="2"/>
      <c r="ER424" s="2"/>
    </row>
    <row r="425" spans="1:148">
      <c r="CF425" s="5"/>
      <c r="CG425" s="5"/>
      <c r="CH425" s="3"/>
      <c r="CJ425" s="5"/>
      <c r="CN425" s="3"/>
      <c r="CO425" s="3"/>
      <c r="CP425" s="5"/>
      <c r="CR425" s="3"/>
      <c r="DN425" s="5"/>
      <c r="DP425" s="3"/>
      <c r="EB425" s="7"/>
      <c r="EC425" s="7"/>
      <c r="EF425" s="4"/>
      <c r="EG425" s="4"/>
      <c r="EQ425" s="2"/>
      <c r="ER425" s="2"/>
    </row>
    <row r="426" spans="1:148">
      <c r="CF426" s="5"/>
      <c r="CG426" s="5"/>
      <c r="CH426" s="3"/>
      <c r="CJ426" s="5"/>
      <c r="CN426" s="3"/>
      <c r="CO426" s="3"/>
      <c r="CP426" s="5"/>
      <c r="CR426" s="3"/>
      <c r="DN426" s="5"/>
      <c r="DP426" s="3"/>
      <c r="EB426" s="7"/>
      <c r="EC426" s="7"/>
      <c r="EF426" s="4"/>
      <c r="EG426" s="4"/>
      <c r="EQ426" s="2"/>
      <c r="ER426" s="2"/>
    </row>
    <row r="427" spans="1:148">
      <c r="CF427" s="5"/>
      <c r="CG427" s="5"/>
      <c r="CH427" s="3"/>
      <c r="CJ427" s="5"/>
      <c r="CN427" s="3"/>
      <c r="CO427" s="3"/>
      <c r="CP427" s="5"/>
      <c r="CR427" s="3"/>
      <c r="DN427" s="5"/>
      <c r="DP427" s="3"/>
      <c r="EB427" s="7"/>
      <c r="EC427" s="7"/>
      <c r="EF427" s="4"/>
      <c r="EG427" s="4"/>
      <c r="EQ427" s="2"/>
      <c r="ER427" s="2"/>
    </row>
    <row r="428" spans="1:148">
      <c r="CF428" s="5"/>
      <c r="CG428" s="5"/>
      <c r="CH428" s="3"/>
      <c r="CJ428" s="5"/>
      <c r="CN428" s="3"/>
      <c r="CO428" s="3"/>
      <c r="CP428" s="5"/>
      <c r="CR428" s="3"/>
      <c r="DN428" s="5"/>
      <c r="DP428" s="3"/>
      <c r="EB428" s="7"/>
      <c r="EC428" s="7"/>
      <c r="EF428" s="4"/>
      <c r="EG428" s="4"/>
      <c r="EQ428" s="2"/>
      <c r="ER428" s="2"/>
    </row>
    <row r="429" spans="1:148">
      <c r="CF429" s="5"/>
      <c r="CG429" s="5"/>
      <c r="CH429" s="3"/>
      <c r="CJ429" s="5"/>
      <c r="CN429" s="3"/>
      <c r="CO429" s="3"/>
      <c r="CP429" s="5"/>
      <c r="CR429" s="3"/>
      <c r="DN429" s="5"/>
      <c r="DP429" s="3"/>
      <c r="EB429" s="7"/>
      <c r="EC429" s="7"/>
      <c r="EF429" s="4"/>
      <c r="EG429" s="4"/>
      <c r="EQ429" s="2"/>
      <c r="ER429" s="2"/>
    </row>
    <row r="430" spans="1:148">
      <c r="CF430" s="5"/>
      <c r="CG430" s="5"/>
      <c r="CH430" s="3"/>
      <c r="CJ430" s="5"/>
      <c r="CN430" s="3"/>
      <c r="CO430" s="3"/>
      <c r="CP430" s="5"/>
      <c r="CR430" s="3"/>
      <c r="DN430" s="5"/>
      <c r="DP430" s="3"/>
      <c r="EB430" s="7"/>
      <c r="EC430" s="7"/>
      <c r="EF430" s="4"/>
      <c r="EG430" s="4"/>
      <c r="EQ430" s="2"/>
      <c r="ER430" s="2"/>
    </row>
    <row r="431" spans="1:148">
      <c r="CF431" s="5"/>
      <c r="CG431" s="5"/>
      <c r="CH431" s="3"/>
      <c r="CJ431" s="5"/>
      <c r="CN431" s="3"/>
      <c r="CO431" s="3"/>
      <c r="CP431" s="5"/>
      <c r="CR431" s="3"/>
      <c r="DN431" s="5"/>
      <c r="DP431" s="3"/>
      <c r="EB431" s="7"/>
      <c r="EC431" s="7"/>
      <c r="EF431" s="4"/>
      <c r="EG431" s="4"/>
      <c r="EQ431" s="2"/>
      <c r="ER431" s="2"/>
    </row>
    <row r="432" spans="1:148">
      <c r="CF432" s="5"/>
      <c r="CG432" s="5"/>
      <c r="CH432" s="3"/>
      <c r="CJ432" s="5"/>
      <c r="CN432" s="3"/>
      <c r="CO432" s="3"/>
      <c r="CP432" s="5"/>
      <c r="CR432" s="3"/>
      <c r="DN432" s="5"/>
      <c r="DP432" s="3"/>
      <c r="EB432" s="7"/>
      <c r="EC432" s="7"/>
      <c r="EF432" s="4"/>
      <c r="EG432" s="4"/>
      <c r="EQ432" s="2"/>
      <c r="ER432" s="2"/>
    </row>
    <row r="433" spans="84:148">
      <c r="CF433" s="5"/>
      <c r="CG433" s="5"/>
      <c r="CH433" s="3"/>
      <c r="CJ433" s="5"/>
      <c r="CN433" s="3"/>
      <c r="CO433" s="3"/>
      <c r="CP433" s="5"/>
      <c r="CR433" s="3"/>
      <c r="DN433" s="5"/>
      <c r="DP433" s="3"/>
      <c r="EB433" s="7"/>
      <c r="EC433" s="7"/>
      <c r="EF433" s="4"/>
      <c r="EG433" s="4"/>
      <c r="EQ433" s="2"/>
      <c r="ER433" s="2"/>
    </row>
    <row r="434" spans="84:148">
      <c r="CF434" s="5"/>
      <c r="CG434" s="5"/>
      <c r="CH434" s="3"/>
      <c r="CJ434" s="5"/>
      <c r="CN434" s="3"/>
      <c r="CO434" s="3"/>
      <c r="CP434" s="5"/>
      <c r="CR434" s="3"/>
      <c r="DN434" s="5"/>
      <c r="DP434" s="3"/>
      <c r="EB434" s="7"/>
      <c r="EC434" s="7"/>
      <c r="EF434" s="4"/>
      <c r="EG434" s="4"/>
      <c r="EQ434" s="2"/>
      <c r="ER434" s="2"/>
    </row>
    <row r="435" spans="84:148">
      <c r="CF435" s="5"/>
      <c r="CG435" s="5"/>
      <c r="CH435" s="3"/>
      <c r="CJ435" s="5"/>
      <c r="CN435" s="3"/>
      <c r="CO435" s="3"/>
      <c r="CP435" s="5"/>
      <c r="CR435" s="3"/>
      <c r="DN435" s="5"/>
      <c r="DP435" s="3"/>
      <c r="EB435" s="7"/>
      <c r="EC435" s="7"/>
      <c r="EF435" s="4"/>
      <c r="EG435" s="4"/>
      <c r="EQ435" s="2"/>
      <c r="ER435" s="2"/>
    </row>
    <row r="436" spans="84:148">
      <c r="CF436" s="5"/>
      <c r="CG436" s="5"/>
      <c r="CH436" s="3"/>
      <c r="CJ436" s="5"/>
      <c r="CN436" s="3"/>
      <c r="CO436" s="3"/>
      <c r="CP436" s="5"/>
      <c r="CR436" s="3"/>
      <c r="DN436" s="5"/>
      <c r="DP436" s="3"/>
      <c r="EB436" s="7"/>
      <c r="EC436" s="7"/>
      <c r="EF436" s="4"/>
      <c r="EG436" s="4"/>
      <c r="EQ436" s="2"/>
      <c r="ER436" s="2"/>
    </row>
    <row r="437" spans="84:148">
      <c r="CF437" s="5"/>
      <c r="CG437" s="5"/>
      <c r="CH437" s="3"/>
      <c r="CJ437" s="5"/>
      <c r="CN437" s="3"/>
      <c r="CO437" s="3"/>
      <c r="CP437" s="5"/>
      <c r="CR437" s="3"/>
      <c r="DN437" s="5"/>
      <c r="DP437" s="3"/>
      <c r="EB437" s="7"/>
      <c r="EC437" s="7"/>
      <c r="EF437" s="4"/>
      <c r="EG437" s="4"/>
      <c r="EQ437" s="2"/>
      <c r="ER437" s="2"/>
    </row>
    <row r="438" spans="84:148">
      <c r="CF438" s="5"/>
      <c r="CG438" s="5"/>
      <c r="CH438" s="3"/>
      <c r="CJ438" s="5"/>
      <c r="CN438" s="3"/>
      <c r="CO438" s="3"/>
      <c r="CP438" s="5"/>
      <c r="CR438" s="3"/>
      <c r="DN438" s="5"/>
      <c r="DP438" s="3"/>
      <c r="EB438" s="7"/>
      <c r="EC438" s="7"/>
      <c r="EF438" s="4"/>
      <c r="EG438" s="4"/>
      <c r="EQ438" s="2"/>
      <c r="ER438" s="2"/>
    </row>
    <row r="439" spans="84:148">
      <c r="CF439" s="5"/>
      <c r="CG439" s="5"/>
      <c r="CH439" s="3"/>
      <c r="CJ439" s="5"/>
      <c r="CN439" s="3"/>
      <c r="CO439" s="3"/>
      <c r="CP439" s="5"/>
      <c r="CR439" s="3"/>
      <c r="DN439" s="5"/>
      <c r="DP439" s="3"/>
      <c r="EB439" s="7"/>
      <c r="EC439" s="7"/>
      <c r="EF439" s="4"/>
      <c r="EG439" s="4"/>
      <c r="EQ439" s="2"/>
      <c r="ER439" s="2"/>
    </row>
    <row r="440" spans="84:148">
      <c r="CF440" s="5"/>
      <c r="CG440" s="5"/>
      <c r="CH440" s="3"/>
      <c r="CJ440" s="5"/>
      <c r="CN440" s="3"/>
      <c r="CO440" s="3"/>
      <c r="CP440" s="5"/>
      <c r="CR440" s="3"/>
      <c r="DN440" s="5"/>
      <c r="DP440" s="3"/>
      <c r="EB440" s="7"/>
      <c r="EC440" s="7"/>
      <c r="EF440" s="4"/>
      <c r="EG440" s="4"/>
      <c r="EQ440" s="2"/>
      <c r="ER440" s="2"/>
    </row>
    <row r="441" spans="84:148">
      <c r="CF441" s="5"/>
      <c r="CG441" s="5"/>
      <c r="CH441" s="3"/>
      <c r="CJ441" s="5"/>
      <c r="CN441" s="3"/>
      <c r="CO441" s="3"/>
      <c r="CP441" s="5"/>
      <c r="CR441" s="3"/>
      <c r="DN441" s="5"/>
      <c r="DP441" s="3"/>
      <c r="EB441" s="7"/>
      <c r="EC441" s="7"/>
      <c r="EF441" s="4"/>
      <c r="EG441" s="4"/>
      <c r="EQ441" s="2"/>
      <c r="ER441" s="2"/>
    </row>
    <row r="442" spans="84:148">
      <c r="CF442" s="5"/>
      <c r="CG442" s="5"/>
      <c r="CH442" s="3"/>
      <c r="CJ442" s="5"/>
      <c r="CN442" s="3"/>
      <c r="CO442" s="3"/>
      <c r="CP442" s="5"/>
      <c r="CR442" s="3"/>
      <c r="DN442" s="5"/>
      <c r="DP442" s="3"/>
      <c r="EB442" s="7"/>
      <c r="EC442" s="7"/>
      <c r="EF442" s="4"/>
      <c r="EG442" s="4"/>
      <c r="EQ442" s="2"/>
      <c r="ER442" s="2"/>
    </row>
    <row r="443" spans="84:148">
      <c r="CF443" s="5"/>
      <c r="CG443" s="5"/>
      <c r="CH443" s="3"/>
      <c r="CJ443" s="5"/>
      <c r="CN443" s="3"/>
      <c r="CO443" s="3"/>
      <c r="CP443" s="5"/>
      <c r="CR443" s="3"/>
      <c r="DN443" s="5"/>
      <c r="DP443" s="3"/>
      <c r="EB443" s="7"/>
      <c r="EC443" s="7"/>
      <c r="EF443" s="4"/>
      <c r="EG443" s="4"/>
      <c r="EQ443" s="2"/>
      <c r="ER443" s="2"/>
    </row>
    <row r="444" spans="84:148">
      <c r="CF444" s="5"/>
      <c r="CG444" s="5"/>
      <c r="CH444" s="3"/>
      <c r="CJ444" s="5"/>
      <c r="CN444" s="3"/>
      <c r="CO444" s="3"/>
      <c r="CP444" s="5"/>
      <c r="CR444" s="3"/>
      <c r="DN444" s="5"/>
      <c r="DP444" s="3"/>
      <c r="EB444" s="7"/>
      <c r="EC444" s="7"/>
      <c r="EF444" s="4"/>
      <c r="EG444" s="4"/>
      <c r="EQ444" s="2"/>
      <c r="ER444" s="2"/>
    </row>
    <row r="445" spans="84:148">
      <c r="CF445" s="5"/>
      <c r="CG445" s="5"/>
      <c r="CH445" s="3"/>
      <c r="CJ445" s="5"/>
      <c r="CN445" s="3"/>
      <c r="CO445" s="3"/>
      <c r="CP445" s="5"/>
      <c r="CR445" s="3"/>
      <c r="DN445" s="5"/>
      <c r="DP445" s="3"/>
      <c r="EB445" s="7"/>
      <c r="EC445" s="7"/>
      <c r="EF445" s="4"/>
      <c r="EG445" s="4"/>
      <c r="EQ445" s="2"/>
      <c r="ER445" s="2"/>
    </row>
    <row r="446" spans="84:148">
      <c r="CF446" s="5"/>
      <c r="CG446" s="5"/>
      <c r="CH446" s="3"/>
      <c r="CJ446" s="5"/>
      <c r="CN446" s="3"/>
      <c r="CO446" s="3"/>
      <c r="CP446" s="5"/>
      <c r="CR446" s="3"/>
      <c r="DN446" s="5"/>
      <c r="DP446" s="3"/>
      <c r="EB446" s="7"/>
      <c r="EC446" s="7"/>
      <c r="EF446" s="4"/>
      <c r="EG446" s="4"/>
      <c r="EQ446" s="2"/>
      <c r="ER446" s="2"/>
    </row>
    <row r="447" spans="84:148">
      <c r="CF447" s="5"/>
      <c r="CG447" s="5"/>
      <c r="CH447" s="3"/>
      <c r="CJ447" s="5"/>
      <c r="CN447" s="3"/>
      <c r="CO447" s="3"/>
      <c r="CP447" s="5"/>
      <c r="CR447" s="3"/>
      <c r="DN447" s="5"/>
      <c r="DP447" s="3"/>
      <c r="EB447" s="7"/>
      <c r="EC447" s="7"/>
      <c r="EF447" s="4"/>
      <c r="EG447" s="4"/>
      <c r="EQ447" s="2"/>
      <c r="ER447" s="2"/>
    </row>
    <row r="448" spans="84:148">
      <c r="CF448" s="5"/>
      <c r="CG448" s="5"/>
      <c r="CH448" s="3"/>
      <c r="CJ448" s="5"/>
      <c r="CN448" s="3"/>
      <c r="CO448" s="3"/>
      <c r="CP448" s="5"/>
      <c r="CR448" s="3"/>
      <c r="DN448" s="5"/>
      <c r="DP448" s="3"/>
      <c r="EB448" s="7"/>
      <c r="EC448" s="7"/>
      <c r="EF448" s="4"/>
      <c r="EG448" s="4"/>
      <c r="EQ448" s="2"/>
      <c r="ER448" s="2"/>
    </row>
    <row r="449" spans="84:148">
      <c r="CF449" s="5"/>
      <c r="CG449" s="5"/>
      <c r="CH449" s="3"/>
      <c r="CJ449" s="5"/>
      <c r="CN449" s="3"/>
      <c r="CO449" s="3"/>
      <c r="CP449" s="5"/>
      <c r="CR449" s="3"/>
      <c r="DN449" s="5"/>
      <c r="DP449" s="3"/>
      <c r="EB449" s="7"/>
      <c r="EC449" s="7"/>
      <c r="EF449" s="4"/>
      <c r="EG449" s="4"/>
      <c r="EQ449" s="2"/>
      <c r="ER449" s="2"/>
    </row>
    <row r="450" spans="84:148">
      <c r="CF450" s="5"/>
      <c r="CG450" s="5"/>
      <c r="CH450" s="3"/>
      <c r="CJ450" s="5"/>
      <c r="CN450" s="3"/>
      <c r="CO450" s="3"/>
      <c r="CP450" s="5"/>
      <c r="CR450" s="3"/>
      <c r="DN450" s="5"/>
      <c r="DP450" s="3"/>
      <c r="EB450" s="7"/>
      <c r="EC450" s="7"/>
      <c r="EF450" s="4"/>
      <c r="EG450" s="4"/>
      <c r="EQ450" s="2"/>
      <c r="ER450" s="2"/>
    </row>
    <row r="451" spans="84:148">
      <c r="CF451" s="5"/>
      <c r="CG451" s="5"/>
      <c r="CH451" s="3"/>
      <c r="CJ451" s="5"/>
      <c r="CN451" s="3"/>
      <c r="CO451" s="3"/>
      <c r="CP451" s="5"/>
      <c r="CR451" s="3"/>
      <c r="DN451" s="5"/>
      <c r="DP451" s="3"/>
      <c r="EB451" s="7"/>
      <c r="EC451" s="7"/>
      <c r="EF451" s="4"/>
      <c r="EG451" s="4"/>
      <c r="EQ451" s="2"/>
      <c r="ER451" s="2"/>
    </row>
    <row r="452" spans="84:148">
      <c r="CF452" s="5"/>
      <c r="CG452" s="5"/>
      <c r="CH452" s="3"/>
      <c r="CJ452" s="5"/>
      <c r="CN452" s="3"/>
      <c r="CO452" s="3"/>
      <c r="CP452" s="5"/>
      <c r="CR452" s="3"/>
      <c r="DN452" s="5"/>
      <c r="DP452" s="3"/>
      <c r="EB452" s="7"/>
      <c r="EC452" s="7"/>
      <c r="EF452" s="4"/>
      <c r="EG452" s="4"/>
      <c r="EQ452" s="2"/>
      <c r="ER452" s="2"/>
    </row>
    <row r="453" spans="84:148">
      <c r="CF453" s="5"/>
      <c r="CG453" s="5"/>
      <c r="CH453" s="3"/>
      <c r="CJ453" s="5"/>
      <c r="CN453" s="3"/>
      <c r="CO453" s="3"/>
      <c r="CP453" s="5"/>
      <c r="CR453" s="3"/>
      <c r="DN453" s="5"/>
      <c r="DP453" s="3"/>
      <c r="EB453" s="7"/>
      <c r="EC453" s="7"/>
      <c r="EF453" s="4"/>
      <c r="EG453" s="4"/>
      <c r="EQ453" s="2"/>
      <c r="ER453" s="2"/>
    </row>
    <row r="454" spans="84:148">
      <c r="CF454" s="5"/>
      <c r="CG454" s="5"/>
      <c r="CH454" s="3"/>
      <c r="CJ454" s="5"/>
      <c r="CN454" s="3"/>
      <c r="CO454" s="3"/>
      <c r="CP454" s="5"/>
      <c r="CR454" s="3"/>
      <c r="DN454" s="5"/>
      <c r="DP454" s="3"/>
      <c r="EB454" s="7"/>
      <c r="EC454" s="7"/>
      <c r="EF454" s="4"/>
      <c r="EG454" s="4"/>
      <c r="EQ454" s="2"/>
      <c r="ER454" s="2"/>
    </row>
    <row r="455" spans="84:148">
      <c r="CF455" s="5"/>
      <c r="CG455" s="5"/>
      <c r="CH455" s="3"/>
      <c r="CJ455" s="5"/>
      <c r="CN455" s="3"/>
      <c r="CO455" s="3"/>
      <c r="CP455" s="5"/>
      <c r="CR455" s="3"/>
      <c r="DN455" s="5"/>
      <c r="DP455" s="3"/>
      <c r="EB455" s="7"/>
      <c r="EC455" s="7"/>
      <c r="EF455" s="4"/>
      <c r="EG455" s="4"/>
      <c r="EQ455" s="2"/>
      <c r="ER455" s="2"/>
    </row>
    <row r="456" spans="84:148">
      <c r="CF456" s="5"/>
      <c r="CG456" s="5"/>
      <c r="CH456" s="3"/>
      <c r="CJ456" s="5"/>
      <c r="CN456" s="3"/>
      <c r="CO456" s="3"/>
      <c r="CP456" s="5"/>
      <c r="CR456" s="3"/>
      <c r="DN456" s="5"/>
      <c r="DP456" s="3"/>
      <c r="EB456" s="7"/>
      <c r="EC456" s="7"/>
      <c r="EF456" s="4"/>
      <c r="EG456" s="4"/>
      <c r="EQ456" s="2"/>
      <c r="ER456" s="2"/>
    </row>
    <row r="457" spans="84:148">
      <c r="CF457" s="5"/>
      <c r="CG457" s="5"/>
      <c r="CH457" s="3"/>
      <c r="CJ457" s="5"/>
      <c r="CN457" s="3"/>
      <c r="CO457" s="3"/>
      <c r="CP457" s="5"/>
      <c r="CR457" s="3"/>
      <c r="DN457" s="5"/>
      <c r="DP457" s="3"/>
      <c r="EB457" s="7"/>
      <c r="EC457" s="7"/>
      <c r="EF457" s="4"/>
      <c r="EG457" s="4"/>
      <c r="EQ457" s="2"/>
      <c r="ER457" s="2"/>
    </row>
    <row r="458" spans="84:148">
      <c r="CF458" s="5"/>
      <c r="CG458" s="5"/>
      <c r="CH458" s="3"/>
      <c r="CJ458" s="5"/>
      <c r="CN458" s="3"/>
      <c r="CO458" s="3"/>
      <c r="CP458" s="5"/>
      <c r="CR458" s="3"/>
      <c r="DN458" s="5"/>
      <c r="DP458" s="3"/>
      <c r="EB458" s="7"/>
      <c r="EC458" s="7"/>
      <c r="EF458" s="4"/>
      <c r="EG458" s="4"/>
      <c r="EQ458" s="2"/>
      <c r="ER458" s="2"/>
    </row>
    <row r="459" spans="84:148">
      <c r="CF459" s="5"/>
      <c r="CG459" s="5"/>
      <c r="CH459" s="3"/>
      <c r="CJ459" s="5"/>
      <c r="CN459" s="3"/>
      <c r="CO459" s="3"/>
      <c r="CP459" s="5"/>
      <c r="CR459" s="3"/>
      <c r="DN459" s="5"/>
      <c r="DP459" s="3"/>
      <c r="EB459" s="7"/>
      <c r="EC459" s="7"/>
      <c r="EF459" s="4"/>
      <c r="EG459" s="4"/>
      <c r="EQ459" s="2"/>
      <c r="ER459" s="2"/>
    </row>
    <row r="460" spans="84:148">
      <c r="CF460" s="5"/>
      <c r="CG460" s="5"/>
      <c r="CH460" s="3"/>
      <c r="CJ460" s="5"/>
      <c r="CN460" s="3"/>
      <c r="CO460" s="3"/>
      <c r="CP460" s="5"/>
      <c r="CR460" s="3"/>
      <c r="DN460" s="5"/>
      <c r="DP460" s="3"/>
      <c r="EB460" s="7"/>
      <c r="EC460" s="7"/>
      <c r="EF460" s="4"/>
      <c r="EG460" s="4"/>
      <c r="EQ460" s="2"/>
      <c r="ER460" s="2"/>
    </row>
    <row r="461" spans="84:148">
      <c r="CF461" s="5"/>
      <c r="CG461" s="5"/>
      <c r="CH461" s="3"/>
      <c r="CJ461" s="5"/>
      <c r="CN461" s="3"/>
      <c r="CO461" s="3"/>
      <c r="CP461" s="5"/>
      <c r="CR461" s="3"/>
      <c r="DN461" s="5"/>
      <c r="DP461" s="3"/>
      <c r="EB461" s="7"/>
      <c r="EC461" s="7"/>
      <c r="EF461" s="4"/>
      <c r="EG461" s="4"/>
      <c r="EQ461" s="2"/>
      <c r="ER461" s="2"/>
    </row>
    <row r="462" spans="84:148">
      <c r="CF462" s="5"/>
      <c r="CG462" s="5"/>
      <c r="CH462" s="3"/>
      <c r="CJ462" s="5"/>
      <c r="CN462" s="3"/>
      <c r="CO462" s="3"/>
      <c r="CP462" s="5"/>
      <c r="CR462" s="3"/>
      <c r="DN462" s="5"/>
      <c r="DP462" s="3"/>
      <c r="EB462" s="7"/>
      <c r="EC462" s="7"/>
      <c r="EF462" s="4"/>
      <c r="EG462" s="4"/>
      <c r="EQ462" s="2"/>
      <c r="ER462" s="2"/>
    </row>
    <row r="463" spans="84:148">
      <c r="CF463" s="5"/>
      <c r="CG463" s="5"/>
      <c r="CH463" s="3"/>
      <c r="CJ463" s="5"/>
      <c r="CN463" s="3"/>
      <c r="CO463" s="3"/>
      <c r="CP463" s="5"/>
      <c r="CR463" s="3"/>
      <c r="DN463" s="5"/>
      <c r="DP463" s="3"/>
      <c r="EB463" s="7"/>
      <c r="EC463" s="7"/>
      <c r="EF463" s="4"/>
      <c r="EG463" s="4"/>
      <c r="EQ463" s="2"/>
      <c r="ER463" s="2"/>
    </row>
    <row r="464" spans="84:148">
      <c r="CF464" s="5"/>
      <c r="CG464" s="5"/>
      <c r="CH464" s="3"/>
      <c r="CJ464" s="5"/>
      <c r="CN464" s="3"/>
      <c r="CO464" s="3"/>
      <c r="CP464" s="5"/>
      <c r="CR464" s="3"/>
      <c r="DN464" s="5"/>
      <c r="DP464" s="3"/>
      <c r="EB464" s="7"/>
      <c r="EC464" s="7"/>
      <c r="EF464" s="4"/>
      <c r="EG464" s="4"/>
      <c r="EQ464" s="2"/>
      <c r="ER464" s="2"/>
    </row>
    <row r="465" spans="84:148">
      <c r="CF465" s="5"/>
      <c r="CG465" s="5"/>
      <c r="CH465" s="3"/>
      <c r="CJ465" s="5"/>
      <c r="CN465" s="3"/>
      <c r="CO465" s="3"/>
      <c r="CP465" s="5"/>
      <c r="CR465" s="3"/>
      <c r="DN465" s="5"/>
      <c r="DP465" s="3"/>
      <c r="EB465" s="7"/>
      <c r="EC465" s="7"/>
      <c r="EF465" s="4"/>
      <c r="EG465" s="4"/>
      <c r="EQ465" s="2"/>
      <c r="ER465" s="2"/>
    </row>
    <row r="466" spans="84:148">
      <c r="CF466" s="5"/>
      <c r="CG466" s="5"/>
      <c r="CH466" s="3"/>
      <c r="CJ466" s="5"/>
      <c r="CN466" s="3"/>
      <c r="CO466" s="3"/>
      <c r="CP466" s="5"/>
      <c r="CR466" s="3"/>
      <c r="DN466" s="5"/>
      <c r="DP466" s="3"/>
      <c r="EB466" s="7"/>
      <c r="EC466" s="7"/>
      <c r="EF466" s="4"/>
      <c r="EG466" s="4"/>
      <c r="EQ466" s="2"/>
      <c r="ER466" s="2"/>
    </row>
    <row r="467" spans="84:148">
      <c r="CF467" s="5"/>
      <c r="CG467" s="5"/>
      <c r="CH467" s="3"/>
      <c r="CJ467" s="5"/>
      <c r="CN467" s="3"/>
      <c r="CO467" s="3"/>
      <c r="CP467" s="5"/>
      <c r="CR467" s="3"/>
      <c r="DN467" s="5"/>
      <c r="DP467" s="3"/>
      <c r="EB467" s="7"/>
      <c r="EC467" s="7"/>
      <c r="EF467" s="4"/>
      <c r="EG467" s="4"/>
      <c r="EQ467" s="2"/>
      <c r="ER467" s="2"/>
    </row>
    <row r="468" spans="84:148">
      <c r="CF468" s="5"/>
      <c r="CG468" s="5"/>
      <c r="CH468" s="3"/>
      <c r="CJ468" s="5"/>
      <c r="CN468" s="3"/>
      <c r="CO468" s="3"/>
      <c r="CP468" s="5"/>
      <c r="CR468" s="3"/>
      <c r="DN468" s="5"/>
      <c r="DP468" s="3"/>
      <c r="EB468" s="7"/>
      <c r="EC468" s="7"/>
      <c r="EF468" s="4"/>
      <c r="EG468" s="4"/>
      <c r="EQ468" s="2"/>
      <c r="ER468" s="2"/>
    </row>
    <row r="469" spans="84:148">
      <c r="CF469" s="5"/>
      <c r="CG469" s="5"/>
      <c r="CH469" s="3"/>
      <c r="CJ469" s="5"/>
      <c r="CN469" s="3"/>
      <c r="CO469" s="3"/>
      <c r="CP469" s="5"/>
      <c r="CR469" s="3"/>
      <c r="DN469" s="5"/>
      <c r="DP469" s="3"/>
      <c r="EB469" s="7"/>
      <c r="EC469" s="7"/>
      <c r="EF469" s="4"/>
      <c r="EG469" s="4"/>
      <c r="EQ469" s="2"/>
      <c r="ER469" s="2"/>
    </row>
    <row r="470" spans="84:148">
      <c r="CF470" s="5"/>
      <c r="CG470" s="5"/>
      <c r="CH470" s="3"/>
      <c r="CJ470" s="5"/>
      <c r="CN470" s="3"/>
      <c r="CO470" s="3"/>
      <c r="CP470" s="5"/>
      <c r="CR470" s="3"/>
      <c r="DN470" s="5"/>
      <c r="DP470" s="3"/>
      <c r="EB470" s="7"/>
      <c r="EC470" s="7"/>
      <c r="EF470" s="4"/>
      <c r="EG470" s="4"/>
      <c r="EQ470" s="2"/>
      <c r="ER470" s="2"/>
    </row>
    <row r="471" spans="84:148">
      <c r="CF471" s="5"/>
      <c r="CG471" s="5"/>
      <c r="CH471" s="3"/>
      <c r="CJ471" s="5"/>
      <c r="CN471" s="3"/>
      <c r="CO471" s="3"/>
      <c r="CP471" s="5"/>
      <c r="CR471" s="3"/>
      <c r="DN471" s="5"/>
      <c r="DP471" s="3"/>
      <c r="EB471" s="7"/>
      <c r="EC471" s="7"/>
      <c r="EF471" s="4"/>
      <c r="EG471" s="4"/>
      <c r="EQ471" s="2"/>
      <c r="ER471" s="2"/>
    </row>
    <row r="472" spans="84:148">
      <c r="CF472" s="5"/>
      <c r="CG472" s="5"/>
      <c r="CH472" s="3"/>
      <c r="CJ472" s="5"/>
      <c r="CN472" s="3"/>
      <c r="CO472" s="3"/>
      <c r="CP472" s="5"/>
      <c r="CR472" s="3"/>
      <c r="DN472" s="5"/>
      <c r="DP472" s="3"/>
      <c r="EB472" s="7"/>
      <c r="EC472" s="7"/>
      <c r="EF472" s="4"/>
      <c r="EG472" s="4"/>
      <c r="EQ472" s="2"/>
      <c r="ER472" s="2"/>
    </row>
    <row r="473" spans="84:148">
      <c r="CF473" s="5"/>
      <c r="CG473" s="5"/>
      <c r="CH473" s="3"/>
      <c r="CJ473" s="5"/>
      <c r="CN473" s="3"/>
      <c r="CO473" s="3"/>
      <c r="CP473" s="5"/>
      <c r="CR473" s="3"/>
      <c r="DN473" s="5"/>
      <c r="DP473" s="3"/>
      <c r="EB473" s="7"/>
      <c r="EC473" s="7"/>
      <c r="EF473" s="4"/>
      <c r="EG473" s="4"/>
      <c r="EQ473" s="2"/>
      <c r="ER473" s="2"/>
    </row>
    <row r="474" spans="84:148">
      <c r="CF474" s="5"/>
      <c r="CG474" s="5"/>
      <c r="CH474" s="3"/>
      <c r="CJ474" s="5"/>
      <c r="CN474" s="3"/>
      <c r="CO474" s="3"/>
      <c r="CP474" s="5"/>
      <c r="CR474" s="3"/>
      <c r="DN474" s="5"/>
      <c r="DP474" s="3"/>
      <c r="EB474" s="7"/>
      <c r="EC474" s="7"/>
      <c r="EF474" s="4"/>
      <c r="EG474" s="4"/>
      <c r="EQ474" s="2"/>
      <c r="ER474" s="2"/>
    </row>
    <row r="475" spans="84:148">
      <c r="CF475" s="5"/>
      <c r="CG475" s="5"/>
      <c r="CH475" s="3"/>
      <c r="CJ475" s="5"/>
      <c r="CN475" s="3"/>
      <c r="CO475" s="3"/>
      <c r="CP475" s="5"/>
      <c r="CR475" s="3"/>
      <c r="DN475" s="5"/>
      <c r="DP475" s="3"/>
      <c r="EB475" s="7"/>
      <c r="EC475" s="7"/>
      <c r="EF475" s="4"/>
      <c r="EG475" s="4"/>
      <c r="EQ475" s="2"/>
      <c r="ER475" s="2"/>
    </row>
    <row r="476" spans="84:148">
      <c r="CF476" s="5"/>
      <c r="CG476" s="5"/>
      <c r="CH476" s="3"/>
      <c r="CJ476" s="5"/>
      <c r="CN476" s="3"/>
      <c r="CO476" s="3"/>
      <c r="CP476" s="5"/>
      <c r="CR476" s="3"/>
      <c r="DN476" s="5"/>
      <c r="DP476" s="3"/>
      <c r="EB476" s="7"/>
      <c r="EC476" s="7"/>
      <c r="EF476" s="4"/>
      <c r="EG476" s="4"/>
      <c r="EQ476" s="2"/>
      <c r="ER476" s="2"/>
    </row>
    <row r="477" spans="84:148">
      <c r="CF477" s="5"/>
      <c r="CG477" s="5"/>
      <c r="CH477" s="3"/>
      <c r="CJ477" s="5"/>
      <c r="CN477" s="3"/>
      <c r="CO477" s="3"/>
      <c r="CP477" s="5"/>
      <c r="CR477" s="3"/>
      <c r="DN477" s="5"/>
      <c r="DP477" s="3"/>
      <c r="EB477" s="7"/>
      <c r="EC477" s="7"/>
      <c r="EF477" s="4"/>
      <c r="EG477" s="4"/>
      <c r="EQ477" s="2"/>
      <c r="ER477" s="2"/>
    </row>
    <row r="478" spans="84:148">
      <c r="CF478" s="5"/>
      <c r="CG478" s="5"/>
      <c r="CH478" s="3"/>
      <c r="CJ478" s="5"/>
      <c r="CN478" s="3"/>
      <c r="CO478" s="3"/>
      <c r="CP478" s="5"/>
      <c r="CR478" s="3"/>
      <c r="DN478" s="5"/>
      <c r="DP478" s="3"/>
      <c r="EB478" s="7"/>
      <c r="EC478" s="7"/>
      <c r="EF478" s="4"/>
      <c r="EG478" s="4"/>
      <c r="EQ478" s="2"/>
      <c r="ER478" s="2"/>
    </row>
    <row r="479" spans="84:148">
      <c r="CF479" s="5"/>
      <c r="CG479" s="5"/>
      <c r="CH479" s="3"/>
      <c r="CJ479" s="5"/>
      <c r="CN479" s="3"/>
      <c r="CO479" s="3"/>
      <c r="CP479" s="5"/>
      <c r="CR479" s="3"/>
      <c r="DN479" s="5"/>
      <c r="DP479" s="3"/>
      <c r="EB479" s="7"/>
      <c r="EC479" s="7"/>
      <c r="EF479" s="4"/>
      <c r="EG479" s="4"/>
      <c r="EQ479" s="2"/>
      <c r="ER479" s="2"/>
    </row>
    <row r="480" spans="84:148">
      <c r="CF480" s="5"/>
      <c r="CG480" s="5"/>
      <c r="CH480" s="3"/>
      <c r="CJ480" s="5"/>
      <c r="CN480" s="3"/>
      <c r="CO480" s="3"/>
      <c r="CP480" s="5"/>
      <c r="CR480" s="3"/>
      <c r="DN480" s="5"/>
      <c r="DP480" s="3"/>
      <c r="EB480" s="7"/>
      <c r="EC480" s="7"/>
      <c r="EF480" s="4"/>
      <c r="EG480" s="4"/>
      <c r="EQ480" s="2"/>
      <c r="ER480" s="2"/>
    </row>
    <row r="481" spans="84:148">
      <c r="CF481" s="5"/>
      <c r="CG481" s="5"/>
      <c r="CH481" s="3"/>
      <c r="CJ481" s="5"/>
      <c r="CN481" s="3"/>
      <c r="CO481" s="3"/>
      <c r="CP481" s="5"/>
      <c r="CR481" s="3"/>
      <c r="DN481" s="5"/>
      <c r="DP481" s="3"/>
      <c r="EB481" s="7"/>
      <c r="EC481" s="7"/>
      <c r="EF481" s="4"/>
      <c r="EG481" s="4"/>
      <c r="EQ481" s="2"/>
      <c r="ER481" s="2"/>
    </row>
    <row r="482" spans="84:148">
      <c r="CF482" s="5"/>
      <c r="CG482" s="5"/>
      <c r="CH482" s="3"/>
      <c r="CJ482" s="5"/>
      <c r="CN482" s="3"/>
      <c r="CO482" s="3"/>
      <c r="CP482" s="5"/>
      <c r="CR482" s="3"/>
      <c r="DN482" s="5"/>
      <c r="DP482" s="3"/>
      <c r="EB482" s="7"/>
      <c r="EC482" s="7"/>
      <c r="EF482" s="4"/>
      <c r="EG482" s="4"/>
      <c r="EQ482" s="2"/>
      <c r="ER482" s="2"/>
    </row>
    <row r="483" spans="84:148">
      <c r="CF483" s="5"/>
      <c r="CG483" s="5"/>
      <c r="CH483" s="3"/>
      <c r="CJ483" s="5"/>
      <c r="CN483" s="3"/>
      <c r="CO483" s="3"/>
      <c r="CP483" s="5"/>
      <c r="CR483" s="3"/>
      <c r="DN483" s="5"/>
      <c r="DP483" s="3"/>
      <c r="EB483" s="7"/>
      <c r="EC483" s="7"/>
      <c r="EF483" s="4"/>
      <c r="EG483" s="4"/>
      <c r="EQ483" s="2"/>
      <c r="ER483" s="2"/>
    </row>
    <row r="484" spans="84:148">
      <c r="CF484" s="5"/>
      <c r="CG484" s="5"/>
      <c r="CH484" s="3"/>
      <c r="CJ484" s="5"/>
      <c r="CN484" s="3"/>
      <c r="CO484" s="3"/>
      <c r="CP484" s="5"/>
      <c r="CR484" s="3"/>
      <c r="DN484" s="5"/>
      <c r="DP484" s="3"/>
      <c r="EB484" s="7"/>
      <c r="EC484" s="7"/>
      <c r="EF484" s="4"/>
      <c r="EG484" s="4"/>
      <c r="EQ484" s="2"/>
      <c r="ER484" s="2"/>
    </row>
    <row r="485" spans="84:148">
      <c r="CF485" s="5"/>
      <c r="CG485" s="5"/>
      <c r="CH485" s="3"/>
      <c r="CJ485" s="5"/>
      <c r="CN485" s="3"/>
      <c r="CO485" s="3"/>
      <c r="CP485" s="5"/>
      <c r="CR485" s="3"/>
      <c r="DN485" s="5"/>
      <c r="DP485" s="3"/>
      <c r="EB485" s="7"/>
      <c r="EC485" s="7"/>
      <c r="EF485" s="4"/>
      <c r="EG485" s="4"/>
      <c r="EQ485" s="2"/>
      <c r="ER485" s="2"/>
    </row>
    <row r="486" spans="84:148">
      <c r="CF486" s="5"/>
      <c r="CG486" s="5"/>
      <c r="CH486" s="3"/>
      <c r="CJ486" s="5"/>
      <c r="CN486" s="3"/>
      <c r="CO486" s="3"/>
      <c r="CP486" s="5"/>
      <c r="CR486" s="3"/>
      <c r="DN486" s="5"/>
      <c r="DP486" s="3"/>
      <c r="EB486" s="7"/>
      <c r="EC486" s="7"/>
      <c r="EF486" s="4"/>
      <c r="EG486" s="4"/>
      <c r="EQ486" s="2"/>
      <c r="ER486" s="2"/>
    </row>
    <row r="487" spans="84:148">
      <c r="CF487" s="5"/>
      <c r="CG487" s="5"/>
      <c r="CH487" s="3"/>
      <c r="CJ487" s="5"/>
      <c r="CN487" s="3"/>
      <c r="CO487" s="3"/>
      <c r="CP487" s="5"/>
      <c r="CR487" s="3"/>
      <c r="DN487" s="5"/>
      <c r="DP487" s="3"/>
      <c r="EB487" s="7"/>
      <c r="EC487" s="7"/>
      <c r="EF487" s="4"/>
      <c r="EG487" s="4"/>
      <c r="EQ487" s="2"/>
      <c r="ER487" s="2"/>
    </row>
    <row r="488" spans="84:148">
      <c r="CF488" s="5"/>
      <c r="CG488" s="5"/>
      <c r="CH488" s="3"/>
      <c r="CJ488" s="5"/>
      <c r="CN488" s="3"/>
      <c r="CO488" s="3"/>
      <c r="CP488" s="5"/>
      <c r="CR488" s="3"/>
      <c r="DN488" s="5"/>
      <c r="DP488" s="3"/>
      <c r="EB488" s="7"/>
      <c r="EC488" s="7"/>
      <c r="EF488" s="4"/>
      <c r="EG488" s="4"/>
      <c r="EQ488" s="2"/>
      <c r="ER488" s="2"/>
    </row>
    <row r="489" spans="84:148">
      <c r="CF489" s="5"/>
      <c r="CG489" s="5"/>
      <c r="CH489" s="3"/>
      <c r="CJ489" s="5"/>
      <c r="CN489" s="3"/>
      <c r="CO489" s="3"/>
      <c r="CP489" s="5"/>
      <c r="CR489" s="3"/>
      <c r="DN489" s="5"/>
      <c r="DP489" s="3"/>
      <c r="EB489" s="7"/>
      <c r="EC489" s="7"/>
      <c r="EF489" s="4"/>
      <c r="EG489" s="4"/>
      <c r="EQ489" s="2"/>
      <c r="ER489" s="2"/>
    </row>
    <row r="490" spans="84:148">
      <c r="CF490" s="5"/>
      <c r="CG490" s="5"/>
      <c r="CH490" s="3"/>
      <c r="CJ490" s="5"/>
      <c r="CN490" s="3"/>
      <c r="CO490" s="3"/>
      <c r="CP490" s="5"/>
      <c r="CR490" s="3"/>
      <c r="DN490" s="5"/>
      <c r="DP490" s="3"/>
      <c r="EB490" s="7"/>
      <c r="EC490" s="7"/>
      <c r="EF490" s="4"/>
      <c r="EG490" s="4"/>
      <c r="EQ490" s="2"/>
      <c r="ER490" s="2"/>
    </row>
    <row r="491" spans="84:148">
      <c r="CF491" s="5"/>
      <c r="CG491" s="5"/>
      <c r="CH491" s="3"/>
      <c r="CJ491" s="5"/>
      <c r="CN491" s="3"/>
      <c r="CO491" s="3"/>
      <c r="CP491" s="5"/>
      <c r="CR491" s="3"/>
      <c r="DN491" s="5"/>
      <c r="DP491" s="3"/>
      <c r="EB491" s="7"/>
      <c r="EC491" s="7"/>
      <c r="EF491" s="4"/>
      <c r="EG491" s="4"/>
      <c r="EQ491" s="2"/>
      <c r="ER491" s="2"/>
    </row>
    <row r="492" spans="84:148">
      <c r="CF492" s="5"/>
      <c r="CG492" s="5"/>
      <c r="CH492" s="3"/>
      <c r="CJ492" s="5"/>
      <c r="CN492" s="3"/>
      <c r="CO492" s="3"/>
      <c r="CP492" s="5"/>
      <c r="CR492" s="3"/>
      <c r="DN492" s="5"/>
      <c r="DP492" s="3"/>
      <c r="EB492" s="7"/>
      <c r="EC492" s="7"/>
      <c r="EF492" s="4"/>
      <c r="EG492" s="4"/>
      <c r="EQ492" s="2"/>
      <c r="ER492" s="2"/>
    </row>
    <row r="493" spans="84:148">
      <c r="CF493" s="5"/>
      <c r="CG493" s="5"/>
      <c r="CH493" s="3"/>
      <c r="CJ493" s="5"/>
      <c r="CN493" s="3"/>
      <c r="CO493" s="3"/>
      <c r="CP493" s="5"/>
      <c r="CR493" s="3"/>
      <c r="DN493" s="5"/>
      <c r="DP493" s="3"/>
      <c r="EB493" s="7"/>
      <c r="EC493" s="7"/>
      <c r="EF493" s="4"/>
      <c r="EG493" s="4"/>
      <c r="EQ493" s="2"/>
      <c r="ER493" s="2"/>
    </row>
    <row r="494" spans="84:148">
      <c r="CF494" s="5"/>
      <c r="CG494" s="5"/>
      <c r="CH494" s="3"/>
      <c r="CJ494" s="5"/>
      <c r="CN494" s="3"/>
      <c r="CO494" s="3"/>
      <c r="CP494" s="5"/>
      <c r="CR494" s="3"/>
      <c r="DN494" s="5"/>
      <c r="DP494" s="3"/>
      <c r="EB494" s="7"/>
      <c r="EC494" s="7"/>
      <c r="EF494" s="4"/>
      <c r="EG494" s="4"/>
      <c r="EQ494" s="2"/>
      <c r="ER494" s="2"/>
    </row>
    <row r="495" spans="84:148">
      <c r="CF495" s="5"/>
      <c r="CG495" s="5"/>
      <c r="CH495" s="3"/>
      <c r="CJ495" s="5"/>
      <c r="CN495" s="3"/>
      <c r="CO495" s="3"/>
      <c r="CP495" s="5"/>
      <c r="CR495" s="3"/>
      <c r="DN495" s="5"/>
      <c r="DP495" s="3"/>
      <c r="EB495" s="7"/>
      <c r="EC495" s="7"/>
      <c r="EF495" s="4"/>
      <c r="EG495" s="4"/>
      <c r="EQ495" s="2"/>
      <c r="ER495" s="2"/>
    </row>
    <row r="496" spans="84:148">
      <c r="CF496" s="5"/>
      <c r="CG496" s="5"/>
      <c r="CH496" s="3"/>
      <c r="CJ496" s="5"/>
      <c r="CN496" s="3"/>
      <c r="CO496" s="3"/>
      <c r="CP496" s="5"/>
      <c r="CR496" s="3"/>
      <c r="DN496" s="5"/>
      <c r="DP496" s="3"/>
      <c r="EB496" s="7"/>
      <c r="EC496" s="7"/>
      <c r="EF496" s="4"/>
      <c r="EG496" s="4"/>
      <c r="EQ496" s="2"/>
      <c r="ER496" s="2"/>
    </row>
    <row r="497" spans="84:148">
      <c r="CF497" s="5"/>
      <c r="CG497" s="5"/>
      <c r="CH497" s="3"/>
      <c r="CJ497" s="5"/>
      <c r="CN497" s="3"/>
      <c r="CO497" s="3"/>
      <c r="CP497" s="5"/>
      <c r="CR497" s="3"/>
      <c r="DN497" s="5"/>
      <c r="DP497" s="3"/>
      <c r="EB497" s="7"/>
      <c r="EC497" s="7"/>
      <c r="EF497" s="4"/>
      <c r="EG497" s="4"/>
      <c r="EQ497" s="2"/>
      <c r="ER497" s="2"/>
    </row>
    <row r="498" spans="84:148">
      <c r="CF498" s="5"/>
      <c r="CG498" s="5"/>
      <c r="CH498" s="3"/>
      <c r="CJ498" s="5"/>
      <c r="CN498" s="3"/>
      <c r="CO498" s="3"/>
      <c r="CP498" s="5"/>
      <c r="CR498" s="3"/>
      <c r="DN498" s="5"/>
      <c r="DP498" s="3"/>
      <c r="EB498" s="7"/>
      <c r="EC498" s="7"/>
      <c r="EF498" s="4"/>
      <c r="EG498" s="4"/>
      <c r="EQ498" s="2"/>
      <c r="ER498" s="2"/>
    </row>
    <row r="499" spans="84:148">
      <c r="CF499" s="5"/>
      <c r="CG499" s="5"/>
      <c r="CH499" s="3"/>
      <c r="CJ499" s="5"/>
      <c r="CN499" s="3"/>
      <c r="CO499" s="3"/>
      <c r="CP499" s="5"/>
      <c r="CR499" s="3"/>
      <c r="DN499" s="5"/>
      <c r="DP499" s="3"/>
      <c r="EB499" s="7"/>
      <c r="EC499" s="7"/>
      <c r="EF499" s="4"/>
      <c r="EG499" s="4"/>
      <c r="EQ499" s="2"/>
      <c r="ER499" s="2"/>
    </row>
    <row r="500" spans="84:148">
      <c r="CF500" s="5"/>
      <c r="CG500" s="5"/>
      <c r="CH500" s="3"/>
      <c r="CJ500" s="5"/>
      <c r="CN500" s="3"/>
      <c r="CO500" s="3"/>
      <c r="CP500" s="5"/>
      <c r="CR500" s="3"/>
      <c r="DN500" s="5"/>
      <c r="DP500" s="3"/>
      <c r="EB500" s="7"/>
      <c r="EC500" s="7"/>
      <c r="EF500" s="4"/>
      <c r="EG500" s="4"/>
      <c r="EQ500" s="2"/>
      <c r="ER500" s="2"/>
    </row>
    <row r="501" spans="84:148">
      <c r="CF501" s="5"/>
      <c r="CG501" s="5"/>
      <c r="CH501" s="3"/>
      <c r="CJ501" s="5"/>
      <c r="CN501" s="3"/>
      <c r="CO501" s="3"/>
      <c r="CP501" s="5"/>
      <c r="CR501" s="3"/>
      <c r="DN501" s="5"/>
      <c r="DP501" s="3"/>
      <c r="EB501" s="7"/>
      <c r="EC501" s="7"/>
      <c r="EF501" s="4"/>
      <c r="EG501" s="4"/>
      <c r="EQ501" s="2"/>
      <c r="ER501" s="2"/>
    </row>
    <row r="502" spans="84:148">
      <c r="CF502" s="5"/>
      <c r="CG502" s="5"/>
      <c r="CH502" s="3"/>
      <c r="CJ502" s="5"/>
      <c r="CN502" s="3"/>
      <c r="CO502" s="3"/>
      <c r="CP502" s="5"/>
      <c r="CR502" s="3"/>
      <c r="DN502" s="5"/>
      <c r="DP502" s="3"/>
      <c r="EB502" s="7"/>
      <c r="EC502" s="7"/>
      <c r="EF502" s="4"/>
      <c r="EG502" s="4"/>
      <c r="EQ502" s="2"/>
      <c r="ER502" s="2"/>
    </row>
    <row r="503" spans="84:148">
      <c r="CF503" s="5"/>
      <c r="CG503" s="5"/>
      <c r="CH503" s="3"/>
      <c r="CJ503" s="5"/>
      <c r="CN503" s="3"/>
      <c r="CO503" s="3"/>
      <c r="CP503" s="5"/>
      <c r="CR503" s="3"/>
      <c r="DN503" s="5"/>
      <c r="DP503" s="3"/>
      <c r="EB503" s="7"/>
      <c r="EC503" s="7"/>
      <c r="EF503" s="4"/>
      <c r="EG503" s="4"/>
      <c r="EQ503" s="2"/>
      <c r="ER503" s="2"/>
    </row>
    <row r="504" spans="84:148">
      <c r="CF504" s="5"/>
      <c r="CG504" s="5"/>
      <c r="CH504" s="3"/>
      <c r="CJ504" s="5"/>
      <c r="CN504" s="3"/>
      <c r="CO504" s="3"/>
      <c r="CP504" s="5"/>
      <c r="CR504" s="3"/>
      <c r="DN504" s="5"/>
      <c r="DP504" s="3"/>
      <c r="EB504" s="7"/>
      <c r="EC504" s="7"/>
      <c r="EF504" s="4"/>
      <c r="EG504" s="4"/>
      <c r="EQ504" s="2"/>
      <c r="ER504" s="2"/>
    </row>
    <row r="505" spans="84:148">
      <c r="CF505" s="5"/>
      <c r="CG505" s="5"/>
      <c r="CH505" s="3"/>
      <c r="CJ505" s="5"/>
      <c r="CN505" s="3"/>
      <c r="CO505" s="3"/>
      <c r="CP505" s="5"/>
      <c r="CR505" s="3"/>
      <c r="DN505" s="5"/>
      <c r="DP505" s="3"/>
      <c r="EB505" s="7"/>
      <c r="EC505" s="7"/>
      <c r="EF505" s="4"/>
      <c r="EG505" s="4"/>
      <c r="EQ505" s="2"/>
      <c r="ER505" s="2"/>
    </row>
    <row r="506" spans="84:148">
      <c r="CF506" s="5"/>
      <c r="CG506" s="5"/>
      <c r="CH506" s="3"/>
      <c r="CJ506" s="5"/>
      <c r="CN506" s="3"/>
      <c r="CO506" s="3"/>
      <c r="CP506" s="5"/>
      <c r="CR506" s="3"/>
      <c r="DN506" s="5"/>
      <c r="DP506" s="3"/>
      <c r="EB506" s="7"/>
      <c r="EC506" s="7"/>
      <c r="EF506" s="4"/>
      <c r="EG506" s="4"/>
      <c r="EQ506" s="2"/>
      <c r="ER506" s="2"/>
    </row>
    <row r="507" spans="84:148">
      <c r="CF507" s="5"/>
      <c r="CG507" s="5"/>
      <c r="CH507" s="3"/>
      <c r="CJ507" s="5"/>
      <c r="CN507" s="3"/>
      <c r="CO507" s="3"/>
      <c r="CP507" s="5"/>
      <c r="CR507" s="3"/>
      <c r="DN507" s="5"/>
      <c r="DP507" s="3"/>
      <c r="EB507" s="7"/>
      <c r="EC507" s="7"/>
      <c r="EF507" s="4"/>
      <c r="EG507" s="4"/>
      <c r="EQ507" s="2"/>
      <c r="ER507" s="2"/>
    </row>
    <row r="508" spans="84:148">
      <c r="CF508" s="5"/>
      <c r="CG508" s="5"/>
      <c r="CH508" s="3"/>
      <c r="CJ508" s="5"/>
      <c r="CN508" s="3"/>
      <c r="CO508" s="3"/>
      <c r="CP508" s="5"/>
      <c r="CR508" s="3"/>
      <c r="DN508" s="5"/>
      <c r="DP508" s="3"/>
      <c r="EB508" s="7"/>
      <c r="EC508" s="7"/>
      <c r="EF508" s="4"/>
      <c r="EG508" s="4"/>
      <c r="EQ508" s="2"/>
      <c r="ER508" s="2"/>
    </row>
    <row r="509" spans="84:148">
      <c r="CF509" s="5"/>
      <c r="CG509" s="5"/>
      <c r="CH509" s="3"/>
      <c r="CJ509" s="5"/>
      <c r="CN509" s="3"/>
      <c r="CO509" s="3"/>
      <c r="CP509" s="5"/>
      <c r="CR509" s="3"/>
      <c r="DN509" s="5"/>
      <c r="DP509" s="3"/>
      <c r="EB509" s="7"/>
      <c r="EC509" s="7"/>
      <c r="EF509" s="4"/>
      <c r="EG509" s="4"/>
      <c r="EQ509" s="2"/>
      <c r="ER509" s="2"/>
    </row>
    <row r="510" spans="84:148">
      <c r="CF510" s="5"/>
      <c r="CG510" s="5"/>
      <c r="CH510" s="3"/>
      <c r="CJ510" s="5"/>
      <c r="CN510" s="3"/>
      <c r="CO510" s="3"/>
      <c r="CP510" s="5"/>
      <c r="CR510" s="3"/>
      <c r="DN510" s="5"/>
      <c r="DP510" s="3"/>
      <c r="EB510" s="7"/>
      <c r="EC510" s="7"/>
      <c r="EF510" s="4"/>
      <c r="EG510" s="4"/>
      <c r="EQ510" s="2"/>
      <c r="ER510" s="2"/>
    </row>
    <row r="511" spans="84:148">
      <c r="CF511" s="5"/>
      <c r="CG511" s="5"/>
      <c r="CH511" s="3"/>
      <c r="CJ511" s="5"/>
      <c r="CN511" s="3"/>
      <c r="CO511" s="3"/>
      <c r="CP511" s="5"/>
      <c r="CR511" s="3"/>
      <c r="DN511" s="5"/>
      <c r="DP511" s="3"/>
      <c r="EB511" s="7"/>
      <c r="EC511" s="7"/>
      <c r="EF511" s="4"/>
      <c r="EG511" s="4"/>
      <c r="EQ511" s="2"/>
      <c r="ER511" s="2"/>
    </row>
    <row r="512" spans="84:148">
      <c r="CF512" s="5"/>
      <c r="CG512" s="5"/>
      <c r="CH512" s="3"/>
      <c r="CJ512" s="5"/>
      <c r="CN512" s="3"/>
      <c r="CO512" s="3"/>
      <c r="CP512" s="5"/>
      <c r="CR512" s="3"/>
      <c r="DN512" s="5"/>
      <c r="DP512" s="3"/>
      <c r="EB512" s="7"/>
      <c r="EC512" s="7"/>
      <c r="EF512" s="4"/>
      <c r="EG512" s="4"/>
      <c r="EQ512" s="2"/>
      <c r="ER512" s="2"/>
    </row>
    <row r="513" spans="84:148">
      <c r="CF513" s="5"/>
      <c r="CG513" s="5"/>
      <c r="CH513" s="3"/>
      <c r="CJ513" s="5"/>
      <c r="CN513" s="3"/>
      <c r="CO513" s="3"/>
      <c r="CP513" s="5"/>
      <c r="CR513" s="3"/>
      <c r="DN513" s="5"/>
      <c r="DP513" s="3"/>
      <c r="EB513" s="7"/>
      <c r="EC513" s="7"/>
      <c r="EF513" s="4"/>
      <c r="EG513" s="4"/>
      <c r="EQ513" s="2"/>
      <c r="ER513" s="2"/>
    </row>
    <row r="514" spans="84:148">
      <c r="CF514" s="5"/>
      <c r="CG514" s="5"/>
      <c r="CH514" s="3"/>
      <c r="CJ514" s="5"/>
      <c r="CN514" s="3"/>
      <c r="CO514" s="3"/>
      <c r="CP514" s="5"/>
      <c r="CR514" s="3"/>
      <c r="DN514" s="5"/>
      <c r="DP514" s="3"/>
      <c r="EB514" s="7"/>
      <c r="EC514" s="7"/>
      <c r="EF514" s="4"/>
      <c r="EG514" s="4"/>
      <c r="EQ514" s="2"/>
      <c r="ER514" s="2"/>
    </row>
    <row r="515" spans="84:148">
      <c r="CF515" s="5"/>
      <c r="CG515" s="5"/>
      <c r="CH515" s="3"/>
      <c r="CJ515" s="5"/>
      <c r="CN515" s="3"/>
      <c r="CO515" s="3"/>
      <c r="CP515" s="5"/>
      <c r="CR515" s="3"/>
      <c r="DN515" s="5"/>
      <c r="DP515" s="3"/>
      <c r="EB515" s="7"/>
      <c r="EC515" s="7"/>
      <c r="EF515" s="4"/>
      <c r="EG515" s="4"/>
      <c r="EQ515" s="2"/>
      <c r="ER515" s="2"/>
    </row>
    <row r="516" spans="84:148">
      <c r="CF516" s="5"/>
      <c r="CG516" s="5"/>
      <c r="CH516" s="3"/>
      <c r="CJ516" s="5"/>
      <c r="CN516" s="3"/>
      <c r="CO516" s="3"/>
      <c r="CP516" s="5"/>
      <c r="CR516" s="3"/>
      <c r="DN516" s="5"/>
      <c r="DP516" s="3"/>
      <c r="EB516" s="7"/>
      <c r="EC516" s="7"/>
      <c r="EF516" s="4"/>
      <c r="EG516" s="4"/>
      <c r="EQ516" s="2"/>
      <c r="ER516" s="2"/>
    </row>
    <row r="517" spans="84:148">
      <c r="CF517" s="5"/>
      <c r="CG517" s="5"/>
      <c r="CH517" s="3"/>
      <c r="CJ517" s="5"/>
      <c r="CN517" s="3"/>
      <c r="CO517" s="3"/>
      <c r="CP517" s="5"/>
      <c r="CR517" s="3"/>
      <c r="DN517" s="5"/>
      <c r="DP517" s="3"/>
      <c r="EB517" s="7"/>
      <c r="EC517" s="7"/>
      <c r="EF517" s="4"/>
      <c r="EG517" s="4"/>
      <c r="EQ517" s="2"/>
      <c r="ER517" s="2"/>
    </row>
    <row r="518" spans="84:148">
      <c r="CF518" s="5"/>
      <c r="CG518" s="5"/>
      <c r="CH518" s="3"/>
      <c r="CJ518" s="5"/>
      <c r="CN518" s="3"/>
      <c r="CO518" s="3"/>
      <c r="CP518" s="5"/>
      <c r="CR518" s="3"/>
      <c r="DN518" s="5"/>
      <c r="DP518" s="3"/>
      <c r="EB518" s="7"/>
      <c r="EC518" s="7"/>
      <c r="EF518" s="4"/>
      <c r="EG518" s="4"/>
      <c r="EQ518" s="2"/>
      <c r="ER518" s="2"/>
    </row>
    <row r="519" spans="84:148">
      <c r="CF519" s="5"/>
      <c r="CG519" s="5"/>
      <c r="CH519" s="3"/>
      <c r="CJ519" s="5"/>
      <c r="CN519" s="3"/>
      <c r="CO519" s="3"/>
      <c r="CP519" s="5"/>
      <c r="CR519" s="3"/>
      <c r="DN519" s="5"/>
      <c r="DP519" s="3"/>
      <c r="EB519" s="7"/>
      <c r="EC519" s="7"/>
      <c r="EF519" s="4"/>
      <c r="EG519" s="4"/>
      <c r="EQ519" s="2"/>
      <c r="ER519" s="2"/>
    </row>
    <row r="520" spans="84:148">
      <c r="CF520" s="5"/>
      <c r="CG520" s="5"/>
      <c r="CH520" s="3"/>
      <c r="CJ520" s="5"/>
      <c r="CN520" s="3"/>
      <c r="CO520" s="3"/>
      <c r="CP520" s="5"/>
      <c r="CR520" s="3"/>
      <c r="DN520" s="5"/>
      <c r="DP520" s="3"/>
      <c r="EB520" s="7"/>
      <c r="EC520" s="7"/>
      <c r="EF520" s="4"/>
      <c r="EG520" s="4"/>
      <c r="EQ520" s="2"/>
      <c r="ER520" s="2"/>
    </row>
    <row r="521" spans="84:148">
      <c r="CF521" s="5"/>
      <c r="CG521" s="5"/>
      <c r="CH521" s="3"/>
      <c r="CJ521" s="5"/>
      <c r="CN521" s="3"/>
      <c r="CO521" s="3"/>
      <c r="CP521" s="5"/>
      <c r="CR521" s="3"/>
      <c r="DN521" s="5"/>
      <c r="DP521" s="3"/>
      <c r="EB521" s="7"/>
      <c r="EC521" s="7"/>
      <c r="EF521" s="4"/>
      <c r="EG521" s="4"/>
      <c r="EQ521" s="2"/>
      <c r="ER521" s="2"/>
    </row>
    <row r="522" spans="84:148">
      <c r="CF522" s="5"/>
      <c r="CG522" s="5"/>
      <c r="CH522" s="3"/>
      <c r="CJ522" s="5"/>
      <c r="CN522" s="3"/>
      <c r="CO522" s="3"/>
      <c r="CP522" s="5"/>
      <c r="CR522" s="3"/>
      <c r="DN522" s="5"/>
      <c r="DP522" s="3"/>
      <c r="EB522" s="7"/>
      <c r="EC522" s="7"/>
      <c r="EF522" s="4"/>
      <c r="EG522" s="4"/>
      <c r="EQ522" s="2"/>
      <c r="ER522" s="2"/>
    </row>
    <row r="523" spans="84:148">
      <c r="CF523" s="5"/>
      <c r="CG523" s="5"/>
      <c r="CH523" s="3"/>
      <c r="CJ523" s="5"/>
      <c r="CN523" s="3"/>
      <c r="CO523" s="3"/>
      <c r="CP523" s="5"/>
      <c r="CR523" s="3"/>
      <c r="DN523" s="5"/>
      <c r="DP523" s="3"/>
      <c r="EB523" s="7"/>
      <c r="EC523" s="7"/>
      <c r="EF523" s="4"/>
      <c r="EG523" s="4"/>
      <c r="EQ523" s="2"/>
      <c r="ER523" s="2"/>
    </row>
    <row r="524" spans="84:148">
      <c r="CF524" s="5"/>
      <c r="CG524" s="5"/>
      <c r="CH524" s="3"/>
      <c r="CJ524" s="5"/>
      <c r="CN524" s="3"/>
      <c r="CO524" s="3"/>
      <c r="CP524" s="5"/>
      <c r="CR524" s="3"/>
      <c r="DN524" s="5"/>
      <c r="DP524" s="3"/>
      <c r="EB524" s="7"/>
      <c r="EC524" s="7"/>
      <c r="EF524" s="4"/>
      <c r="EG524" s="4"/>
      <c r="EQ524" s="2"/>
      <c r="ER524" s="2"/>
    </row>
  </sheetData>
  <sheetProtection insertColumns="0" insertRows="0" insertHyperlinks="0" deleteRows="0" sort="0" autoFilter="0" pivotTables="0"/>
  <conditionalFormatting sqref="AJ16:AJ422 AE16:AE422 X16:X422 V16:V422 T16:T422 Z16:AB422">
    <cfRule type="cellIs" dxfId="70" priority="6" operator="equal">
      <formula>"Review"</formula>
    </cfRule>
  </conditionalFormatting>
  <conditionalFormatting sqref="AR16:AR422 AP16:AP422 AM16:AM422 AJ16:AJ422 AE16:AE422 X16:X422 V16:V422 T16:T422 Z16:AB422">
    <cfRule type="cellIs" dxfId="69" priority="7" operator="equal">
      <formula>"Not Required"</formula>
    </cfRule>
    <cfRule type="cellIs" dxfId="68" priority="9" operator="equal">
      <formula>"Rejected"</formula>
    </cfRule>
  </conditionalFormatting>
  <conditionalFormatting sqref="AR16:AR422 AP16:AP422 AM16:AM422 AJ16:AJ422 AE16:AE422 X16:X422 V16:V422 T16:T422 Z16:AB422">
    <cfRule type="cellIs" dxfId="67" priority="10" operator="equal">
      <formula>"OK"</formula>
    </cfRule>
  </conditionalFormatting>
  <conditionalFormatting sqref="BF16:BF422">
    <cfRule type="cellIs" dxfId="66" priority="4" operator="lessThanOrEqual">
      <formula>1</formula>
    </cfRule>
    <cfRule type="cellIs" dxfId="65" priority="5" operator="greaterThan">
      <formula>1</formula>
    </cfRule>
  </conditionalFormatting>
  <conditionalFormatting sqref="AJ16:AJ422 AE16:AE422 Z16:Z422 X16:X422 V16:V422 T16:T422">
    <cfRule type="cellIs" dxfId="64" priority="1" operator="equal">
      <formula>"OK with Flag"</formula>
    </cfRule>
  </conditionalFormatting>
  <conditionalFormatting sqref="BE16:BE422">
    <cfRule type="colorScale" priority="2047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disablePrompts="1" count="1">
    <dataValidation type="list" allowBlank="1" showInputMessage="1" showErrorMessage="1" sqref="D13" xr:uid="{00000000-0002-0000-0200-000003000000}">
      <formula1>$F$8:$J$8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7FA4B-6EC2-4A83-A3EB-38CDD6329A69}">
  <sheetPr codeName="Sheet1">
    <tabColor theme="9" tint="0.39997558519241921"/>
  </sheetPr>
  <dimension ref="A1:D3096"/>
  <sheetViews>
    <sheetView workbookViewId="0">
      <selection activeCell="D107" sqref="D107"/>
    </sheetView>
  </sheetViews>
  <sheetFormatPr defaultRowHeight="14.5"/>
  <cols>
    <col min="1" max="1" width="13.81640625" bestFit="1" customWidth="1"/>
    <col min="2" max="2" width="15.26953125" bestFit="1" customWidth="1"/>
    <col min="3" max="3" width="10.90625" bestFit="1" customWidth="1"/>
    <col min="4" max="4" width="9.26953125" bestFit="1" customWidth="1"/>
    <col min="5" max="5" width="23.1796875" bestFit="1" customWidth="1"/>
    <col min="6" max="6" width="48.81640625" bestFit="1" customWidth="1"/>
    <col min="7" max="7" width="10.7265625" bestFit="1" customWidth="1"/>
    <col min="8" max="8" width="14" bestFit="1" customWidth="1"/>
    <col min="9" max="9" width="11.81640625" bestFit="1" customWidth="1"/>
    <col min="10" max="10" width="9.26953125" bestFit="1" customWidth="1"/>
  </cols>
  <sheetData>
    <row r="1" spans="1:4">
      <c r="A1" t="s">
        <v>1780</v>
      </c>
      <c r="B1" t="s">
        <v>74</v>
      </c>
      <c r="C1" t="s">
        <v>0</v>
      </c>
      <c r="D1" t="s">
        <v>1781</v>
      </c>
    </row>
    <row r="2" spans="1:4">
      <c r="A2" s="1" t="s">
        <v>1857</v>
      </c>
      <c r="B2" s="1" t="s">
        <v>1856</v>
      </c>
      <c r="C2" s="1" t="s">
        <v>40</v>
      </c>
      <c r="D2" s="1" t="s">
        <v>1781</v>
      </c>
    </row>
    <row r="3" spans="1:4">
      <c r="A3" s="1" t="s">
        <v>1859</v>
      </c>
      <c r="B3" s="1" t="s">
        <v>1858</v>
      </c>
      <c r="C3" s="1" t="s">
        <v>40</v>
      </c>
      <c r="D3" s="1" t="s">
        <v>1781</v>
      </c>
    </row>
    <row r="4" spans="1:4">
      <c r="A4" s="1" t="s">
        <v>1861</v>
      </c>
      <c r="B4" s="1" t="s">
        <v>1860</v>
      </c>
      <c r="C4" s="1" t="s">
        <v>40</v>
      </c>
      <c r="D4" s="1" t="s">
        <v>1781</v>
      </c>
    </row>
    <row r="5" spans="1:4">
      <c r="A5" s="1" t="s">
        <v>1863</v>
      </c>
      <c r="B5" s="1" t="s">
        <v>1862</v>
      </c>
      <c r="C5" s="1" t="s">
        <v>40</v>
      </c>
      <c r="D5" s="1" t="s">
        <v>1781</v>
      </c>
    </row>
    <row r="6" spans="1:4">
      <c r="A6" s="1" t="s">
        <v>1865</v>
      </c>
      <c r="B6" s="1" t="s">
        <v>1864</v>
      </c>
      <c r="C6" s="1" t="s">
        <v>40</v>
      </c>
      <c r="D6" s="1" t="s">
        <v>1781</v>
      </c>
    </row>
    <row r="7" spans="1:4">
      <c r="A7" s="1" t="s">
        <v>906</v>
      </c>
      <c r="B7" s="1" t="s">
        <v>1866</v>
      </c>
      <c r="C7" s="1" t="s">
        <v>40</v>
      </c>
      <c r="D7" s="1" t="s">
        <v>1781</v>
      </c>
    </row>
    <row r="8" spans="1:4">
      <c r="A8" s="1" t="s">
        <v>1868</v>
      </c>
      <c r="B8" s="1" t="s">
        <v>1867</v>
      </c>
      <c r="C8" s="1" t="s">
        <v>40</v>
      </c>
      <c r="D8" s="1" t="s">
        <v>1781</v>
      </c>
    </row>
    <row r="9" spans="1:4">
      <c r="A9" s="1" t="s">
        <v>1870</v>
      </c>
      <c r="B9" s="1" t="s">
        <v>1869</v>
      </c>
      <c r="C9" s="1" t="s">
        <v>40</v>
      </c>
      <c r="D9" s="1" t="s">
        <v>1781</v>
      </c>
    </row>
    <row r="10" spans="1:4">
      <c r="A10" s="1" t="s">
        <v>1872</v>
      </c>
      <c r="B10" s="1" t="s">
        <v>1871</v>
      </c>
      <c r="C10" s="1" t="s">
        <v>40</v>
      </c>
      <c r="D10" s="1" t="s">
        <v>1781</v>
      </c>
    </row>
    <row r="11" spans="1:4">
      <c r="A11" s="1" t="s">
        <v>1874</v>
      </c>
      <c r="B11" s="1" t="s">
        <v>1873</v>
      </c>
      <c r="C11" s="1" t="s">
        <v>40</v>
      </c>
      <c r="D11" s="1" t="s">
        <v>1781</v>
      </c>
    </row>
    <row r="12" spans="1:4">
      <c r="A12" s="1" t="s">
        <v>1876</v>
      </c>
      <c r="B12" s="1" t="s">
        <v>1875</v>
      </c>
      <c r="C12" s="1" t="s">
        <v>40</v>
      </c>
      <c r="D12" s="1" t="s">
        <v>1781</v>
      </c>
    </row>
    <row r="13" spans="1:4">
      <c r="A13" s="1" t="s">
        <v>1878</v>
      </c>
      <c r="B13" s="1" t="s">
        <v>1877</v>
      </c>
      <c r="C13" s="1" t="s">
        <v>40</v>
      </c>
      <c r="D13" s="1" t="s">
        <v>1781</v>
      </c>
    </row>
    <row r="14" spans="1:4">
      <c r="A14" s="1" t="s">
        <v>1880</v>
      </c>
      <c r="B14" s="1" t="s">
        <v>1879</v>
      </c>
      <c r="C14" s="1" t="s">
        <v>40</v>
      </c>
      <c r="D14" s="1" t="s">
        <v>1781</v>
      </c>
    </row>
    <row r="15" spans="1:4">
      <c r="A15" s="1" t="s">
        <v>1882</v>
      </c>
      <c r="B15" s="1" t="s">
        <v>1881</v>
      </c>
      <c r="C15" s="1" t="s">
        <v>40</v>
      </c>
      <c r="D15" s="1" t="s">
        <v>1781</v>
      </c>
    </row>
    <row r="16" spans="1:4">
      <c r="A16" s="1" t="s">
        <v>1884</v>
      </c>
      <c r="B16" s="1" t="s">
        <v>1883</v>
      </c>
      <c r="C16" s="1" t="s">
        <v>40</v>
      </c>
      <c r="D16" s="1" t="s">
        <v>1781</v>
      </c>
    </row>
    <row r="17" spans="1:4">
      <c r="A17" s="1" t="s">
        <v>1886</v>
      </c>
      <c r="B17" s="1" t="s">
        <v>1885</v>
      </c>
      <c r="C17" s="1" t="s">
        <v>40</v>
      </c>
      <c r="D17" s="1" t="s">
        <v>1781</v>
      </c>
    </row>
    <row r="18" spans="1:4">
      <c r="A18" s="1" t="s">
        <v>1888</v>
      </c>
      <c r="B18" s="1" t="s">
        <v>1887</v>
      </c>
      <c r="C18" s="1" t="s">
        <v>40</v>
      </c>
      <c r="D18" s="1" t="s">
        <v>1781</v>
      </c>
    </row>
    <row r="19" spans="1:4">
      <c r="A19" s="1" t="s">
        <v>832</v>
      </c>
      <c r="B19" s="1" t="s">
        <v>1889</v>
      </c>
      <c r="C19" s="1" t="s">
        <v>40</v>
      </c>
      <c r="D19" s="1" t="s">
        <v>1781</v>
      </c>
    </row>
    <row r="20" spans="1:4">
      <c r="A20" s="1" t="s">
        <v>1891</v>
      </c>
      <c r="B20" s="1" t="s">
        <v>1890</v>
      </c>
      <c r="C20" s="1" t="s">
        <v>40</v>
      </c>
      <c r="D20" s="1" t="s">
        <v>1781</v>
      </c>
    </row>
    <row r="21" spans="1:4">
      <c r="A21" s="1" t="s">
        <v>1893</v>
      </c>
      <c r="B21" s="1" t="s">
        <v>1892</v>
      </c>
      <c r="C21" s="1" t="s">
        <v>40</v>
      </c>
      <c r="D21" s="1" t="s">
        <v>1781</v>
      </c>
    </row>
    <row r="22" spans="1:4">
      <c r="A22" s="1" t="s">
        <v>1895</v>
      </c>
      <c r="B22" s="1" t="s">
        <v>1894</v>
      </c>
      <c r="C22" s="1" t="s">
        <v>40</v>
      </c>
      <c r="D22" s="1" t="s">
        <v>1781</v>
      </c>
    </row>
    <row r="23" spans="1:4">
      <c r="A23" s="1" t="s">
        <v>1897</v>
      </c>
      <c r="B23" s="1" t="s">
        <v>1896</v>
      </c>
      <c r="C23" s="1" t="s">
        <v>40</v>
      </c>
      <c r="D23" s="1" t="s">
        <v>1781</v>
      </c>
    </row>
    <row r="24" spans="1:4">
      <c r="A24" s="1" t="s">
        <v>1899</v>
      </c>
      <c r="B24" s="1" t="s">
        <v>1898</v>
      </c>
      <c r="C24" s="1" t="s">
        <v>40</v>
      </c>
      <c r="D24" s="1" t="s">
        <v>1781</v>
      </c>
    </row>
    <row r="25" spans="1:4">
      <c r="A25" s="1" t="s">
        <v>1901</v>
      </c>
      <c r="B25" s="1" t="s">
        <v>1900</v>
      </c>
      <c r="C25" s="1" t="s">
        <v>40</v>
      </c>
      <c r="D25" s="1" t="s">
        <v>1781</v>
      </c>
    </row>
    <row r="26" spans="1:4">
      <c r="A26" s="1" t="s">
        <v>1903</v>
      </c>
      <c r="B26" s="1" t="s">
        <v>1902</v>
      </c>
      <c r="C26" s="1" t="s">
        <v>40</v>
      </c>
      <c r="D26" s="1" t="s">
        <v>1781</v>
      </c>
    </row>
    <row r="27" spans="1:4">
      <c r="A27" s="1" t="s">
        <v>1905</v>
      </c>
      <c r="B27" s="1" t="s">
        <v>1904</v>
      </c>
      <c r="C27" s="1" t="s">
        <v>40</v>
      </c>
      <c r="D27" s="1" t="s">
        <v>1781</v>
      </c>
    </row>
    <row r="28" spans="1:4">
      <c r="A28" s="1" t="s">
        <v>1907</v>
      </c>
      <c r="B28" s="1" t="s">
        <v>1906</v>
      </c>
      <c r="C28" s="1" t="s">
        <v>40</v>
      </c>
      <c r="D28" s="1" t="s">
        <v>1781</v>
      </c>
    </row>
    <row r="29" spans="1:4">
      <c r="A29" s="1" t="s">
        <v>1909</v>
      </c>
      <c r="B29" s="1" t="s">
        <v>1908</v>
      </c>
      <c r="C29" s="1" t="s">
        <v>40</v>
      </c>
      <c r="D29" s="1" t="s">
        <v>1781</v>
      </c>
    </row>
    <row r="30" spans="1:4">
      <c r="A30" s="1" t="s">
        <v>1911</v>
      </c>
      <c r="B30" s="1" t="s">
        <v>1910</v>
      </c>
      <c r="C30" s="1" t="s">
        <v>40</v>
      </c>
      <c r="D30" s="1" t="s">
        <v>1781</v>
      </c>
    </row>
    <row r="31" spans="1:4">
      <c r="A31" s="1" t="s">
        <v>1913</v>
      </c>
      <c r="B31" s="1" t="s">
        <v>1912</v>
      </c>
      <c r="C31" s="1" t="s">
        <v>40</v>
      </c>
      <c r="D31" s="1" t="s">
        <v>1781</v>
      </c>
    </row>
    <row r="32" spans="1:4">
      <c r="A32" s="1" t="s">
        <v>1915</v>
      </c>
      <c r="B32" s="1" t="s">
        <v>1914</v>
      </c>
      <c r="C32" s="1" t="s">
        <v>40</v>
      </c>
      <c r="D32" s="1" t="s">
        <v>1781</v>
      </c>
    </row>
    <row r="33" spans="1:4">
      <c r="A33" s="1" t="s">
        <v>1917</v>
      </c>
      <c r="B33" s="1" t="s">
        <v>1916</v>
      </c>
      <c r="C33" s="1" t="s">
        <v>40</v>
      </c>
      <c r="D33" s="1" t="s">
        <v>1781</v>
      </c>
    </row>
    <row r="34" spans="1:4">
      <c r="A34" s="1" t="s">
        <v>1919</v>
      </c>
      <c r="B34" s="1" t="s">
        <v>1918</v>
      </c>
      <c r="C34" s="1" t="s">
        <v>40</v>
      </c>
      <c r="D34" s="1" t="s">
        <v>1781</v>
      </c>
    </row>
    <row r="35" spans="1:4">
      <c r="A35" s="1" t="s">
        <v>1921</v>
      </c>
      <c r="B35" s="1" t="s">
        <v>1920</v>
      </c>
      <c r="C35" s="1" t="s">
        <v>40</v>
      </c>
      <c r="D35" s="1" t="s">
        <v>1781</v>
      </c>
    </row>
    <row r="36" spans="1:4">
      <c r="A36" s="1" t="s">
        <v>1923</v>
      </c>
      <c r="B36" s="1" t="s">
        <v>1922</v>
      </c>
      <c r="C36" s="1" t="s">
        <v>40</v>
      </c>
      <c r="D36" s="1" t="s">
        <v>1781</v>
      </c>
    </row>
    <row r="37" spans="1:4">
      <c r="A37" s="1" t="s">
        <v>1925</v>
      </c>
      <c r="B37" s="1" t="s">
        <v>1924</v>
      </c>
      <c r="C37" s="1" t="s">
        <v>40</v>
      </c>
      <c r="D37" s="1" t="s">
        <v>1781</v>
      </c>
    </row>
    <row r="38" spans="1:4">
      <c r="A38" s="1" t="s">
        <v>1927</v>
      </c>
      <c r="B38" s="1" t="s">
        <v>1926</v>
      </c>
      <c r="C38" s="1" t="s">
        <v>40</v>
      </c>
      <c r="D38" s="1" t="s">
        <v>1781</v>
      </c>
    </row>
    <row r="39" spans="1:4">
      <c r="A39" s="1" t="s">
        <v>1929</v>
      </c>
      <c r="B39" s="1" t="s">
        <v>1928</v>
      </c>
      <c r="C39" s="1" t="s">
        <v>40</v>
      </c>
      <c r="D39" s="1" t="s">
        <v>1781</v>
      </c>
    </row>
    <row r="40" spans="1:4">
      <c r="A40" s="1" t="s">
        <v>1931</v>
      </c>
      <c r="B40" s="1" t="s">
        <v>1930</v>
      </c>
      <c r="C40" s="1" t="s">
        <v>40</v>
      </c>
      <c r="D40" s="1" t="s">
        <v>1781</v>
      </c>
    </row>
    <row r="41" spans="1:4">
      <c r="A41" s="1" t="s">
        <v>1933</v>
      </c>
      <c r="B41" s="1" t="s">
        <v>1932</v>
      </c>
      <c r="C41" s="1" t="s">
        <v>40</v>
      </c>
      <c r="D41" s="1" t="s">
        <v>1781</v>
      </c>
    </row>
    <row r="42" spans="1:4">
      <c r="A42" s="1" t="s">
        <v>1935</v>
      </c>
      <c r="B42" s="1" t="s">
        <v>1934</v>
      </c>
      <c r="C42" s="1" t="s">
        <v>40</v>
      </c>
      <c r="D42" s="1" t="s">
        <v>1781</v>
      </c>
    </row>
    <row r="43" spans="1:4">
      <c r="A43" s="1" t="s">
        <v>1937</v>
      </c>
      <c r="B43" s="1" t="s">
        <v>1936</v>
      </c>
      <c r="C43" s="1" t="s">
        <v>40</v>
      </c>
      <c r="D43" s="1" t="s">
        <v>1781</v>
      </c>
    </row>
    <row r="44" spans="1:4">
      <c r="A44" s="1" t="s">
        <v>1939</v>
      </c>
      <c r="B44" s="1" t="s">
        <v>1938</v>
      </c>
      <c r="C44" s="1" t="s">
        <v>40</v>
      </c>
      <c r="D44" s="1" t="s">
        <v>1781</v>
      </c>
    </row>
    <row r="45" spans="1:4">
      <c r="A45" s="1" t="s">
        <v>1941</v>
      </c>
      <c r="B45" s="1" t="s">
        <v>1940</v>
      </c>
      <c r="C45" s="1" t="s">
        <v>40</v>
      </c>
      <c r="D45" s="1" t="s">
        <v>1781</v>
      </c>
    </row>
    <row r="46" spans="1:4">
      <c r="A46" s="1" t="s">
        <v>1943</v>
      </c>
      <c r="B46" s="1" t="s">
        <v>1942</v>
      </c>
      <c r="C46" s="1" t="s">
        <v>40</v>
      </c>
      <c r="D46" s="1" t="s">
        <v>1781</v>
      </c>
    </row>
    <row r="47" spans="1:4">
      <c r="A47" s="1" t="s">
        <v>1945</v>
      </c>
      <c r="B47" s="1" t="s">
        <v>1944</v>
      </c>
      <c r="C47" s="1" t="s">
        <v>40</v>
      </c>
      <c r="D47" s="1" t="s">
        <v>1781</v>
      </c>
    </row>
    <row r="48" spans="1:4">
      <c r="A48" s="1" t="s">
        <v>1947</v>
      </c>
      <c r="B48" s="1" t="s">
        <v>1946</v>
      </c>
      <c r="C48" s="1" t="s">
        <v>40</v>
      </c>
      <c r="D48" s="1" t="s">
        <v>1781</v>
      </c>
    </row>
    <row r="49" spans="1:4">
      <c r="A49" s="1" t="s">
        <v>1949</v>
      </c>
      <c r="B49" s="1" t="s">
        <v>1948</v>
      </c>
      <c r="C49" s="1" t="s">
        <v>40</v>
      </c>
      <c r="D49" s="1" t="s">
        <v>1781</v>
      </c>
    </row>
    <row r="50" spans="1:4">
      <c r="A50" s="1" t="s">
        <v>1951</v>
      </c>
      <c r="B50" s="1" t="s">
        <v>1950</v>
      </c>
      <c r="C50" s="1" t="s">
        <v>40</v>
      </c>
      <c r="D50" s="1" t="s">
        <v>1781</v>
      </c>
    </row>
    <row r="51" spans="1:4">
      <c r="A51" s="1" t="s">
        <v>1953</v>
      </c>
      <c r="B51" s="1" t="s">
        <v>1952</v>
      </c>
      <c r="C51" s="1" t="s">
        <v>40</v>
      </c>
      <c r="D51" s="1" t="s">
        <v>1781</v>
      </c>
    </row>
    <row r="52" spans="1:4">
      <c r="A52" s="1" t="s">
        <v>1955</v>
      </c>
      <c r="B52" s="1" t="s">
        <v>1954</v>
      </c>
      <c r="C52" s="1" t="s">
        <v>40</v>
      </c>
      <c r="D52" s="1" t="s">
        <v>1781</v>
      </c>
    </row>
    <row r="53" spans="1:4">
      <c r="A53" s="1" t="s">
        <v>1957</v>
      </c>
      <c r="B53" s="1" t="s">
        <v>1956</v>
      </c>
      <c r="C53" s="1" t="s">
        <v>40</v>
      </c>
      <c r="D53" s="1" t="s">
        <v>1781</v>
      </c>
    </row>
    <row r="54" spans="1:4">
      <c r="A54" s="1" t="s">
        <v>1959</v>
      </c>
      <c r="B54" s="1" t="s">
        <v>1958</v>
      </c>
      <c r="C54" s="1" t="s">
        <v>40</v>
      </c>
      <c r="D54" s="1" t="s">
        <v>1781</v>
      </c>
    </row>
    <row r="55" spans="1:4">
      <c r="A55" s="1" t="s">
        <v>1961</v>
      </c>
      <c r="B55" s="1" t="s">
        <v>1960</v>
      </c>
      <c r="C55" s="1" t="s">
        <v>40</v>
      </c>
      <c r="D55" s="1" t="s">
        <v>1781</v>
      </c>
    </row>
    <row r="56" spans="1:4">
      <c r="A56" s="1" t="s">
        <v>1963</v>
      </c>
      <c r="B56" s="1" t="s">
        <v>1962</v>
      </c>
      <c r="C56" s="1" t="s">
        <v>40</v>
      </c>
      <c r="D56" s="1" t="s">
        <v>1781</v>
      </c>
    </row>
    <row r="57" spans="1:4">
      <c r="A57" s="1" t="s">
        <v>1965</v>
      </c>
      <c r="B57" s="1" t="s">
        <v>1964</v>
      </c>
      <c r="C57" s="1" t="s">
        <v>40</v>
      </c>
      <c r="D57" s="1" t="s">
        <v>1781</v>
      </c>
    </row>
    <row r="58" spans="1:4">
      <c r="A58" s="1" t="s">
        <v>1967</v>
      </c>
      <c r="B58" s="1" t="s">
        <v>1966</v>
      </c>
      <c r="C58" s="1" t="s">
        <v>40</v>
      </c>
      <c r="D58" s="1" t="s">
        <v>1781</v>
      </c>
    </row>
    <row r="59" spans="1:4">
      <c r="A59" s="1" t="s">
        <v>1969</v>
      </c>
      <c r="B59" s="1" t="s">
        <v>1968</v>
      </c>
      <c r="C59" s="1" t="s">
        <v>40</v>
      </c>
      <c r="D59" s="1" t="s">
        <v>1781</v>
      </c>
    </row>
    <row r="60" spans="1:4">
      <c r="A60" s="1" t="s">
        <v>1971</v>
      </c>
      <c r="B60" s="1" t="s">
        <v>1970</v>
      </c>
      <c r="C60" s="1" t="s">
        <v>40</v>
      </c>
      <c r="D60" s="1" t="s">
        <v>1781</v>
      </c>
    </row>
    <row r="61" spans="1:4">
      <c r="A61" s="1" t="s">
        <v>1973</v>
      </c>
      <c r="B61" s="1" t="s">
        <v>1972</v>
      </c>
      <c r="C61" s="1" t="s">
        <v>40</v>
      </c>
      <c r="D61" s="1" t="s">
        <v>1781</v>
      </c>
    </row>
    <row r="62" spans="1:4">
      <c r="A62" s="1" t="s">
        <v>1975</v>
      </c>
      <c r="B62" s="1" t="s">
        <v>1974</v>
      </c>
      <c r="C62" s="1" t="s">
        <v>40</v>
      </c>
      <c r="D62" s="1" t="s">
        <v>1781</v>
      </c>
    </row>
    <row r="63" spans="1:4">
      <c r="A63" s="1" t="s">
        <v>1977</v>
      </c>
      <c r="B63" s="1" t="s">
        <v>1976</v>
      </c>
      <c r="C63" s="1" t="s">
        <v>40</v>
      </c>
      <c r="D63" s="1" t="s">
        <v>1781</v>
      </c>
    </row>
    <row r="64" spans="1:4">
      <c r="A64" s="1" t="s">
        <v>1979</v>
      </c>
      <c r="B64" s="1" t="s">
        <v>1978</v>
      </c>
      <c r="C64" s="1" t="s">
        <v>40</v>
      </c>
      <c r="D64" s="1" t="s">
        <v>1781</v>
      </c>
    </row>
    <row r="65" spans="1:4">
      <c r="A65" s="1" t="s">
        <v>1981</v>
      </c>
      <c r="B65" s="1" t="s">
        <v>1980</v>
      </c>
      <c r="C65" s="1" t="s">
        <v>40</v>
      </c>
      <c r="D65" s="1" t="s">
        <v>1781</v>
      </c>
    </row>
    <row r="66" spans="1:4">
      <c r="A66" s="1" t="s">
        <v>1983</v>
      </c>
      <c r="B66" s="1" t="s">
        <v>1982</v>
      </c>
      <c r="C66" s="1" t="s">
        <v>40</v>
      </c>
      <c r="D66" s="1" t="s">
        <v>1781</v>
      </c>
    </row>
    <row r="67" spans="1:4">
      <c r="A67" s="1" t="s">
        <v>1985</v>
      </c>
      <c r="B67" s="1" t="s">
        <v>1984</v>
      </c>
      <c r="C67" s="1" t="s">
        <v>40</v>
      </c>
      <c r="D67" s="1" t="s">
        <v>1781</v>
      </c>
    </row>
    <row r="68" spans="1:4">
      <c r="A68" s="1" t="s">
        <v>1987</v>
      </c>
      <c r="B68" s="1" t="s">
        <v>1986</v>
      </c>
      <c r="C68" s="1" t="s">
        <v>40</v>
      </c>
      <c r="D68" s="1" t="s">
        <v>1781</v>
      </c>
    </row>
    <row r="69" spans="1:4">
      <c r="A69" s="1" t="s">
        <v>1989</v>
      </c>
      <c r="B69" s="1" t="s">
        <v>1988</v>
      </c>
      <c r="C69" s="1" t="s">
        <v>40</v>
      </c>
      <c r="D69" s="1" t="s">
        <v>1781</v>
      </c>
    </row>
    <row r="70" spans="1:4">
      <c r="A70" s="1" t="s">
        <v>1991</v>
      </c>
      <c r="B70" s="1" t="s">
        <v>1990</v>
      </c>
      <c r="C70" s="1" t="s">
        <v>40</v>
      </c>
      <c r="D70" s="1" t="s">
        <v>1781</v>
      </c>
    </row>
    <row r="71" spans="1:4">
      <c r="A71" s="1" t="s">
        <v>1993</v>
      </c>
      <c r="B71" s="1" t="s">
        <v>1992</v>
      </c>
      <c r="C71" s="1" t="s">
        <v>40</v>
      </c>
      <c r="D71" s="1" t="s">
        <v>1781</v>
      </c>
    </row>
    <row r="72" spans="1:4">
      <c r="A72" s="1" t="s">
        <v>1995</v>
      </c>
      <c r="B72" s="1" t="s">
        <v>1994</v>
      </c>
      <c r="C72" s="1" t="s">
        <v>40</v>
      </c>
      <c r="D72" s="1" t="s">
        <v>1781</v>
      </c>
    </row>
    <row r="73" spans="1:4">
      <c r="A73" s="1" t="s">
        <v>1997</v>
      </c>
      <c r="B73" s="1" t="s">
        <v>1996</v>
      </c>
      <c r="C73" s="1" t="s">
        <v>40</v>
      </c>
      <c r="D73" s="1" t="s">
        <v>1781</v>
      </c>
    </row>
    <row r="74" spans="1:4">
      <c r="A74" s="1" t="s">
        <v>1999</v>
      </c>
      <c r="B74" s="1" t="s">
        <v>1998</v>
      </c>
      <c r="C74" s="1" t="s">
        <v>40</v>
      </c>
      <c r="D74" s="1" t="s">
        <v>1781</v>
      </c>
    </row>
    <row r="75" spans="1:4">
      <c r="A75" s="1" t="s">
        <v>2001</v>
      </c>
      <c r="B75" s="1" t="s">
        <v>2000</v>
      </c>
      <c r="C75" s="1" t="s">
        <v>40</v>
      </c>
      <c r="D75" s="1" t="s">
        <v>1781</v>
      </c>
    </row>
    <row r="76" spans="1:4">
      <c r="A76" s="1" t="s">
        <v>2003</v>
      </c>
      <c r="B76" s="1" t="s">
        <v>2002</v>
      </c>
      <c r="C76" s="1" t="s">
        <v>40</v>
      </c>
      <c r="D76" s="1" t="s">
        <v>1781</v>
      </c>
    </row>
    <row r="77" spans="1:4">
      <c r="A77" s="1" t="s">
        <v>2005</v>
      </c>
      <c r="B77" s="1" t="s">
        <v>2004</v>
      </c>
      <c r="C77" s="1" t="s">
        <v>40</v>
      </c>
      <c r="D77" s="1" t="s">
        <v>1781</v>
      </c>
    </row>
    <row r="78" spans="1:4">
      <c r="A78" s="1" t="s">
        <v>2007</v>
      </c>
      <c r="B78" s="1" t="s">
        <v>2006</v>
      </c>
      <c r="C78" s="1" t="s">
        <v>40</v>
      </c>
      <c r="D78" s="1" t="s">
        <v>1781</v>
      </c>
    </row>
    <row r="79" spans="1:4">
      <c r="A79" s="1" t="s">
        <v>2009</v>
      </c>
      <c r="B79" s="1" t="s">
        <v>2008</v>
      </c>
      <c r="C79" s="1" t="s">
        <v>40</v>
      </c>
      <c r="D79" s="1" t="s">
        <v>1781</v>
      </c>
    </row>
    <row r="80" spans="1:4">
      <c r="A80" s="1" t="s">
        <v>1397</v>
      </c>
      <c r="B80" s="1" t="s">
        <v>2010</v>
      </c>
      <c r="C80" s="1" t="s">
        <v>40</v>
      </c>
      <c r="D80" s="1" t="s">
        <v>1781</v>
      </c>
    </row>
    <row r="81" spans="1:4">
      <c r="A81" s="1" t="s">
        <v>2012</v>
      </c>
      <c r="B81" s="1" t="s">
        <v>2011</v>
      </c>
      <c r="C81" s="1" t="s">
        <v>40</v>
      </c>
      <c r="D81" s="1" t="s">
        <v>1781</v>
      </c>
    </row>
    <row r="82" spans="1:4">
      <c r="A82" s="1" t="s">
        <v>2014</v>
      </c>
      <c r="B82" s="1" t="s">
        <v>2013</v>
      </c>
      <c r="C82" s="1" t="s">
        <v>40</v>
      </c>
      <c r="D82" s="1" t="s">
        <v>1781</v>
      </c>
    </row>
    <row r="83" spans="1:4">
      <c r="A83" s="1" t="s">
        <v>2016</v>
      </c>
      <c r="B83" s="1" t="s">
        <v>2015</v>
      </c>
      <c r="C83" s="1" t="s">
        <v>40</v>
      </c>
      <c r="D83" s="1" t="s">
        <v>1781</v>
      </c>
    </row>
    <row r="84" spans="1:4">
      <c r="A84" s="1" t="s">
        <v>2018</v>
      </c>
      <c r="B84" s="1" t="s">
        <v>2017</v>
      </c>
      <c r="C84" s="1" t="s">
        <v>40</v>
      </c>
      <c r="D84" s="1" t="s">
        <v>1781</v>
      </c>
    </row>
    <row r="85" spans="1:4">
      <c r="A85" s="1" t="s">
        <v>2020</v>
      </c>
      <c r="B85" s="1" t="s">
        <v>2019</v>
      </c>
      <c r="C85" s="1" t="s">
        <v>40</v>
      </c>
      <c r="D85" s="1" t="s">
        <v>1781</v>
      </c>
    </row>
    <row r="86" spans="1:4">
      <c r="A86" s="1" t="s">
        <v>2022</v>
      </c>
      <c r="B86" s="1" t="s">
        <v>2021</v>
      </c>
      <c r="C86" s="1" t="s">
        <v>40</v>
      </c>
      <c r="D86" s="1" t="s">
        <v>1781</v>
      </c>
    </row>
    <row r="87" spans="1:4">
      <c r="A87" s="1" t="s">
        <v>2024</v>
      </c>
      <c r="B87" s="1" t="s">
        <v>2023</v>
      </c>
      <c r="C87" s="1" t="s">
        <v>40</v>
      </c>
      <c r="D87" s="1" t="s">
        <v>1781</v>
      </c>
    </row>
    <row r="88" spans="1:4">
      <c r="A88" s="1" t="s">
        <v>2026</v>
      </c>
      <c r="B88" s="1" t="s">
        <v>2025</v>
      </c>
      <c r="C88" s="1" t="s">
        <v>40</v>
      </c>
      <c r="D88" s="1" t="s">
        <v>1781</v>
      </c>
    </row>
    <row r="89" spans="1:4">
      <c r="A89" s="1" t="s">
        <v>2028</v>
      </c>
      <c r="B89" s="1" t="s">
        <v>2027</v>
      </c>
      <c r="C89" s="1" t="s">
        <v>40</v>
      </c>
      <c r="D89" s="1" t="s">
        <v>1781</v>
      </c>
    </row>
    <row r="90" spans="1:4">
      <c r="A90" s="1" t="s">
        <v>2030</v>
      </c>
      <c r="B90" s="1" t="s">
        <v>2029</v>
      </c>
      <c r="C90" s="1" t="s">
        <v>40</v>
      </c>
      <c r="D90" s="1" t="s">
        <v>1781</v>
      </c>
    </row>
    <row r="91" spans="1:4">
      <c r="A91" s="1" t="s">
        <v>2032</v>
      </c>
      <c r="B91" s="1" t="s">
        <v>2031</v>
      </c>
      <c r="C91" s="1" t="s">
        <v>40</v>
      </c>
      <c r="D91" s="1" t="s">
        <v>1781</v>
      </c>
    </row>
    <row r="92" spans="1:4">
      <c r="A92" s="1" t="s">
        <v>2034</v>
      </c>
      <c r="B92" s="1" t="s">
        <v>2033</v>
      </c>
      <c r="C92" s="1" t="s">
        <v>40</v>
      </c>
      <c r="D92" s="1" t="s">
        <v>1781</v>
      </c>
    </row>
    <row r="93" spans="1:4">
      <c r="A93" s="1" t="s">
        <v>2036</v>
      </c>
      <c r="B93" s="1" t="s">
        <v>2035</v>
      </c>
      <c r="C93" s="1" t="s">
        <v>40</v>
      </c>
      <c r="D93" s="1" t="s">
        <v>1781</v>
      </c>
    </row>
    <row r="94" spans="1:4">
      <c r="A94" s="1" t="s">
        <v>2038</v>
      </c>
      <c r="B94" s="1" t="s">
        <v>2037</v>
      </c>
      <c r="C94" s="1" t="s">
        <v>40</v>
      </c>
      <c r="D94" s="1" t="s">
        <v>1781</v>
      </c>
    </row>
    <row r="95" spans="1:4">
      <c r="A95" s="1" t="s">
        <v>2040</v>
      </c>
      <c r="B95" s="1" t="s">
        <v>2039</v>
      </c>
      <c r="C95" s="1" t="s">
        <v>40</v>
      </c>
      <c r="D95" s="1" t="s">
        <v>1781</v>
      </c>
    </row>
    <row r="96" spans="1:4">
      <c r="A96" s="1" t="s">
        <v>2042</v>
      </c>
      <c r="B96" s="1" t="s">
        <v>2041</v>
      </c>
      <c r="C96" s="1" t="s">
        <v>40</v>
      </c>
      <c r="D96" s="1" t="s">
        <v>1781</v>
      </c>
    </row>
    <row r="97" spans="1:4">
      <c r="A97" s="1" t="s">
        <v>2044</v>
      </c>
      <c r="B97" s="1" t="s">
        <v>2043</v>
      </c>
      <c r="C97" s="1" t="s">
        <v>40</v>
      </c>
      <c r="D97" s="1" t="s">
        <v>1781</v>
      </c>
    </row>
    <row r="98" spans="1:4">
      <c r="A98" s="1" t="s">
        <v>2046</v>
      </c>
      <c r="B98" s="1" t="s">
        <v>2045</v>
      </c>
      <c r="C98" s="1" t="s">
        <v>40</v>
      </c>
      <c r="D98" s="1" t="s">
        <v>1781</v>
      </c>
    </row>
    <row r="99" spans="1:4">
      <c r="A99" s="1" t="s">
        <v>2048</v>
      </c>
      <c r="B99" s="1" t="s">
        <v>2047</v>
      </c>
      <c r="C99" s="1" t="s">
        <v>40</v>
      </c>
      <c r="D99" s="1" t="s">
        <v>1781</v>
      </c>
    </row>
    <row r="100" spans="1:4">
      <c r="A100" s="1" t="s">
        <v>2050</v>
      </c>
      <c r="B100" s="1" t="s">
        <v>2049</v>
      </c>
      <c r="C100" s="1" t="s">
        <v>40</v>
      </c>
      <c r="D100" s="1" t="s">
        <v>1781</v>
      </c>
    </row>
    <row r="101" spans="1:4">
      <c r="A101" s="1" t="s">
        <v>2052</v>
      </c>
      <c r="B101" s="1" t="s">
        <v>2051</v>
      </c>
      <c r="C101" s="1" t="s">
        <v>40</v>
      </c>
      <c r="D101" s="1" t="s">
        <v>1781</v>
      </c>
    </row>
    <row r="102" spans="1:4">
      <c r="A102" s="1" t="s">
        <v>1214</v>
      </c>
      <c r="B102" s="1" t="s">
        <v>2053</v>
      </c>
      <c r="C102" s="1" t="s">
        <v>40</v>
      </c>
      <c r="D102" s="1" t="s">
        <v>1781</v>
      </c>
    </row>
    <row r="103" spans="1:4">
      <c r="A103" s="1" t="s">
        <v>717</v>
      </c>
      <c r="B103" s="1" t="s">
        <v>2054</v>
      </c>
      <c r="C103" s="1" t="s">
        <v>40</v>
      </c>
      <c r="D103" s="1" t="s">
        <v>1781</v>
      </c>
    </row>
    <row r="104" spans="1:4">
      <c r="A104" s="1" t="s">
        <v>2056</v>
      </c>
      <c r="B104" s="1" t="s">
        <v>2055</v>
      </c>
      <c r="C104" s="1" t="s">
        <v>40</v>
      </c>
      <c r="D104" s="1" t="s">
        <v>1781</v>
      </c>
    </row>
    <row r="105" spans="1:4">
      <c r="A105" s="1" t="s">
        <v>2058</v>
      </c>
      <c r="B105" s="1" t="s">
        <v>2057</v>
      </c>
      <c r="C105" s="1" t="s">
        <v>40</v>
      </c>
      <c r="D105" s="1" t="s">
        <v>1781</v>
      </c>
    </row>
    <row r="106" spans="1:4">
      <c r="A106" s="1" t="s">
        <v>2060</v>
      </c>
      <c r="B106" s="1" t="s">
        <v>2059</v>
      </c>
      <c r="C106" s="1" t="s">
        <v>40</v>
      </c>
      <c r="D106" s="1" t="s">
        <v>1781</v>
      </c>
    </row>
    <row r="107" spans="1:4">
      <c r="A107" s="1" t="s">
        <v>2062</v>
      </c>
      <c r="B107" s="1" t="s">
        <v>2061</v>
      </c>
      <c r="C107" s="1" t="s">
        <v>40</v>
      </c>
      <c r="D107" s="1" t="s">
        <v>1781</v>
      </c>
    </row>
    <row r="108" spans="1:4">
      <c r="A108" s="1" t="s">
        <v>2064</v>
      </c>
      <c r="B108" s="1" t="s">
        <v>2063</v>
      </c>
      <c r="C108" s="1" t="s">
        <v>40</v>
      </c>
      <c r="D108" s="1" t="s">
        <v>1781</v>
      </c>
    </row>
    <row r="109" spans="1:4">
      <c r="A109" s="1" t="s">
        <v>2066</v>
      </c>
      <c r="B109" s="1" t="s">
        <v>2065</v>
      </c>
      <c r="C109" s="1" t="s">
        <v>40</v>
      </c>
      <c r="D109" s="1" t="s">
        <v>1781</v>
      </c>
    </row>
    <row r="110" spans="1:4">
      <c r="A110" s="1" t="s">
        <v>2068</v>
      </c>
      <c r="B110" s="1" t="s">
        <v>2067</v>
      </c>
      <c r="C110" s="1" t="s">
        <v>40</v>
      </c>
      <c r="D110" s="1" t="s">
        <v>1781</v>
      </c>
    </row>
    <row r="111" spans="1:4">
      <c r="A111" s="1" t="s">
        <v>2070</v>
      </c>
      <c r="B111" s="1" t="s">
        <v>2069</v>
      </c>
      <c r="C111" s="1" t="s">
        <v>40</v>
      </c>
      <c r="D111" s="1" t="s">
        <v>1781</v>
      </c>
    </row>
    <row r="112" spans="1:4">
      <c r="A112" s="1" t="s">
        <v>2072</v>
      </c>
      <c r="B112" s="1" t="s">
        <v>2071</v>
      </c>
      <c r="C112" s="1" t="s">
        <v>40</v>
      </c>
      <c r="D112" s="1" t="s">
        <v>1781</v>
      </c>
    </row>
    <row r="113" spans="1:4">
      <c r="A113" s="1" t="s">
        <v>2074</v>
      </c>
      <c r="B113" s="1" t="s">
        <v>2073</v>
      </c>
      <c r="C113" s="1" t="s">
        <v>40</v>
      </c>
      <c r="D113" s="1" t="s">
        <v>1781</v>
      </c>
    </row>
    <row r="114" spans="1:4">
      <c r="A114" s="1" t="s">
        <v>2076</v>
      </c>
      <c r="B114" s="1" t="s">
        <v>2075</v>
      </c>
      <c r="C114" s="1" t="s">
        <v>40</v>
      </c>
      <c r="D114" s="1" t="s">
        <v>1781</v>
      </c>
    </row>
    <row r="115" spans="1:4">
      <c r="A115" s="1" t="s">
        <v>2078</v>
      </c>
      <c r="B115" s="1" t="s">
        <v>2077</v>
      </c>
      <c r="C115" s="1" t="s">
        <v>40</v>
      </c>
      <c r="D115" s="1" t="s">
        <v>1781</v>
      </c>
    </row>
    <row r="116" spans="1:4">
      <c r="A116" s="1" t="s">
        <v>2080</v>
      </c>
      <c r="B116" s="1" t="s">
        <v>2079</v>
      </c>
      <c r="C116" s="1" t="s">
        <v>40</v>
      </c>
      <c r="D116" s="1" t="s">
        <v>1781</v>
      </c>
    </row>
    <row r="117" spans="1:4">
      <c r="A117" s="1" t="s">
        <v>2082</v>
      </c>
      <c r="B117" s="1" t="s">
        <v>2081</v>
      </c>
      <c r="C117" s="1" t="s">
        <v>40</v>
      </c>
      <c r="D117" s="1" t="s">
        <v>1781</v>
      </c>
    </row>
    <row r="118" spans="1:4">
      <c r="A118" s="1" t="s">
        <v>2084</v>
      </c>
      <c r="B118" s="1" t="s">
        <v>2083</v>
      </c>
      <c r="C118" s="1" t="s">
        <v>40</v>
      </c>
      <c r="D118" s="1" t="s">
        <v>1781</v>
      </c>
    </row>
    <row r="119" spans="1:4">
      <c r="A119" s="1" t="s">
        <v>2086</v>
      </c>
      <c r="B119" s="1" t="s">
        <v>2085</v>
      </c>
      <c r="C119" s="1" t="s">
        <v>40</v>
      </c>
      <c r="D119" s="1" t="s">
        <v>1781</v>
      </c>
    </row>
    <row r="120" spans="1:4">
      <c r="A120" s="1" t="s">
        <v>2088</v>
      </c>
      <c r="B120" s="1" t="s">
        <v>2087</v>
      </c>
      <c r="C120" s="1" t="s">
        <v>40</v>
      </c>
      <c r="D120" s="1" t="s">
        <v>1781</v>
      </c>
    </row>
    <row r="121" spans="1:4">
      <c r="A121" s="1" t="s">
        <v>1395</v>
      </c>
      <c r="B121" s="1" t="s">
        <v>2089</v>
      </c>
      <c r="C121" s="1" t="s">
        <v>40</v>
      </c>
      <c r="D121" s="1" t="s">
        <v>1781</v>
      </c>
    </row>
    <row r="122" spans="1:4">
      <c r="A122" s="1" t="s">
        <v>2091</v>
      </c>
      <c r="B122" s="1" t="s">
        <v>2090</v>
      </c>
      <c r="C122" s="1" t="s">
        <v>40</v>
      </c>
      <c r="D122" s="1" t="s">
        <v>1781</v>
      </c>
    </row>
    <row r="123" spans="1:4">
      <c r="A123" s="1" t="s">
        <v>2093</v>
      </c>
      <c r="B123" s="1" t="s">
        <v>2092</v>
      </c>
      <c r="C123" s="1" t="s">
        <v>40</v>
      </c>
      <c r="D123" s="1" t="s">
        <v>1781</v>
      </c>
    </row>
    <row r="124" spans="1:4">
      <c r="A124" s="1" t="s">
        <v>2095</v>
      </c>
      <c r="B124" s="1" t="s">
        <v>2094</v>
      </c>
      <c r="C124" s="1" t="s">
        <v>40</v>
      </c>
      <c r="D124" s="1" t="s">
        <v>1781</v>
      </c>
    </row>
    <row r="125" spans="1:4">
      <c r="A125" s="1" t="s">
        <v>763</v>
      </c>
      <c r="B125" s="1" t="s">
        <v>2096</v>
      </c>
      <c r="C125" s="1" t="s">
        <v>40</v>
      </c>
      <c r="D125" s="1" t="s">
        <v>1781</v>
      </c>
    </row>
    <row r="126" spans="1:4">
      <c r="A126" s="1" t="s">
        <v>2098</v>
      </c>
      <c r="B126" s="1" t="s">
        <v>2097</v>
      </c>
      <c r="C126" s="1" t="s">
        <v>40</v>
      </c>
      <c r="D126" s="1" t="s">
        <v>1781</v>
      </c>
    </row>
    <row r="127" spans="1:4">
      <c r="A127" s="1" t="s">
        <v>2100</v>
      </c>
      <c r="B127" s="1" t="s">
        <v>2099</v>
      </c>
      <c r="C127" s="1" t="s">
        <v>40</v>
      </c>
      <c r="D127" s="1" t="s">
        <v>1781</v>
      </c>
    </row>
    <row r="128" spans="1:4">
      <c r="A128" s="1" t="s">
        <v>2102</v>
      </c>
      <c r="B128" s="1" t="s">
        <v>2101</v>
      </c>
      <c r="C128" s="1" t="s">
        <v>40</v>
      </c>
      <c r="D128" s="1" t="s">
        <v>1781</v>
      </c>
    </row>
    <row r="129" spans="1:4">
      <c r="A129" s="1" t="s">
        <v>2104</v>
      </c>
      <c r="B129" s="1" t="s">
        <v>2103</v>
      </c>
      <c r="C129" s="1" t="s">
        <v>40</v>
      </c>
      <c r="D129" s="1" t="s">
        <v>1781</v>
      </c>
    </row>
    <row r="130" spans="1:4">
      <c r="A130" s="1" t="s">
        <v>2106</v>
      </c>
      <c r="B130" s="1" t="s">
        <v>2105</v>
      </c>
      <c r="C130" s="1" t="s">
        <v>40</v>
      </c>
      <c r="D130" s="1" t="s">
        <v>1781</v>
      </c>
    </row>
    <row r="131" spans="1:4">
      <c r="A131" s="1" t="s">
        <v>2108</v>
      </c>
      <c r="B131" s="1" t="s">
        <v>2107</v>
      </c>
      <c r="C131" s="1" t="s">
        <v>40</v>
      </c>
      <c r="D131" s="1" t="s">
        <v>1781</v>
      </c>
    </row>
    <row r="132" spans="1:4">
      <c r="A132" s="1" t="s">
        <v>2110</v>
      </c>
      <c r="B132" s="1" t="s">
        <v>2109</v>
      </c>
      <c r="C132" s="1" t="s">
        <v>40</v>
      </c>
      <c r="D132" s="1" t="s">
        <v>1781</v>
      </c>
    </row>
    <row r="133" spans="1:4">
      <c r="A133" s="1" t="s">
        <v>2112</v>
      </c>
      <c r="B133" s="1" t="s">
        <v>2111</v>
      </c>
      <c r="C133" s="1" t="s">
        <v>40</v>
      </c>
      <c r="D133" s="1" t="s">
        <v>1781</v>
      </c>
    </row>
    <row r="134" spans="1:4">
      <c r="A134" s="1" t="s">
        <v>2114</v>
      </c>
      <c r="B134" s="1" t="s">
        <v>2113</v>
      </c>
      <c r="C134" s="1" t="s">
        <v>40</v>
      </c>
      <c r="D134" s="1" t="s">
        <v>1781</v>
      </c>
    </row>
    <row r="135" spans="1:4">
      <c r="A135" s="1" t="s">
        <v>2116</v>
      </c>
      <c r="B135" s="1" t="s">
        <v>2115</v>
      </c>
      <c r="C135" s="1" t="s">
        <v>40</v>
      </c>
      <c r="D135" s="1" t="s">
        <v>1781</v>
      </c>
    </row>
    <row r="136" spans="1:4">
      <c r="A136" s="1" t="s">
        <v>2118</v>
      </c>
      <c r="B136" s="1" t="s">
        <v>2117</v>
      </c>
      <c r="C136" s="1" t="s">
        <v>40</v>
      </c>
      <c r="D136" s="1" t="s">
        <v>1781</v>
      </c>
    </row>
    <row r="137" spans="1:4">
      <c r="A137" s="1" t="s">
        <v>2120</v>
      </c>
      <c r="B137" s="1" t="s">
        <v>2119</v>
      </c>
      <c r="C137" s="1" t="s">
        <v>40</v>
      </c>
      <c r="D137" s="1" t="s">
        <v>1781</v>
      </c>
    </row>
    <row r="138" spans="1:4">
      <c r="A138" s="1" t="s">
        <v>2122</v>
      </c>
      <c r="B138" s="1" t="s">
        <v>2121</v>
      </c>
      <c r="C138" s="1" t="s">
        <v>40</v>
      </c>
      <c r="D138" s="1" t="s">
        <v>1781</v>
      </c>
    </row>
    <row r="139" spans="1:4">
      <c r="A139" s="1" t="s">
        <v>2124</v>
      </c>
      <c r="B139" s="1" t="s">
        <v>2123</v>
      </c>
      <c r="C139" s="1" t="s">
        <v>40</v>
      </c>
      <c r="D139" s="1" t="s">
        <v>1781</v>
      </c>
    </row>
    <row r="140" spans="1:4">
      <c r="A140" s="1" t="s">
        <v>2126</v>
      </c>
      <c r="B140" s="1" t="s">
        <v>2125</v>
      </c>
      <c r="C140" s="1" t="s">
        <v>40</v>
      </c>
      <c r="D140" s="1" t="s">
        <v>1781</v>
      </c>
    </row>
    <row r="141" spans="1:4">
      <c r="A141" s="1" t="s">
        <v>2128</v>
      </c>
      <c r="B141" s="1" t="s">
        <v>2127</v>
      </c>
      <c r="C141" s="1" t="s">
        <v>40</v>
      </c>
      <c r="D141" s="1" t="s">
        <v>1781</v>
      </c>
    </row>
    <row r="142" spans="1:4">
      <c r="A142" s="1" t="s">
        <v>2130</v>
      </c>
      <c r="B142" s="1" t="s">
        <v>2129</v>
      </c>
      <c r="C142" s="1" t="s">
        <v>40</v>
      </c>
      <c r="D142" s="1" t="s">
        <v>1781</v>
      </c>
    </row>
    <row r="143" spans="1:4">
      <c r="A143" s="1" t="s">
        <v>2132</v>
      </c>
      <c r="B143" s="1" t="s">
        <v>2131</v>
      </c>
      <c r="C143" s="1" t="s">
        <v>40</v>
      </c>
      <c r="D143" s="1" t="s">
        <v>1781</v>
      </c>
    </row>
    <row r="144" spans="1:4">
      <c r="A144" s="1" t="s">
        <v>2134</v>
      </c>
      <c r="B144" s="1" t="s">
        <v>2133</v>
      </c>
      <c r="C144" s="1" t="s">
        <v>40</v>
      </c>
      <c r="D144" s="1" t="s">
        <v>1781</v>
      </c>
    </row>
    <row r="145" spans="1:4">
      <c r="A145" s="1" t="s">
        <v>2136</v>
      </c>
      <c r="B145" s="1" t="s">
        <v>2135</v>
      </c>
      <c r="C145" s="1" t="s">
        <v>40</v>
      </c>
      <c r="D145" s="1" t="s">
        <v>1781</v>
      </c>
    </row>
    <row r="146" spans="1:4">
      <c r="A146" s="1" t="s">
        <v>2138</v>
      </c>
      <c r="B146" s="1" t="s">
        <v>2137</v>
      </c>
      <c r="C146" s="1" t="s">
        <v>40</v>
      </c>
      <c r="D146" s="1" t="s">
        <v>1781</v>
      </c>
    </row>
    <row r="147" spans="1:4">
      <c r="A147" s="1" t="s">
        <v>2140</v>
      </c>
      <c r="B147" s="1" t="s">
        <v>2139</v>
      </c>
      <c r="C147" s="1" t="s">
        <v>40</v>
      </c>
      <c r="D147" s="1" t="s">
        <v>1781</v>
      </c>
    </row>
    <row r="148" spans="1:4">
      <c r="A148" s="1" t="s">
        <v>2142</v>
      </c>
      <c r="B148" s="1" t="s">
        <v>2141</v>
      </c>
      <c r="C148" s="1" t="s">
        <v>40</v>
      </c>
      <c r="D148" s="1" t="s">
        <v>1781</v>
      </c>
    </row>
    <row r="149" spans="1:4">
      <c r="A149" s="1" t="s">
        <v>2144</v>
      </c>
      <c r="B149" s="1" t="s">
        <v>2143</v>
      </c>
      <c r="C149" s="1" t="s">
        <v>40</v>
      </c>
      <c r="D149" s="1" t="s">
        <v>1781</v>
      </c>
    </row>
    <row r="150" spans="1:4">
      <c r="A150" s="1" t="s">
        <v>2146</v>
      </c>
      <c r="B150" s="1" t="s">
        <v>2145</v>
      </c>
      <c r="C150" s="1" t="s">
        <v>40</v>
      </c>
      <c r="D150" s="1" t="s">
        <v>1781</v>
      </c>
    </row>
    <row r="151" spans="1:4">
      <c r="A151" s="1" t="s">
        <v>2148</v>
      </c>
      <c r="B151" s="1" t="s">
        <v>2147</v>
      </c>
      <c r="C151" s="1" t="s">
        <v>40</v>
      </c>
      <c r="D151" s="1" t="s">
        <v>1781</v>
      </c>
    </row>
    <row r="152" spans="1:4">
      <c r="A152" s="1" t="s">
        <v>2150</v>
      </c>
      <c r="B152" s="1" t="s">
        <v>2149</v>
      </c>
      <c r="C152" s="1" t="s">
        <v>40</v>
      </c>
      <c r="D152" s="1" t="s">
        <v>1781</v>
      </c>
    </row>
    <row r="153" spans="1:4">
      <c r="A153" s="1" t="s">
        <v>2152</v>
      </c>
      <c r="B153" s="1" t="s">
        <v>2151</v>
      </c>
      <c r="C153" s="1" t="s">
        <v>40</v>
      </c>
      <c r="D153" s="1" t="s">
        <v>1781</v>
      </c>
    </row>
    <row r="154" spans="1:4">
      <c r="A154" s="1" t="s">
        <v>2154</v>
      </c>
      <c r="B154" s="1" t="s">
        <v>2153</v>
      </c>
      <c r="C154" s="1" t="s">
        <v>40</v>
      </c>
      <c r="D154" s="1" t="s">
        <v>1781</v>
      </c>
    </row>
    <row r="155" spans="1:4">
      <c r="A155" s="1" t="s">
        <v>1276</v>
      </c>
      <c r="B155" s="1" t="s">
        <v>2155</v>
      </c>
      <c r="C155" s="1" t="s">
        <v>40</v>
      </c>
      <c r="D155" s="1" t="s">
        <v>1781</v>
      </c>
    </row>
    <row r="156" spans="1:4">
      <c r="A156" s="1" t="s">
        <v>2157</v>
      </c>
      <c r="B156" s="1" t="s">
        <v>2156</v>
      </c>
      <c r="C156" s="1" t="s">
        <v>40</v>
      </c>
      <c r="D156" s="1" t="s">
        <v>1781</v>
      </c>
    </row>
    <row r="157" spans="1:4">
      <c r="A157" s="1" t="s">
        <v>2159</v>
      </c>
      <c r="B157" s="1" t="s">
        <v>2158</v>
      </c>
      <c r="C157" s="1" t="s">
        <v>40</v>
      </c>
      <c r="D157" s="1" t="s">
        <v>1781</v>
      </c>
    </row>
    <row r="158" spans="1:4">
      <c r="A158" s="1" t="s">
        <v>2161</v>
      </c>
      <c r="B158" s="1" t="s">
        <v>2160</v>
      </c>
      <c r="C158" s="1" t="s">
        <v>40</v>
      </c>
      <c r="D158" s="1" t="s">
        <v>1781</v>
      </c>
    </row>
    <row r="159" spans="1:4">
      <c r="A159" s="1" t="s">
        <v>2163</v>
      </c>
      <c r="B159" s="1" t="s">
        <v>2162</v>
      </c>
      <c r="C159" s="1" t="s">
        <v>40</v>
      </c>
      <c r="D159" s="1" t="s">
        <v>1781</v>
      </c>
    </row>
    <row r="160" spans="1:4">
      <c r="A160" s="1" t="s">
        <v>2165</v>
      </c>
      <c r="B160" s="1" t="s">
        <v>2164</v>
      </c>
      <c r="C160" s="1" t="s">
        <v>40</v>
      </c>
      <c r="D160" s="1" t="s">
        <v>1781</v>
      </c>
    </row>
    <row r="161" spans="1:4">
      <c r="A161" s="1" t="s">
        <v>2167</v>
      </c>
      <c r="B161" s="1" t="s">
        <v>2166</v>
      </c>
      <c r="C161" s="1" t="s">
        <v>40</v>
      </c>
      <c r="D161" s="1" t="s">
        <v>1781</v>
      </c>
    </row>
    <row r="162" spans="1:4">
      <c r="A162" s="1" t="s">
        <v>2169</v>
      </c>
      <c r="B162" s="1" t="s">
        <v>2168</v>
      </c>
      <c r="C162" s="1" t="s">
        <v>40</v>
      </c>
      <c r="D162" s="1" t="s">
        <v>1781</v>
      </c>
    </row>
    <row r="163" spans="1:4">
      <c r="A163" s="1" t="s">
        <v>2171</v>
      </c>
      <c r="B163" s="1" t="s">
        <v>2170</v>
      </c>
      <c r="C163" s="1" t="s">
        <v>40</v>
      </c>
      <c r="D163" s="1" t="s">
        <v>1781</v>
      </c>
    </row>
    <row r="164" spans="1:4">
      <c r="A164" s="1" t="s">
        <v>2173</v>
      </c>
      <c r="B164" s="1" t="s">
        <v>2172</v>
      </c>
      <c r="C164" s="1" t="s">
        <v>40</v>
      </c>
      <c r="D164" s="1" t="s">
        <v>1781</v>
      </c>
    </row>
    <row r="165" spans="1:4">
      <c r="A165" s="1" t="s">
        <v>2175</v>
      </c>
      <c r="B165" s="1" t="s">
        <v>2174</v>
      </c>
      <c r="C165" s="1" t="s">
        <v>40</v>
      </c>
      <c r="D165" s="1" t="s">
        <v>1781</v>
      </c>
    </row>
    <row r="166" spans="1:4">
      <c r="A166" s="1" t="s">
        <v>2177</v>
      </c>
      <c r="B166" s="1" t="s">
        <v>2176</v>
      </c>
      <c r="C166" s="1" t="s">
        <v>40</v>
      </c>
      <c r="D166" s="1" t="s">
        <v>1781</v>
      </c>
    </row>
    <row r="167" spans="1:4">
      <c r="A167" s="1" t="s">
        <v>699</v>
      </c>
      <c r="B167" s="1" t="s">
        <v>2178</v>
      </c>
      <c r="C167" s="1" t="s">
        <v>40</v>
      </c>
      <c r="D167" s="1" t="s">
        <v>1781</v>
      </c>
    </row>
    <row r="168" spans="1:4">
      <c r="A168" s="1" t="s">
        <v>2180</v>
      </c>
      <c r="B168" s="1" t="s">
        <v>2179</v>
      </c>
      <c r="C168" s="1" t="s">
        <v>40</v>
      </c>
      <c r="D168" s="1" t="s">
        <v>1781</v>
      </c>
    </row>
    <row r="169" spans="1:4">
      <c r="A169" s="1" t="s">
        <v>2182</v>
      </c>
      <c r="B169" s="1" t="s">
        <v>2181</v>
      </c>
      <c r="C169" s="1" t="s">
        <v>40</v>
      </c>
      <c r="D169" s="1" t="s">
        <v>1781</v>
      </c>
    </row>
    <row r="170" spans="1:4">
      <c r="A170" s="1" t="s">
        <v>2184</v>
      </c>
      <c r="B170" s="1" t="s">
        <v>2183</v>
      </c>
      <c r="C170" s="1" t="s">
        <v>40</v>
      </c>
      <c r="D170" s="1" t="s">
        <v>1781</v>
      </c>
    </row>
    <row r="171" spans="1:4">
      <c r="A171" s="1" t="s">
        <v>769</v>
      </c>
      <c r="B171" s="1" t="s">
        <v>2185</v>
      </c>
      <c r="C171" s="1" t="s">
        <v>40</v>
      </c>
      <c r="D171" s="1" t="s">
        <v>1781</v>
      </c>
    </row>
    <row r="172" spans="1:4">
      <c r="A172" s="1" t="s">
        <v>2187</v>
      </c>
      <c r="B172" s="1" t="s">
        <v>2186</v>
      </c>
      <c r="C172" s="1" t="s">
        <v>40</v>
      </c>
      <c r="D172" s="1" t="s">
        <v>1781</v>
      </c>
    </row>
    <row r="173" spans="1:4">
      <c r="A173" s="1" t="s">
        <v>2189</v>
      </c>
      <c r="B173" s="1" t="s">
        <v>2188</v>
      </c>
      <c r="C173" s="1" t="s">
        <v>40</v>
      </c>
      <c r="D173" s="1" t="s">
        <v>1781</v>
      </c>
    </row>
    <row r="174" spans="1:4">
      <c r="A174" s="1" t="s">
        <v>2191</v>
      </c>
      <c r="B174" s="1" t="s">
        <v>2190</v>
      </c>
      <c r="C174" s="1" t="s">
        <v>40</v>
      </c>
      <c r="D174" s="1" t="s">
        <v>1781</v>
      </c>
    </row>
    <row r="175" spans="1:4">
      <c r="A175" s="1" t="s">
        <v>2193</v>
      </c>
      <c r="B175" s="1" t="s">
        <v>2192</v>
      </c>
      <c r="C175" s="1" t="s">
        <v>40</v>
      </c>
      <c r="D175" s="1" t="s">
        <v>1781</v>
      </c>
    </row>
    <row r="176" spans="1:4">
      <c r="A176" s="1" t="s">
        <v>2195</v>
      </c>
      <c r="B176" s="1" t="s">
        <v>2194</v>
      </c>
      <c r="C176" s="1" t="s">
        <v>40</v>
      </c>
      <c r="D176" s="1" t="s">
        <v>1781</v>
      </c>
    </row>
    <row r="177" spans="1:4">
      <c r="A177" s="1" t="s">
        <v>1411</v>
      </c>
      <c r="B177" s="1" t="s">
        <v>2196</v>
      </c>
      <c r="C177" s="1" t="s">
        <v>40</v>
      </c>
      <c r="D177" s="1" t="s">
        <v>1781</v>
      </c>
    </row>
    <row r="178" spans="1:4">
      <c r="A178" s="1" t="s">
        <v>2198</v>
      </c>
      <c r="B178" s="1" t="s">
        <v>2197</v>
      </c>
      <c r="C178" s="1" t="s">
        <v>40</v>
      </c>
      <c r="D178" s="1" t="s">
        <v>1781</v>
      </c>
    </row>
    <row r="179" spans="1:4">
      <c r="A179" s="1" t="s">
        <v>2200</v>
      </c>
      <c r="B179" s="1" t="s">
        <v>2199</v>
      </c>
      <c r="C179" s="1" t="s">
        <v>40</v>
      </c>
      <c r="D179" s="1" t="s">
        <v>1781</v>
      </c>
    </row>
    <row r="180" spans="1:4">
      <c r="A180" s="1" t="s">
        <v>2202</v>
      </c>
      <c r="B180" s="1" t="s">
        <v>2201</v>
      </c>
      <c r="C180" s="1" t="s">
        <v>40</v>
      </c>
      <c r="D180" s="1" t="s">
        <v>1781</v>
      </c>
    </row>
    <row r="181" spans="1:4">
      <c r="A181" s="1" t="s">
        <v>2204</v>
      </c>
      <c r="B181" s="1" t="s">
        <v>2203</v>
      </c>
      <c r="C181" s="1" t="s">
        <v>40</v>
      </c>
      <c r="D181" s="1" t="s">
        <v>1781</v>
      </c>
    </row>
    <row r="182" spans="1:4">
      <c r="A182" s="1" t="s">
        <v>2206</v>
      </c>
      <c r="B182" s="1" t="s">
        <v>2205</v>
      </c>
      <c r="C182" s="1" t="s">
        <v>40</v>
      </c>
      <c r="D182" s="1" t="s">
        <v>1781</v>
      </c>
    </row>
    <row r="183" spans="1:4">
      <c r="A183" s="1" t="s">
        <v>2208</v>
      </c>
      <c r="B183" s="1" t="s">
        <v>2207</v>
      </c>
      <c r="C183" s="1" t="s">
        <v>40</v>
      </c>
      <c r="D183" s="1" t="s">
        <v>1781</v>
      </c>
    </row>
    <row r="184" spans="1:4">
      <c r="A184" s="1" t="s">
        <v>2210</v>
      </c>
      <c r="B184" s="1" t="s">
        <v>2209</v>
      </c>
      <c r="C184" s="1" t="s">
        <v>40</v>
      </c>
      <c r="D184" s="1" t="s">
        <v>1781</v>
      </c>
    </row>
    <row r="185" spans="1:4">
      <c r="A185" s="1" t="s">
        <v>2212</v>
      </c>
      <c r="B185" s="1" t="s">
        <v>2211</v>
      </c>
      <c r="C185" s="1" t="s">
        <v>40</v>
      </c>
      <c r="D185" s="1" t="s">
        <v>1781</v>
      </c>
    </row>
    <row r="186" spans="1:4">
      <c r="A186" s="1" t="s">
        <v>2214</v>
      </c>
      <c r="B186" s="1" t="s">
        <v>2213</v>
      </c>
      <c r="C186" s="1" t="s">
        <v>40</v>
      </c>
      <c r="D186" s="1" t="s">
        <v>1781</v>
      </c>
    </row>
    <row r="187" spans="1:4">
      <c r="A187" s="1" t="s">
        <v>2216</v>
      </c>
      <c r="B187" s="1" t="s">
        <v>2215</v>
      </c>
      <c r="C187" s="1" t="s">
        <v>40</v>
      </c>
      <c r="D187" s="1" t="s">
        <v>1781</v>
      </c>
    </row>
    <row r="188" spans="1:4">
      <c r="A188" s="1" t="s">
        <v>2218</v>
      </c>
      <c r="B188" s="1" t="s">
        <v>2217</v>
      </c>
      <c r="C188" s="1" t="s">
        <v>40</v>
      </c>
      <c r="D188" s="1" t="s">
        <v>1781</v>
      </c>
    </row>
    <row r="189" spans="1:4">
      <c r="A189" s="1" t="s">
        <v>2220</v>
      </c>
      <c r="B189" s="1" t="s">
        <v>2219</v>
      </c>
      <c r="C189" s="1" t="s">
        <v>40</v>
      </c>
      <c r="D189" s="1" t="s">
        <v>1781</v>
      </c>
    </row>
    <row r="190" spans="1:4">
      <c r="A190" s="1" t="s">
        <v>2222</v>
      </c>
      <c r="B190" s="1" t="s">
        <v>2221</v>
      </c>
      <c r="C190" s="1" t="s">
        <v>40</v>
      </c>
      <c r="D190" s="1" t="s">
        <v>1781</v>
      </c>
    </row>
    <row r="191" spans="1:4">
      <c r="A191" s="1" t="s">
        <v>2224</v>
      </c>
      <c r="B191" s="1" t="s">
        <v>2223</v>
      </c>
      <c r="C191" s="1" t="s">
        <v>40</v>
      </c>
      <c r="D191" s="1" t="s">
        <v>1781</v>
      </c>
    </row>
    <row r="192" spans="1:4">
      <c r="A192" s="1" t="s">
        <v>1399</v>
      </c>
      <c r="B192" s="1" t="s">
        <v>2225</v>
      </c>
      <c r="C192" s="1" t="s">
        <v>40</v>
      </c>
      <c r="D192" s="1" t="s">
        <v>1781</v>
      </c>
    </row>
    <row r="193" spans="1:4">
      <c r="A193" s="1" t="s">
        <v>2227</v>
      </c>
      <c r="B193" s="1" t="s">
        <v>2226</v>
      </c>
      <c r="C193" s="1" t="s">
        <v>40</v>
      </c>
      <c r="D193" s="1" t="s">
        <v>1781</v>
      </c>
    </row>
    <row r="194" spans="1:4">
      <c r="A194" s="1" t="s">
        <v>2229</v>
      </c>
      <c r="B194" s="1" t="s">
        <v>2228</v>
      </c>
      <c r="C194" s="1" t="s">
        <v>40</v>
      </c>
      <c r="D194" s="1" t="s">
        <v>1781</v>
      </c>
    </row>
    <row r="195" spans="1:4">
      <c r="A195" s="1" t="s">
        <v>2231</v>
      </c>
      <c r="B195" s="1" t="s">
        <v>2230</v>
      </c>
      <c r="C195" s="1" t="s">
        <v>40</v>
      </c>
      <c r="D195" s="1" t="s">
        <v>1781</v>
      </c>
    </row>
    <row r="196" spans="1:4">
      <c r="A196" s="1" t="s">
        <v>2233</v>
      </c>
      <c r="B196" s="1" t="s">
        <v>2232</v>
      </c>
      <c r="C196" s="1" t="s">
        <v>40</v>
      </c>
      <c r="D196" s="1" t="s">
        <v>1781</v>
      </c>
    </row>
    <row r="197" spans="1:4">
      <c r="A197" s="1" t="s">
        <v>2235</v>
      </c>
      <c r="B197" s="1" t="s">
        <v>2234</v>
      </c>
      <c r="C197" s="1" t="s">
        <v>40</v>
      </c>
      <c r="D197" s="1" t="s">
        <v>1781</v>
      </c>
    </row>
    <row r="198" spans="1:4">
      <c r="A198" s="1" t="s">
        <v>2237</v>
      </c>
      <c r="B198" s="1" t="s">
        <v>2236</v>
      </c>
      <c r="C198" s="1" t="s">
        <v>40</v>
      </c>
      <c r="D198" s="1" t="s">
        <v>1781</v>
      </c>
    </row>
    <row r="199" spans="1:4">
      <c r="A199" s="1" t="s">
        <v>2239</v>
      </c>
      <c r="B199" s="1" t="s">
        <v>2238</v>
      </c>
      <c r="C199" s="1" t="s">
        <v>40</v>
      </c>
      <c r="D199" s="1" t="s">
        <v>1781</v>
      </c>
    </row>
    <row r="200" spans="1:4">
      <c r="A200" s="1" t="s">
        <v>759</v>
      </c>
      <c r="B200" s="1" t="s">
        <v>2240</v>
      </c>
      <c r="C200" s="1" t="s">
        <v>40</v>
      </c>
      <c r="D200" s="1" t="s">
        <v>1781</v>
      </c>
    </row>
    <row r="201" spans="1:4">
      <c r="A201" s="1" t="s">
        <v>2242</v>
      </c>
      <c r="B201" s="1" t="s">
        <v>2241</v>
      </c>
      <c r="C201" s="1" t="s">
        <v>40</v>
      </c>
      <c r="D201" s="1" t="s">
        <v>1781</v>
      </c>
    </row>
    <row r="202" spans="1:4">
      <c r="A202" s="1" t="s">
        <v>2244</v>
      </c>
      <c r="B202" s="1" t="s">
        <v>2243</v>
      </c>
      <c r="C202" s="1" t="s">
        <v>40</v>
      </c>
      <c r="D202" s="1" t="s">
        <v>1781</v>
      </c>
    </row>
    <row r="203" spans="1:4">
      <c r="A203" s="1" t="s">
        <v>2246</v>
      </c>
      <c r="B203" s="1" t="s">
        <v>2245</v>
      </c>
      <c r="C203" s="1" t="s">
        <v>40</v>
      </c>
      <c r="D203" s="1" t="s">
        <v>1781</v>
      </c>
    </row>
    <row r="204" spans="1:4">
      <c r="A204" s="1" t="s">
        <v>2248</v>
      </c>
      <c r="B204" s="1" t="s">
        <v>2247</v>
      </c>
      <c r="C204" s="1" t="s">
        <v>40</v>
      </c>
      <c r="D204" s="1" t="s">
        <v>1781</v>
      </c>
    </row>
    <row r="205" spans="1:4">
      <c r="A205" s="1" t="s">
        <v>2250</v>
      </c>
      <c r="B205" s="1" t="s">
        <v>2249</v>
      </c>
      <c r="C205" s="1" t="s">
        <v>40</v>
      </c>
      <c r="D205" s="1" t="s">
        <v>1781</v>
      </c>
    </row>
    <row r="206" spans="1:4">
      <c r="A206" s="1" t="s">
        <v>2252</v>
      </c>
      <c r="B206" s="1" t="s">
        <v>2251</v>
      </c>
      <c r="C206" s="1" t="s">
        <v>40</v>
      </c>
      <c r="D206" s="1" t="s">
        <v>1781</v>
      </c>
    </row>
    <row r="207" spans="1:4">
      <c r="A207" s="1" t="s">
        <v>2254</v>
      </c>
      <c r="B207" s="1" t="s">
        <v>2253</v>
      </c>
      <c r="C207" s="1" t="s">
        <v>40</v>
      </c>
      <c r="D207" s="1" t="s">
        <v>1781</v>
      </c>
    </row>
    <row r="208" spans="1:4">
      <c r="A208" s="1" t="s">
        <v>2256</v>
      </c>
      <c r="B208" s="1" t="s">
        <v>2255</v>
      </c>
      <c r="C208" s="1" t="s">
        <v>40</v>
      </c>
      <c r="D208" s="1" t="s">
        <v>1781</v>
      </c>
    </row>
    <row r="209" spans="1:4">
      <c r="A209" s="1" t="s">
        <v>2258</v>
      </c>
      <c r="B209" s="1" t="s">
        <v>2257</v>
      </c>
      <c r="C209" s="1" t="s">
        <v>40</v>
      </c>
      <c r="D209" s="1" t="s">
        <v>1781</v>
      </c>
    </row>
    <row r="210" spans="1:4">
      <c r="A210" s="1" t="s">
        <v>2260</v>
      </c>
      <c r="B210" s="1" t="s">
        <v>2259</v>
      </c>
      <c r="C210" s="1" t="s">
        <v>40</v>
      </c>
      <c r="D210" s="1" t="s">
        <v>1781</v>
      </c>
    </row>
    <row r="211" spans="1:4">
      <c r="A211" s="1" t="s">
        <v>788</v>
      </c>
      <c r="B211" s="1" t="s">
        <v>2261</v>
      </c>
      <c r="C211" s="1" t="s">
        <v>40</v>
      </c>
      <c r="D211" s="1" t="s">
        <v>1781</v>
      </c>
    </row>
    <row r="212" spans="1:4">
      <c r="A212" s="1" t="s">
        <v>2263</v>
      </c>
      <c r="B212" s="1" t="s">
        <v>2262</v>
      </c>
      <c r="C212" s="1" t="s">
        <v>40</v>
      </c>
      <c r="D212" s="1" t="s">
        <v>1781</v>
      </c>
    </row>
    <row r="213" spans="1:4">
      <c r="A213" s="1" t="s">
        <v>2265</v>
      </c>
      <c r="B213" s="1" t="s">
        <v>2264</v>
      </c>
      <c r="C213" s="1" t="s">
        <v>40</v>
      </c>
      <c r="D213" s="1" t="s">
        <v>1781</v>
      </c>
    </row>
    <row r="214" spans="1:4">
      <c r="A214" s="1" t="s">
        <v>2267</v>
      </c>
      <c r="B214" s="1" t="s">
        <v>2266</v>
      </c>
      <c r="C214" s="1" t="s">
        <v>40</v>
      </c>
      <c r="D214" s="1" t="s">
        <v>1781</v>
      </c>
    </row>
    <row r="215" spans="1:4">
      <c r="A215" s="1" t="s">
        <v>2269</v>
      </c>
      <c r="B215" s="1" t="s">
        <v>2268</v>
      </c>
      <c r="C215" s="1" t="s">
        <v>40</v>
      </c>
      <c r="D215" s="1" t="s">
        <v>1781</v>
      </c>
    </row>
    <row r="216" spans="1:4">
      <c r="A216" s="1" t="s">
        <v>2271</v>
      </c>
      <c r="B216" s="1" t="s">
        <v>2270</v>
      </c>
      <c r="C216" s="1" t="s">
        <v>40</v>
      </c>
      <c r="D216" s="1" t="s">
        <v>1781</v>
      </c>
    </row>
    <row r="217" spans="1:4">
      <c r="A217" s="1" t="s">
        <v>1004</v>
      </c>
      <c r="B217" s="1" t="s">
        <v>2272</v>
      </c>
      <c r="C217" s="1" t="s">
        <v>40</v>
      </c>
      <c r="D217" s="1" t="s">
        <v>1781</v>
      </c>
    </row>
    <row r="218" spans="1:4">
      <c r="A218" s="1" t="s">
        <v>2274</v>
      </c>
      <c r="B218" s="1" t="s">
        <v>2273</v>
      </c>
      <c r="C218" s="1" t="s">
        <v>40</v>
      </c>
      <c r="D218" s="1" t="s">
        <v>1781</v>
      </c>
    </row>
    <row r="219" spans="1:4">
      <c r="A219" s="1" t="s">
        <v>2276</v>
      </c>
      <c r="B219" s="1" t="s">
        <v>2275</v>
      </c>
      <c r="C219" s="1" t="s">
        <v>40</v>
      </c>
      <c r="D219" s="1" t="s">
        <v>1781</v>
      </c>
    </row>
    <row r="220" spans="1:4">
      <c r="A220" s="1" t="s">
        <v>2278</v>
      </c>
      <c r="B220" s="1" t="s">
        <v>2277</v>
      </c>
      <c r="C220" s="1" t="s">
        <v>40</v>
      </c>
      <c r="D220" s="1" t="s">
        <v>1781</v>
      </c>
    </row>
    <row r="221" spans="1:4">
      <c r="A221" s="1" t="s">
        <v>2280</v>
      </c>
      <c r="B221" s="1" t="s">
        <v>2279</v>
      </c>
      <c r="C221" s="1" t="s">
        <v>40</v>
      </c>
      <c r="D221" s="1" t="s">
        <v>1781</v>
      </c>
    </row>
    <row r="222" spans="1:4">
      <c r="A222" s="1" t="s">
        <v>2282</v>
      </c>
      <c r="B222" s="1" t="s">
        <v>2281</v>
      </c>
      <c r="C222" s="1" t="s">
        <v>40</v>
      </c>
      <c r="D222" s="1" t="s">
        <v>1781</v>
      </c>
    </row>
    <row r="223" spans="1:4">
      <c r="A223" s="1" t="s">
        <v>2284</v>
      </c>
      <c r="B223" s="1" t="s">
        <v>2283</v>
      </c>
      <c r="C223" s="1" t="s">
        <v>40</v>
      </c>
      <c r="D223" s="1" t="s">
        <v>1781</v>
      </c>
    </row>
    <row r="224" spans="1:4">
      <c r="A224" s="1" t="s">
        <v>2286</v>
      </c>
      <c r="B224" s="1" t="s">
        <v>2285</v>
      </c>
      <c r="C224" s="1" t="s">
        <v>40</v>
      </c>
      <c r="D224" s="1" t="s">
        <v>1781</v>
      </c>
    </row>
    <row r="225" spans="1:4">
      <c r="A225" s="1" t="s">
        <v>2288</v>
      </c>
      <c r="B225" s="1" t="s">
        <v>2287</v>
      </c>
      <c r="C225" s="1" t="s">
        <v>40</v>
      </c>
      <c r="D225" s="1" t="s">
        <v>1781</v>
      </c>
    </row>
    <row r="226" spans="1:4">
      <c r="A226" s="1" t="s">
        <v>2290</v>
      </c>
      <c r="B226" s="1" t="s">
        <v>2289</v>
      </c>
      <c r="C226" s="1" t="s">
        <v>40</v>
      </c>
      <c r="D226" s="1" t="s">
        <v>1781</v>
      </c>
    </row>
    <row r="227" spans="1:4">
      <c r="A227" s="1" t="s">
        <v>2292</v>
      </c>
      <c r="B227" s="1" t="s">
        <v>2291</v>
      </c>
      <c r="C227" s="1" t="s">
        <v>40</v>
      </c>
      <c r="D227" s="1" t="s">
        <v>1781</v>
      </c>
    </row>
    <row r="228" spans="1:4">
      <c r="A228" s="1" t="s">
        <v>2294</v>
      </c>
      <c r="B228" s="1" t="s">
        <v>2293</v>
      </c>
      <c r="C228" s="1" t="s">
        <v>40</v>
      </c>
      <c r="D228" s="1" t="s">
        <v>1781</v>
      </c>
    </row>
    <row r="229" spans="1:4">
      <c r="A229" s="1" t="s">
        <v>2296</v>
      </c>
      <c r="B229" s="1" t="s">
        <v>2295</v>
      </c>
      <c r="C229" s="1" t="s">
        <v>40</v>
      </c>
      <c r="D229" s="1" t="s">
        <v>1781</v>
      </c>
    </row>
    <row r="230" spans="1:4">
      <c r="A230" s="1" t="s">
        <v>2298</v>
      </c>
      <c r="B230" s="1" t="s">
        <v>2297</v>
      </c>
      <c r="C230" s="1" t="s">
        <v>40</v>
      </c>
      <c r="D230" s="1" t="s">
        <v>1781</v>
      </c>
    </row>
    <row r="231" spans="1:4">
      <c r="A231" s="1" t="s">
        <v>2300</v>
      </c>
      <c r="B231" s="1" t="s">
        <v>2299</v>
      </c>
      <c r="C231" s="1" t="s">
        <v>40</v>
      </c>
      <c r="D231" s="1" t="s">
        <v>1781</v>
      </c>
    </row>
    <row r="232" spans="1:4">
      <c r="A232" s="1" t="s">
        <v>2302</v>
      </c>
      <c r="B232" s="1" t="s">
        <v>2301</v>
      </c>
      <c r="C232" s="1" t="s">
        <v>40</v>
      </c>
      <c r="D232" s="1" t="s">
        <v>1781</v>
      </c>
    </row>
    <row r="233" spans="1:4">
      <c r="A233" s="1" t="s">
        <v>2304</v>
      </c>
      <c r="B233" s="1" t="s">
        <v>2303</v>
      </c>
      <c r="C233" s="1" t="s">
        <v>40</v>
      </c>
      <c r="D233" s="1" t="s">
        <v>1781</v>
      </c>
    </row>
    <row r="234" spans="1:4">
      <c r="A234" s="1" t="s">
        <v>2306</v>
      </c>
      <c r="B234" s="1" t="s">
        <v>2305</v>
      </c>
      <c r="C234" s="1" t="s">
        <v>40</v>
      </c>
      <c r="D234" s="1" t="s">
        <v>1781</v>
      </c>
    </row>
    <row r="235" spans="1:4">
      <c r="A235" s="1" t="s">
        <v>2308</v>
      </c>
      <c r="B235" s="1" t="s">
        <v>2307</v>
      </c>
      <c r="C235" s="1" t="s">
        <v>40</v>
      </c>
      <c r="D235" s="1" t="s">
        <v>1781</v>
      </c>
    </row>
    <row r="236" spans="1:4">
      <c r="A236" s="1" t="s">
        <v>2310</v>
      </c>
      <c r="B236" s="1" t="s">
        <v>2309</v>
      </c>
      <c r="C236" s="1" t="s">
        <v>40</v>
      </c>
      <c r="D236" s="1" t="s">
        <v>1781</v>
      </c>
    </row>
    <row r="237" spans="1:4">
      <c r="A237" s="1" t="s">
        <v>2312</v>
      </c>
      <c r="B237" s="1" t="s">
        <v>2311</v>
      </c>
      <c r="C237" s="1" t="s">
        <v>40</v>
      </c>
      <c r="D237" s="1" t="s">
        <v>1781</v>
      </c>
    </row>
    <row r="238" spans="1:4">
      <c r="A238" s="1" t="s">
        <v>2314</v>
      </c>
      <c r="B238" s="1" t="s">
        <v>2313</v>
      </c>
      <c r="C238" s="1" t="s">
        <v>40</v>
      </c>
      <c r="D238" s="1" t="s">
        <v>1781</v>
      </c>
    </row>
    <row r="239" spans="1:4">
      <c r="A239" s="1" t="s">
        <v>2316</v>
      </c>
      <c r="B239" s="1" t="s">
        <v>2315</v>
      </c>
      <c r="C239" s="1" t="s">
        <v>40</v>
      </c>
      <c r="D239" s="1" t="s">
        <v>1781</v>
      </c>
    </row>
    <row r="240" spans="1:4">
      <c r="A240" s="1" t="s">
        <v>2318</v>
      </c>
      <c r="B240" s="1" t="s">
        <v>2317</v>
      </c>
      <c r="C240" s="1" t="s">
        <v>40</v>
      </c>
      <c r="D240" s="1" t="s">
        <v>1781</v>
      </c>
    </row>
    <row r="241" spans="1:4">
      <c r="A241" s="1" t="s">
        <v>2320</v>
      </c>
      <c r="B241" s="1" t="s">
        <v>2319</v>
      </c>
      <c r="C241" s="1" t="s">
        <v>40</v>
      </c>
      <c r="D241" s="1" t="s">
        <v>1781</v>
      </c>
    </row>
    <row r="242" spans="1:4">
      <c r="A242" s="1" t="s">
        <v>2322</v>
      </c>
      <c r="B242" s="1" t="s">
        <v>2321</v>
      </c>
      <c r="C242" s="1" t="s">
        <v>40</v>
      </c>
      <c r="D242" s="1" t="s">
        <v>1781</v>
      </c>
    </row>
    <row r="243" spans="1:4">
      <c r="A243" s="1" t="s">
        <v>2324</v>
      </c>
      <c r="B243" s="1" t="s">
        <v>2323</v>
      </c>
      <c r="C243" s="1" t="s">
        <v>40</v>
      </c>
      <c r="D243" s="1" t="s">
        <v>1781</v>
      </c>
    </row>
    <row r="244" spans="1:4">
      <c r="A244" s="1" t="s">
        <v>2326</v>
      </c>
      <c r="B244" s="1" t="s">
        <v>2325</v>
      </c>
      <c r="C244" s="1" t="s">
        <v>40</v>
      </c>
      <c r="D244" s="1" t="s">
        <v>1781</v>
      </c>
    </row>
    <row r="245" spans="1:4">
      <c r="A245" s="1" t="s">
        <v>2328</v>
      </c>
      <c r="B245" s="1" t="s">
        <v>2327</v>
      </c>
      <c r="C245" s="1" t="s">
        <v>40</v>
      </c>
      <c r="D245" s="1" t="s">
        <v>1781</v>
      </c>
    </row>
    <row r="246" spans="1:4">
      <c r="A246" s="1" t="s">
        <v>2330</v>
      </c>
      <c r="B246" s="1" t="s">
        <v>2329</v>
      </c>
      <c r="C246" s="1" t="s">
        <v>40</v>
      </c>
      <c r="D246" s="1" t="s">
        <v>1781</v>
      </c>
    </row>
    <row r="247" spans="1:4">
      <c r="A247" s="1" t="s">
        <v>2332</v>
      </c>
      <c r="B247" s="1" t="s">
        <v>2331</v>
      </c>
      <c r="C247" s="1" t="s">
        <v>40</v>
      </c>
      <c r="D247" s="1" t="s">
        <v>1781</v>
      </c>
    </row>
    <row r="248" spans="1:4">
      <c r="A248" s="1" t="s">
        <v>2334</v>
      </c>
      <c r="B248" s="1" t="s">
        <v>2333</v>
      </c>
      <c r="C248" s="1" t="s">
        <v>40</v>
      </c>
      <c r="D248" s="1" t="s">
        <v>1781</v>
      </c>
    </row>
    <row r="249" spans="1:4">
      <c r="A249" s="1" t="s">
        <v>1217</v>
      </c>
      <c r="B249" s="1" t="s">
        <v>2335</v>
      </c>
      <c r="C249" s="1" t="s">
        <v>40</v>
      </c>
      <c r="D249" s="1" t="s">
        <v>1781</v>
      </c>
    </row>
    <row r="250" spans="1:4">
      <c r="A250" s="1" t="s">
        <v>2337</v>
      </c>
      <c r="B250" s="1" t="s">
        <v>2336</v>
      </c>
      <c r="C250" s="1" t="s">
        <v>40</v>
      </c>
      <c r="D250" s="1" t="s">
        <v>1781</v>
      </c>
    </row>
    <row r="251" spans="1:4">
      <c r="A251" s="1" t="s">
        <v>2339</v>
      </c>
      <c r="B251" s="1" t="s">
        <v>2338</v>
      </c>
      <c r="C251" s="1" t="s">
        <v>40</v>
      </c>
      <c r="D251" s="1" t="s">
        <v>1781</v>
      </c>
    </row>
    <row r="252" spans="1:4">
      <c r="A252" s="1" t="s">
        <v>2341</v>
      </c>
      <c r="B252" s="1" t="s">
        <v>2340</v>
      </c>
      <c r="C252" s="1" t="s">
        <v>40</v>
      </c>
      <c r="D252" s="1" t="s">
        <v>1781</v>
      </c>
    </row>
    <row r="253" spans="1:4">
      <c r="A253" s="1" t="s">
        <v>2343</v>
      </c>
      <c r="B253" s="1" t="s">
        <v>2342</v>
      </c>
      <c r="C253" s="1" t="s">
        <v>40</v>
      </c>
      <c r="D253" s="1" t="s">
        <v>1781</v>
      </c>
    </row>
    <row r="254" spans="1:4">
      <c r="A254" s="1" t="s">
        <v>2345</v>
      </c>
      <c r="B254" s="1" t="s">
        <v>2344</v>
      </c>
      <c r="C254" s="1" t="s">
        <v>40</v>
      </c>
      <c r="D254" s="1" t="s">
        <v>1781</v>
      </c>
    </row>
    <row r="255" spans="1:4">
      <c r="A255" s="1" t="s">
        <v>2347</v>
      </c>
      <c r="B255" s="1" t="s">
        <v>2346</v>
      </c>
      <c r="C255" s="1" t="s">
        <v>40</v>
      </c>
      <c r="D255" s="1" t="s">
        <v>1781</v>
      </c>
    </row>
    <row r="256" spans="1:4">
      <c r="A256" s="1" t="s">
        <v>2349</v>
      </c>
      <c r="B256" s="1" t="s">
        <v>2348</v>
      </c>
      <c r="C256" s="1" t="s">
        <v>40</v>
      </c>
      <c r="D256" s="1" t="s">
        <v>1781</v>
      </c>
    </row>
    <row r="257" spans="1:4">
      <c r="A257" s="1" t="s">
        <v>2351</v>
      </c>
      <c r="B257" s="1" t="s">
        <v>2350</v>
      </c>
      <c r="C257" s="1" t="s">
        <v>40</v>
      </c>
      <c r="D257" s="1" t="s">
        <v>1781</v>
      </c>
    </row>
    <row r="258" spans="1:4">
      <c r="A258" s="1" t="s">
        <v>773</v>
      </c>
      <c r="B258" s="1" t="s">
        <v>2352</v>
      </c>
      <c r="C258" s="1" t="s">
        <v>40</v>
      </c>
      <c r="D258" s="1" t="s">
        <v>1781</v>
      </c>
    </row>
    <row r="259" spans="1:4">
      <c r="A259" s="1" t="s">
        <v>1572</v>
      </c>
      <c r="B259" s="1" t="s">
        <v>2353</v>
      </c>
      <c r="C259" s="1" t="s">
        <v>40</v>
      </c>
      <c r="D259" s="1" t="s">
        <v>1781</v>
      </c>
    </row>
    <row r="260" spans="1:4">
      <c r="A260" s="1" t="s">
        <v>2355</v>
      </c>
      <c r="B260" s="1" t="s">
        <v>2354</v>
      </c>
      <c r="C260" s="1" t="s">
        <v>40</v>
      </c>
      <c r="D260" s="1" t="s">
        <v>1781</v>
      </c>
    </row>
    <row r="261" spans="1:4">
      <c r="A261" s="1" t="s">
        <v>2357</v>
      </c>
      <c r="B261" s="1" t="s">
        <v>2356</v>
      </c>
      <c r="C261" s="1" t="s">
        <v>40</v>
      </c>
      <c r="D261" s="1" t="s">
        <v>1781</v>
      </c>
    </row>
    <row r="262" spans="1:4">
      <c r="A262" s="1" t="s">
        <v>2359</v>
      </c>
      <c r="B262" s="1" t="s">
        <v>2358</v>
      </c>
      <c r="C262" s="1" t="s">
        <v>40</v>
      </c>
      <c r="D262" s="1" t="s">
        <v>1781</v>
      </c>
    </row>
    <row r="263" spans="1:4">
      <c r="A263" s="1" t="s">
        <v>2361</v>
      </c>
      <c r="B263" s="1" t="s">
        <v>2360</v>
      </c>
      <c r="C263" s="1" t="s">
        <v>40</v>
      </c>
      <c r="D263" s="1" t="s">
        <v>1781</v>
      </c>
    </row>
    <row r="264" spans="1:4">
      <c r="A264" s="1" t="s">
        <v>2363</v>
      </c>
      <c r="B264" s="1" t="s">
        <v>2362</v>
      </c>
      <c r="C264" s="1" t="s">
        <v>40</v>
      </c>
      <c r="D264" s="1" t="s">
        <v>1781</v>
      </c>
    </row>
    <row r="265" spans="1:4">
      <c r="A265" s="1" t="s">
        <v>2365</v>
      </c>
      <c r="B265" s="1" t="s">
        <v>2364</v>
      </c>
      <c r="C265" s="1" t="s">
        <v>40</v>
      </c>
      <c r="D265" s="1" t="s">
        <v>1781</v>
      </c>
    </row>
    <row r="266" spans="1:4">
      <c r="A266" s="1" t="s">
        <v>2367</v>
      </c>
      <c r="B266" s="1" t="s">
        <v>2366</v>
      </c>
      <c r="C266" s="1" t="s">
        <v>40</v>
      </c>
      <c r="D266" s="1" t="s">
        <v>1781</v>
      </c>
    </row>
    <row r="267" spans="1:4">
      <c r="A267" s="1" t="s">
        <v>2369</v>
      </c>
      <c r="B267" s="1" t="s">
        <v>2368</v>
      </c>
      <c r="C267" s="1" t="s">
        <v>40</v>
      </c>
      <c r="D267" s="1" t="s">
        <v>1781</v>
      </c>
    </row>
    <row r="268" spans="1:4">
      <c r="A268" s="1" t="s">
        <v>2371</v>
      </c>
      <c r="B268" s="1" t="s">
        <v>2370</v>
      </c>
      <c r="C268" s="1" t="s">
        <v>40</v>
      </c>
      <c r="D268" s="1" t="s">
        <v>1781</v>
      </c>
    </row>
    <row r="269" spans="1:4">
      <c r="A269" s="1" t="s">
        <v>2373</v>
      </c>
      <c r="B269" s="1" t="s">
        <v>2372</v>
      </c>
      <c r="C269" s="1" t="s">
        <v>40</v>
      </c>
      <c r="D269" s="1" t="s">
        <v>1781</v>
      </c>
    </row>
    <row r="270" spans="1:4">
      <c r="A270" s="1" t="s">
        <v>2375</v>
      </c>
      <c r="B270" s="1" t="s">
        <v>2374</v>
      </c>
      <c r="C270" s="1" t="s">
        <v>40</v>
      </c>
      <c r="D270" s="1" t="s">
        <v>1781</v>
      </c>
    </row>
    <row r="271" spans="1:4">
      <c r="A271" s="1" t="s">
        <v>2377</v>
      </c>
      <c r="B271" s="1" t="s">
        <v>2376</v>
      </c>
      <c r="C271" s="1" t="s">
        <v>40</v>
      </c>
      <c r="D271" s="1" t="s">
        <v>1781</v>
      </c>
    </row>
    <row r="272" spans="1:4">
      <c r="A272" s="1" t="s">
        <v>2379</v>
      </c>
      <c r="B272" s="1" t="s">
        <v>2378</v>
      </c>
      <c r="C272" s="1" t="s">
        <v>40</v>
      </c>
      <c r="D272" s="1" t="s">
        <v>1781</v>
      </c>
    </row>
    <row r="273" spans="1:4">
      <c r="A273" s="1" t="s">
        <v>1093</v>
      </c>
      <c r="B273" s="1" t="s">
        <v>2380</v>
      </c>
      <c r="C273" s="1" t="s">
        <v>40</v>
      </c>
      <c r="D273" s="1" t="s">
        <v>1781</v>
      </c>
    </row>
    <row r="274" spans="1:4">
      <c r="A274" s="1" t="s">
        <v>2382</v>
      </c>
      <c r="B274" s="1" t="s">
        <v>2381</v>
      </c>
      <c r="C274" s="1" t="s">
        <v>40</v>
      </c>
      <c r="D274" s="1" t="s">
        <v>1781</v>
      </c>
    </row>
    <row r="275" spans="1:4">
      <c r="A275" s="1" t="s">
        <v>2384</v>
      </c>
      <c r="B275" s="1" t="s">
        <v>2383</v>
      </c>
      <c r="C275" s="1" t="s">
        <v>40</v>
      </c>
      <c r="D275" s="1" t="s">
        <v>1781</v>
      </c>
    </row>
    <row r="276" spans="1:4">
      <c r="A276" s="1" t="s">
        <v>2386</v>
      </c>
      <c r="B276" s="1" t="s">
        <v>2385</v>
      </c>
      <c r="C276" s="1" t="s">
        <v>40</v>
      </c>
      <c r="D276" s="1" t="s">
        <v>1781</v>
      </c>
    </row>
    <row r="277" spans="1:4">
      <c r="A277" s="1" t="s">
        <v>2388</v>
      </c>
      <c r="B277" s="1" t="s">
        <v>2387</v>
      </c>
      <c r="C277" s="1" t="s">
        <v>40</v>
      </c>
      <c r="D277" s="1" t="s">
        <v>1781</v>
      </c>
    </row>
    <row r="278" spans="1:4">
      <c r="A278" s="1" t="s">
        <v>2390</v>
      </c>
      <c r="B278" s="1" t="s">
        <v>2389</v>
      </c>
      <c r="C278" s="1" t="s">
        <v>40</v>
      </c>
      <c r="D278" s="1" t="s">
        <v>1781</v>
      </c>
    </row>
    <row r="279" spans="1:4">
      <c r="A279" s="1" t="s">
        <v>2392</v>
      </c>
      <c r="B279" s="1" t="s">
        <v>2391</v>
      </c>
      <c r="C279" s="1" t="s">
        <v>40</v>
      </c>
      <c r="D279" s="1" t="s">
        <v>1781</v>
      </c>
    </row>
    <row r="280" spans="1:4">
      <c r="A280" s="1" t="s">
        <v>2394</v>
      </c>
      <c r="B280" s="1" t="s">
        <v>2393</v>
      </c>
      <c r="C280" s="1" t="s">
        <v>40</v>
      </c>
      <c r="D280" s="1" t="s">
        <v>1781</v>
      </c>
    </row>
    <row r="281" spans="1:4">
      <c r="A281" s="1" t="s">
        <v>2396</v>
      </c>
      <c r="B281" s="1" t="s">
        <v>2395</v>
      </c>
      <c r="C281" s="1" t="s">
        <v>40</v>
      </c>
      <c r="D281" s="1" t="s">
        <v>1781</v>
      </c>
    </row>
    <row r="282" spans="1:4">
      <c r="A282" s="1" t="s">
        <v>1099</v>
      </c>
      <c r="B282" s="1" t="s">
        <v>2397</v>
      </c>
      <c r="C282" s="1" t="s">
        <v>40</v>
      </c>
      <c r="D282" s="1" t="s">
        <v>1781</v>
      </c>
    </row>
    <row r="283" spans="1:4">
      <c r="A283" s="1" t="s">
        <v>2399</v>
      </c>
      <c r="B283" s="1" t="s">
        <v>2398</v>
      </c>
      <c r="C283" s="1" t="s">
        <v>40</v>
      </c>
      <c r="D283" s="1" t="s">
        <v>1781</v>
      </c>
    </row>
    <row r="284" spans="1:4">
      <c r="A284" s="1" t="s">
        <v>2401</v>
      </c>
      <c r="B284" s="1" t="s">
        <v>2400</v>
      </c>
      <c r="C284" s="1" t="s">
        <v>40</v>
      </c>
      <c r="D284" s="1" t="s">
        <v>1781</v>
      </c>
    </row>
    <row r="285" spans="1:4">
      <c r="A285" s="1" t="s">
        <v>2403</v>
      </c>
      <c r="B285" s="1" t="s">
        <v>2402</v>
      </c>
      <c r="C285" s="1" t="s">
        <v>40</v>
      </c>
      <c r="D285" s="1" t="s">
        <v>1781</v>
      </c>
    </row>
    <row r="286" spans="1:4">
      <c r="A286" s="1" t="s">
        <v>2405</v>
      </c>
      <c r="B286" s="1" t="s">
        <v>2404</v>
      </c>
      <c r="C286" s="1" t="s">
        <v>40</v>
      </c>
      <c r="D286" s="1" t="s">
        <v>1781</v>
      </c>
    </row>
    <row r="287" spans="1:4">
      <c r="A287" s="1" t="s">
        <v>2407</v>
      </c>
      <c r="B287" s="1" t="s">
        <v>2406</v>
      </c>
      <c r="C287" s="1" t="s">
        <v>40</v>
      </c>
      <c r="D287" s="1" t="s">
        <v>1781</v>
      </c>
    </row>
    <row r="288" spans="1:4">
      <c r="A288" s="1" t="s">
        <v>2409</v>
      </c>
      <c r="B288" s="1" t="s">
        <v>2408</v>
      </c>
      <c r="C288" s="1" t="s">
        <v>40</v>
      </c>
      <c r="D288" s="1" t="s">
        <v>1781</v>
      </c>
    </row>
    <row r="289" spans="1:4">
      <c r="A289" s="1" t="s">
        <v>2411</v>
      </c>
      <c r="B289" s="1" t="s">
        <v>2410</v>
      </c>
      <c r="C289" s="1" t="s">
        <v>40</v>
      </c>
      <c r="D289" s="1" t="s">
        <v>1781</v>
      </c>
    </row>
    <row r="290" spans="1:4">
      <c r="A290" s="1" t="s">
        <v>2413</v>
      </c>
      <c r="B290" s="1" t="s">
        <v>2412</v>
      </c>
      <c r="C290" s="1" t="s">
        <v>40</v>
      </c>
      <c r="D290" s="1" t="s">
        <v>1781</v>
      </c>
    </row>
    <row r="291" spans="1:4">
      <c r="A291" s="1" t="s">
        <v>2415</v>
      </c>
      <c r="B291" s="1" t="s">
        <v>2414</v>
      </c>
      <c r="C291" s="1" t="s">
        <v>40</v>
      </c>
      <c r="D291" s="1" t="s">
        <v>1781</v>
      </c>
    </row>
    <row r="292" spans="1:4">
      <c r="A292" s="1" t="s">
        <v>2417</v>
      </c>
      <c r="B292" s="1" t="s">
        <v>2416</v>
      </c>
      <c r="C292" s="1" t="s">
        <v>40</v>
      </c>
      <c r="D292" s="1" t="s">
        <v>1781</v>
      </c>
    </row>
    <row r="293" spans="1:4">
      <c r="A293" s="1" t="s">
        <v>2419</v>
      </c>
      <c r="B293" s="1" t="s">
        <v>2418</v>
      </c>
      <c r="C293" s="1" t="s">
        <v>40</v>
      </c>
      <c r="D293" s="1" t="s">
        <v>1781</v>
      </c>
    </row>
    <row r="294" spans="1:4">
      <c r="A294" s="1" t="s">
        <v>2421</v>
      </c>
      <c r="B294" s="1" t="s">
        <v>2420</v>
      </c>
      <c r="C294" s="1" t="s">
        <v>40</v>
      </c>
      <c r="D294" s="1" t="s">
        <v>1781</v>
      </c>
    </row>
    <row r="295" spans="1:4">
      <c r="A295" s="1" t="s">
        <v>1348</v>
      </c>
      <c r="B295" s="1" t="s">
        <v>2422</v>
      </c>
      <c r="C295" s="1" t="s">
        <v>40</v>
      </c>
      <c r="D295" s="1" t="s">
        <v>1781</v>
      </c>
    </row>
    <row r="296" spans="1:4">
      <c r="A296" s="1" t="s">
        <v>2424</v>
      </c>
      <c r="B296" s="1" t="s">
        <v>2423</v>
      </c>
      <c r="C296" s="1" t="s">
        <v>40</v>
      </c>
      <c r="D296" s="1" t="s">
        <v>1781</v>
      </c>
    </row>
    <row r="297" spans="1:4">
      <c r="A297" s="1" t="s">
        <v>2426</v>
      </c>
      <c r="B297" s="1" t="s">
        <v>2425</v>
      </c>
      <c r="C297" s="1" t="s">
        <v>40</v>
      </c>
      <c r="D297" s="1" t="s">
        <v>1781</v>
      </c>
    </row>
    <row r="298" spans="1:4">
      <c r="A298" s="1" t="s">
        <v>2428</v>
      </c>
      <c r="B298" s="1" t="s">
        <v>2427</v>
      </c>
      <c r="C298" s="1" t="s">
        <v>40</v>
      </c>
      <c r="D298" s="1" t="s">
        <v>1781</v>
      </c>
    </row>
    <row r="299" spans="1:4">
      <c r="A299" s="1" t="s">
        <v>2430</v>
      </c>
      <c r="B299" s="1" t="s">
        <v>2429</v>
      </c>
      <c r="C299" s="1" t="s">
        <v>40</v>
      </c>
      <c r="D299" s="1" t="s">
        <v>1781</v>
      </c>
    </row>
    <row r="300" spans="1:4">
      <c r="A300" s="1" t="s">
        <v>2432</v>
      </c>
      <c r="B300" s="1" t="s">
        <v>2431</v>
      </c>
      <c r="C300" s="1" t="s">
        <v>40</v>
      </c>
      <c r="D300" s="1" t="s">
        <v>1781</v>
      </c>
    </row>
    <row r="301" spans="1:4">
      <c r="A301" s="1" t="s">
        <v>2434</v>
      </c>
      <c r="B301" s="1" t="s">
        <v>2433</v>
      </c>
      <c r="C301" s="1" t="s">
        <v>40</v>
      </c>
      <c r="D301" s="1" t="s">
        <v>1781</v>
      </c>
    </row>
    <row r="302" spans="1:4">
      <c r="A302" s="1" t="s">
        <v>2436</v>
      </c>
      <c r="B302" s="1" t="s">
        <v>2435</v>
      </c>
      <c r="C302" s="1" t="s">
        <v>40</v>
      </c>
      <c r="D302" s="1" t="s">
        <v>1781</v>
      </c>
    </row>
    <row r="303" spans="1:4">
      <c r="A303" s="1" t="s">
        <v>2438</v>
      </c>
      <c r="B303" s="1" t="s">
        <v>2437</v>
      </c>
      <c r="C303" s="1" t="s">
        <v>40</v>
      </c>
      <c r="D303" s="1" t="s">
        <v>1781</v>
      </c>
    </row>
    <row r="304" spans="1:4">
      <c r="A304" s="1" t="s">
        <v>2440</v>
      </c>
      <c r="B304" s="1" t="s">
        <v>2439</v>
      </c>
      <c r="C304" s="1" t="s">
        <v>40</v>
      </c>
      <c r="D304" s="1" t="s">
        <v>1781</v>
      </c>
    </row>
    <row r="305" spans="1:4">
      <c r="A305" s="1" t="s">
        <v>2442</v>
      </c>
      <c r="B305" s="1" t="s">
        <v>2441</v>
      </c>
      <c r="C305" s="1" t="s">
        <v>40</v>
      </c>
      <c r="D305" s="1" t="s">
        <v>1781</v>
      </c>
    </row>
    <row r="306" spans="1:4">
      <c r="A306" s="1" t="s">
        <v>2444</v>
      </c>
      <c r="B306" s="1" t="s">
        <v>2443</v>
      </c>
      <c r="C306" s="1" t="s">
        <v>40</v>
      </c>
      <c r="D306" s="1" t="s">
        <v>1781</v>
      </c>
    </row>
    <row r="307" spans="1:4">
      <c r="A307" s="1" t="s">
        <v>2446</v>
      </c>
      <c r="B307" s="1" t="s">
        <v>2445</v>
      </c>
      <c r="C307" s="1" t="s">
        <v>40</v>
      </c>
      <c r="D307" s="1" t="s">
        <v>1781</v>
      </c>
    </row>
    <row r="308" spans="1:4">
      <c r="A308" s="1" t="s">
        <v>2448</v>
      </c>
      <c r="B308" s="1" t="s">
        <v>2447</v>
      </c>
      <c r="C308" s="1" t="s">
        <v>40</v>
      </c>
      <c r="D308" s="1" t="s">
        <v>1781</v>
      </c>
    </row>
    <row r="309" spans="1:4">
      <c r="A309" s="1" t="s">
        <v>2450</v>
      </c>
      <c r="B309" s="1" t="s">
        <v>2449</v>
      </c>
      <c r="C309" s="1" t="s">
        <v>40</v>
      </c>
      <c r="D309" s="1" t="s">
        <v>1781</v>
      </c>
    </row>
    <row r="310" spans="1:4">
      <c r="A310" s="1" t="s">
        <v>1259</v>
      </c>
      <c r="B310" s="1" t="s">
        <v>2451</v>
      </c>
      <c r="C310" s="1" t="s">
        <v>40</v>
      </c>
      <c r="D310" s="1" t="s">
        <v>1781</v>
      </c>
    </row>
    <row r="311" spans="1:4">
      <c r="A311" s="1" t="s">
        <v>2453</v>
      </c>
      <c r="B311" s="1" t="s">
        <v>2452</v>
      </c>
      <c r="C311" s="1" t="s">
        <v>40</v>
      </c>
      <c r="D311" s="1" t="s">
        <v>1781</v>
      </c>
    </row>
    <row r="312" spans="1:4">
      <c r="A312" s="1" t="s">
        <v>2455</v>
      </c>
      <c r="B312" s="1" t="s">
        <v>2454</v>
      </c>
      <c r="C312" s="1" t="s">
        <v>40</v>
      </c>
      <c r="D312" s="1" t="s">
        <v>1781</v>
      </c>
    </row>
    <row r="313" spans="1:4">
      <c r="A313" s="1" t="s">
        <v>2457</v>
      </c>
      <c r="B313" s="1" t="s">
        <v>2456</v>
      </c>
      <c r="C313" s="1" t="s">
        <v>40</v>
      </c>
      <c r="D313" s="1" t="s">
        <v>1781</v>
      </c>
    </row>
    <row r="314" spans="1:4">
      <c r="A314" s="1" t="s">
        <v>2459</v>
      </c>
      <c r="B314" s="1" t="s">
        <v>2458</v>
      </c>
      <c r="C314" s="1" t="s">
        <v>40</v>
      </c>
      <c r="D314" s="1" t="s">
        <v>1781</v>
      </c>
    </row>
    <row r="315" spans="1:4">
      <c r="A315" s="1" t="s">
        <v>2461</v>
      </c>
      <c r="B315" s="1" t="s">
        <v>2460</v>
      </c>
      <c r="C315" s="1" t="s">
        <v>40</v>
      </c>
      <c r="D315" s="1" t="s">
        <v>1781</v>
      </c>
    </row>
    <row r="316" spans="1:4">
      <c r="A316" s="1" t="s">
        <v>2463</v>
      </c>
      <c r="B316" s="1" t="s">
        <v>2462</v>
      </c>
      <c r="C316" s="1" t="s">
        <v>40</v>
      </c>
      <c r="D316" s="1" t="s">
        <v>1781</v>
      </c>
    </row>
    <row r="317" spans="1:4">
      <c r="A317" s="1" t="s">
        <v>2465</v>
      </c>
      <c r="B317" s="1" t="s">
        <v>2464</v>
      </c>
      <c r="C317" s="1" t="s">
        <v>40</v>
      </c>
      <c r="D317" s="1" t="s">
        <v>1781</v>
      </c>
    </row>
    <row r="318" spans="1:4">
      <c r="A318" s="1" t="s">
        <v>2467</v>
      </c>
      <c r="B318" s="1" t="s">
        <v>2466</v>
      </c>
      <c r="C318" s="1" t="s">
        <v>40</v>
      </c>
      <c r="D318" s="1" t="s">
        <v>1781</v>
      </c>
    </row>
    <row r="319" spans="1:4">
      <c r="A319" s="1" t="s">
        <v>2469</v>
      </c>
      <c r="B319" s="1" t="s">
        <v>2468</v>
      </c>
      <c r="C319" s="1" t="s">
        <v>40</v>
      </c>
      <c r="D319" s="1" t="s">
        <v>1781</v>
      </c>
    </row>
    <row r="320" spans="1:4">
      <c r="A320" s="1" t="s">
        <v>2471</v>
      </c>
      <c r="B320" s="1" t="s">
        <v>2470</v>
      </c>
      <c r="C320" s="1" t="s">
        <v>40</v>
      </c>
      <c r="D320" s="1" t="s">
        <v>1781</v>
      </c>
    </row>
    <row r="321" spans="1:4">
      <c r="A321" s="1" t="s">
        <v>2473</v>
      </c>
      <c r="B321" s="1" t="s">
        <v>2472</v>
      </c>
      <c r="C321" s="1" t="s">
        <v>40</v>
      </c>
      <c r="D321" s="1" t="s">
        <v>1781</v>
      </c>
    </row>
    <row r="322" spans="1:4">
      <c r="A322" s="1" t="s">
        <v>2475</v>
      </c>
      <c r="B322" s="1" t="s">
        <v>2474</v>
      </c>
      <c r="C322" s="1" t="s">
        <v>40</v>
      </c>
      <c r="D322" s="1" t="s">
        <v>1781</v>
      </c>
    </row>
    <row r="323" spans="1:4">
      <c r="A323" s="1" t="s">
        <v>2477</v>
      </c>
      <c r="B323" s="1" t="s">
        <v>2476</v>
      </c>
      <c r="C323" s="1" t="s">
        <v>40</v>
      </c>
      <c r="D323" s="1" t="s">
        <v>1781</v>
      </c>
    </row>
    <row r="324" spans="1:4">
      <c r="A324" s="1" t="s">
        <v>2479</v>
      </c>
      <c r="B324" s="1" t="s">
        <v>2478</v>
      </c>
      <c r="C324" s="1" t="s">
        <v>40</v>
      </c>
      <c r="D324" s="1" t="s">
        <v>1781</v>
      </c>
    </row>
    <row r="325" spans="1:4">
      <c r="A325" s="1" t="s">
        <v>2481</v>
      </c>
      <c r="B325" s="1" t="s">
        <v>2480</v>
      </c>
      <c r="C325" s="1" t="s">
        <v>40</v>
      </c>
      <c r="D325" s="1" t="s">
        <v>1781</v>
      </c>
    </row>
    <row r="326" spans="1:4">
      <c r="A326" s="1" t="s">
        <v>2483</v>
      </c>
      <c r="B326" s="1" t="s">
        <v>2482</v>
      </c>
      <c r="C326" s="1" t="s">
        <v>40</v>
      </c>
      <c r="D326" s="1" t="s">
        <v>1781</v>
      </c>
    </row>
    <row r="327" spans="1:4">
      <c r="A327" s="1" t="s">
        <v>2485</v>
      </c>
      <c r="B327" s="1" t="s">
        <v>2484</v>
      </c>
      <c r="C327" s="1" t="s">
        <v>40</v>
      </c>
      <c r="D327" s="1" t="s">
        <v>1781</v>
      </c>
    </row>
    <row r="328" spans="1:4">
      <c r="A328" s="1" t="s">
        <v>2487</v>
      </c>
      <c r="B328" s="1" t="s">
        <v>2486</v>
      </c>
      <c r="C328" s="1" t="s">
        <v>40</v>
      </c>
      <c r="D328" s="1" t="s">
        <v>1781</v>
      </c>
    </row>
    <row r="329" spans="1:4">
      <c r="A329" s="1" t="s">
        <v>2489</v>
      </c>
      <c r="B329" s="1" t="s">
        <v>2488</v>
      </c>
      <c r="C329" s="1" t="s">
        <v>40</v>
      </c>
      <c r="D329" s="1" t="s">
        <v>1781</v>
      </c>
    </row>
    <row r="330" spans="1:4">
      <c r="A330" s="1" t="s">
        <v>2491</v>
      </c>
      <c r="B330" s="1" t="s">
        <v>2490</v>
      </c>
      <c r="C330" s="1" t="s">
        <v>40</v>
      </c>
      <c r="D330" s="1" t="s">
        <v>1781</v>
      </c>
    </row>
    <row r="331" spans="1:4">
      <c r="A331" s="1" t="s">
        <v>2493</v>
      </c>
      <c r="B331" s="1" t="s">
        <v>2492</v>
      </c>
      <c r="C331" s="1" t="s">
        <v>40</v>
      </c>
      <c r="D331" s="1" t="s">
        <v>1781</v>
      </c>
    </row>
    <row r="332" spans="1:4">
      <c r="A332" s="1" t="s">
        <v>2495</v>
      </c>
      <c r="B332" s="1" t="s">
        <v>2494</v>
      </c>
      <c r="C332" s="1" t="s">
        <v>40</v>
      </c>
      <c r="D332" s="1" t="s">
        <v>1781</v>
      </c>
    </row>
    <row r="333" spans="1:4">
      <c r="A333" s="1" t="s">
        <v>2497</v>
      </c>
      <c r="B333" s="1" t="s">
        <v>2496</v>
      </c>
      <c r="C333" s="1" t="s">
        <v>40</v>
      </c>
      <c r="D333" s="1" t="s">
        <v>1781</v>
      </c>
    </row>
    <row r="334" spans="1:4">
      <c r="A334" s="1" t="s">
        <v>2499</v>
      </c>
      <c r="B334" s="1" t="s">
        <v>2498</v>
      </c>
      <c r="C334" s="1" t="s">
        <v>40</v>
      </c>
      <c r="D334" s="1" t="s">
        <v>1781</v>
      </c>
    </row>
    <row r="335" spans="1:4">
      <c r="A335" s="1" t="s">
        <v>2501</v>
      </c>
      <c r="B335" s="1" t="s">
        <v>2500</v>
      </c>
      <c r="C335" s="1" t="s">
        <v>40</v>
      </c>
      <c r="D335" s="1" t="s">
        <v>1781</v>
      </c>
    </row>
    <row r="336" spans="1:4">
      <c r="A336" s="1" t="s">
        <v>2503</v>
      </c>
      <c r="B336" s="1" t="s">
        <v>2502</v>
      </c>
      <c r="C336" s="1" t="s">
        <v>40</v>
      </c>
      <c r="D336" s="1" t="s">
        <v>1781</v>
      </c>
    </row>
    <row r="337" spans="1:4">
      <c r="A337" s="1" t="s">
        <v>2505</v>
      </c>
      <c r="B337" s="1" t="s">
        <v>2504</v>
      </c>
      <c r="C337" s="1" t="s">
        <v>40</v>
      </c>
      <c r="D337" s="1" t="s">
        <v>1781</v>
      </c>
    </row>
    <row r="338" spans="1:4">
      <c r="A338" s="1" t="s">
        <v>2507</v>
      </c>
      <c r="B338" s="1" t="s">
        <v>2506</v>
      </c>
      <c r="C338" s="1" t="s">
        <v>40</v>
      </c>
      <c r="D338" s="1" t="s">
        <v>1781</v>
      </c>
    </row>
    <row r="339" spans="1:4">
      <c r="A339" s="1" t="s">
        <v>2509</v>
      </c>
      <c r="B339" s="1" t="s">
        <v>2508</v>
      </c>
      <c r="C339" s="1" t="s">
        <v>40</v>
      </c>
      <c r="D339" s="1" t="s">
        <v>1781</v>
      </c>
    </row>
    <row r="340" spans="1:4">
      <c r="A340" s="1" t="s">
        <v>2511</v>
      </c>
      <c r="B340" s="1" t="s">
        <v>2510</v>
      </c>
      <c r="C340" s="1" t="s">
        <v>40</v>
      </c>
      <c r="D340" s="1" t="s">
        <v>1781</v>
      </c>
    </row>
    <row r="341" spans="1:4">
      <c r="A341" s="1" t="s">
        <v>2513</v>
      </c>
      <c r="B341" s="1" t="s">
        <v>2512</v>
      </c>
      <c r="C341" s="1" t="s">
        <v>40</v>
      </c>
      <c r="D341" s="1" t="s">
        <v>1781</v>
      </c>
    </row>
    <row r="342" spans="1:4">
      <c r="A342" s="1" t="s">
        <v>2515</v>
      </c>
      <c r="B342" s="1" t="s">
        <v>2514</v>
      </c>
      <c r="C342" s="1" t="s">
        <v>40</v>
      </c>
      <c r="D342" s="1" t="s">
        <v>1781</v>
      </c>
    </row>
    <row r="343" spans="1:4">
      <c r="A343" s="1" t="s">
        <v>2517</v>
      </c>
      <c r="B343" s="1" t="s">
        <v>2516</v>
      </c>
      <c r="C343" s="1" t="s">
        <v>40</v>
      </c>
      <c r="D343" s="1" t="s">
        <v>1781</v>
      </c>
    </row>
    <row r="344" spans="1:4">
      <c r="A344" s="1" t="s">
        <v>2519</v>
      </c>
      <c r="B344" s="1" t="s">
        <v>2518</v>
      </c>
      <c r="C344" s="1" t="s">
        <v>40</v>
      </c>
      <c r="D344" s="1" t="s">
        <v>1781</v>
      </c>
    </row>
    <row r="345" spans="1:4">
      <c r="A345" s="1" t="s">
        <v>2521</v>
      </c>
      <c r="B345" s="1" t="s">
        <v>2520</v>
      </c>
      <c r="C345" s="1" t="s">
        <v>40</v>
      </c>
      <c r="D345" s="1" t="s">
        <v>1781</v>
      </c>
    </row>
    <row r="346" spans="1:4">
      <c r="A346" s="1" t="s">
        <v>2523</v>
      </c>
      <c r="B346" s="1" t="s">
        <v>2522</v>
      </c>
      <c r="C346" s="1" t="s">
        <v>40</v>
      </c>
      <c r="D346" s="1" t="s">
        <v>1781</v>
      </c>
    </row>
    <row r="347" spans="1:4">
      <c r="A347" s="1" t="s">
        <v>1480</v>
      </c>
      <c r="B347" s="1" t="s">
        <v>2524</v>
      </c>
      <c r="C347" s="1" t="s">
        <v>40</v>
      </c>
      <c r="D347" s="1" t="s">
        <v>1781</v>
      </c>
    </row>
    <row r="348" spans="1:4">
      <c r="A348" s="1" t="s">
        <v>2526</v>
      </c>
      <c r="B348" s="1" t="s">
        <v>2525</v>
      </c>
      <c r="C348" s="1" t="s">
        <v>40</v>
      </c>
      <c r="D348" s="1" t="s">
        <v>1781</v>
      </c>
    </row>
    <row r="349" spans="1:4">
      <c r="A349" s="1" t="s">
        <v>2528</v>
      </c>
      <c r="B349" s="1" t="s">
        <v>2527</v>
      </c>
      <c r="C349" s="1" t="s">
        <v>40</v>
      </c>
      <c r="D349" s="1" t="s">
        <v>1781</v>
      </c>
    </row>
    <row r="350" spans="1:4">
      <c r="A350" s="1" t="s">
        <v>2530</v>
      </c>
      <c r="B350" s="1" t="s">
        <v>2529</v>
      </c>
      <c r="C350" s="1" t="s">
        <v>40</v>
      </c>
      <c r="D350" s="1" t="s">
        <v>1781</v>
      </c>
    </row>
    <row r="351" spans="1:4">
      <c r="A351" s="1" t="s">
        <v>2532</v>
      </c>
      <c r="B351" s="1" t="s">
        <v>2531</v>
      </c>
      <c r="C351" s="1" t="s">
        <v>40</v>
      </c>
      <c r="D351" s="1" t="s">
        <v>1781</v>
      </c>
    </row>
    <row r="352" spans="1:4">
      <c r="A352" s="1" t="s">
        <v>2534</v>
      </c>
      <c r="B352" s="1" t="s">
        <v>2533</v>
      </c>
      <c r="C352" s="1" t="s">
        <v>40</v>
      </c>
      <c r="D352" s="1" t="s">
        <v>1781</v>
      </c>
    </row>
    <row r="353" spans="1:4">
      <c r="A353" s="1" t="s">
        <v>2536</v>
      </c>
      <c r="B353" s="1" t="s">
        <v>2535</v>
      </c>
      <c r="C353" s="1" t="s">
        <v>40</v>
      </c>
      <c r="D353" s="1" t="s">
        <v>1781</v>
      </c>
    </row>
    <row r="354" spans="1:4">
      <c r="A354" s="1" t="s">
        <v>2538</v>
      </c>
      <c r="B354" s="1" t="s">
        <v>2537</v>
      </c>
      <c r="C354" s="1" t="s">
        <v>40</v>
      </c>
      <c r="D354" s="1" t="s">
        <v>1781</v>
      </c>
    </row>
    <row r="355" spans="1:4">
      <c r="A355" s="1" t="s">
        <v>2540</v>
      </c>
      <c r="B355" s="1" t="s">
        <v>2539</v>
      </c>
      <c r="C355" s="1" t="s">
        <v>40</v>
      </c>
      <c r="D355" s="1" t="s">
        <v>1781</v>
      </c>
    </row>
    <row r="356" spans="1:4">
      <c r="A356" s="1" t="s">
        <v>2542</v>
      </c>
      <c r="B356" s="1" t="s">
        <v>2541</v>
      </c>
      <c r="C356" s="1" t="s">
        <v>40</v>
      </c>
      <c r="D356" s="1" t="s">
        <v>1781</v>
      </c>
    </row>
    <row r="357" spans="1:4">
      <c r="A357" s="1" t="s">
        <v>2544</v>
      </c>
      <c r="B357" s="1" t="s">
        <v>2543</v>
      </c>
      <c r="C357" s="1" t="s">
        <v>40</v>
      </c>
      <c r="D357" s="1" t="s">
        <v>1781</v>
      </c>
    </row>
    <row r="358" spans="1:4">
      <c r="A358" s="1" t="s">
        <v>2546</v>
      </c>
      <c r="B358" s="1" t="s">
        <v>2545</v>
      </c>
      <c r="C358" s="1" t="s">
        <v>40</v>
      </c>
      <c r="D358" s="1" t="s">
        <v>1781</v>
      </c>
    </row>
    <row r="359" spans="1:4">
      <c r="A359" s="1" t="s">
        <v>2548</v>
      </c>
      <c r="B359" s="1" t="s">
        <v>2547</v>
      </c>
      <c r="C359" s="1" t="s">
        <v>40</v>
      </c>
      <c r="D359" s="1" t="s">
        <v>1781</v>
      </c>
    </row>
    <row r="360" spans="1:4">
      <c r="A360" s="1" t="s">
        <v>1351</v>
      </c>
      <c r="B360" s="1" t="s">
        <v>2549</v>
      </c>
      <c r="C360" s="1" t="s">
        <v>40</v>
      </c>
      <c r="D360" s="1" t="s">
        <v>1781</v>
      </c>
    </row>
    <row r="361" spans="1:4">
      <c r="A361" s="1" t="s">
        <v>2551</v>
      </c>
      <c r="B361" s="1" t="s">
        <v>2550</v>
      </c>
      <c r="C361" s="1" t="s">
        <v>40</v>
      </c>
      <c r="D361" s="1" t="s">
        <v>1781</v>
      </c>
    </row>
    <row r="362" spans="1:4">
      <c r="A362" s="1" t="s">
        <v>2553</v>
      </c>
      <c r="B362" s="1" t="s">
        <v>2552</v>
      </c>
      <c r="C362" s="1" t="s">
        <v>40</v>
      </c>
      <c r="D362" s="1" t="s">
        <v>1781</v>
      </c>
    </row>
    <row r="363" spans="1:4">
      <c r="A363" s="1" t="s">
        <v>2555</v>
      </c>
      <c r="B363" s="1" t="s">
        <v>2554</v>
      </c>
      <c r="C363" s="1" t="s">
        <v>40</v>
      </c>
      <c r="D363" s="1" t="s">
        <v>1781</v>
      </c>
    </row>
    <row r="364" spans="1:4">
      <c r="A364" s="1" t="s">
        <v>1603</v>
      </c>
      <c r="B364" s="1" t="s">
        <v>2556</v>
      </c>
      <c r="C364" s="1" t="s">
        <v>40</v>
      </c>
      <c r="D364" s="1" t="s">
        <v>1781</v>
      </c>
    </row>
    <row r="365" spans="1:4">
      <c r="A365" s="1" t="s">
        <v>2558</v>
      </c>
      <c r="B365" s="1" t="s">
        <v>2557</v>
      </c>
      <c r="C365" s="1" t="s">
        <v>40</v>
      </c>
      <c r="D365" s="1" t="s">
        <v>1781</v>
      </c>
    </row>
    <row r="366" spans="1:4">
      <c r="A366" s="1" t="s">
        <v>2560</v>
      </c>
      <c r="B366" s="1" t="s">
        <v>2559</v>
      </c>
      <c r="C366" s="1" t="s">
        <v>40</v>
      </c>
      <c r="D366" s="1" t="s">
        <v>1781</v>
      </c>
    </row>
    <row r="367" spans="1:4">
      <c r="A367" s="1" t="s">
        <v>1589</v>
      </c>
      <c r="B367" s="1" t="s">
        <v>2561</v>
      </c>
      <c r="C367" s="1" t="s">
        <v>40</v>
      </c>
      <c r="D367" s="1" t="s">
        <v>1781</v>
      </c>
    </row>
    <row r="368" spans="1:4">
      <c r="A368" s="1" t="s">
        <v>2563</v>
      </c>
      <c r="B368" s="1" t="s">
        <v>2562</v>
      </c>
      <c r="C368" s="1" t="s">
        <v>40</v>
      </c>
      <c r="D368" s="1" t="s">
        <v>1781</v>
      </c>
    </row>
    <row r="369" spans="1:4">
      <c r="A369" s="1" t="s">
        <v>2565</v>
      </c>
      <c r="B369" s="1" t="s">
        <v>2564</v>
      </c>
      <c r="C369" s="1" t="s">
        <v>40</v>
      </c>
      <c r="D369" s="1" t="s">
        <v>1781</v>
      </c>
    </row>
    <row r="370" spans="1:4">
      <c r="A370" s="1" t="s">
        <v>1252</v>
      </c>
      <c r="B370" s="1" t="s">
        <v>2566</v>
      </c>
      <c r="C370" s="1" t="s">
        <v>40</v>
      </c>
      <c r="D370" s="1" t="s">
        <v>1781</v>
      </c>
    </row>
    <row r="371" spans="1:4">
      <c r="A371" s="1" t="s">
        <v>2568</v>
      </c>
      <c r="B371" s="1" t="s">
        <v>2567</v>
      </c>
      <c r="C371" s="1" t="s">
        <v>40</v>
      </c>
      <c r="D371" s="1" t="s">
        <v>1781</v>
      </c>
    </row>
    <row r="372" spans="1:4">
      <c r="A372" s="1" t="s">
        <v>2570</v>
      </c>
      <c r="B372" s="1" t="s">
        <v>2569</v>
      </c>
      <c r="C372" s="1" t="s">
        <v>40</v>
      </c>
      <c r="D372" s="1" t="s">
        <v>1781</v>
      </c>
    </row>
    <row r="373" spans="1:4">
      <c r="A373" s="1" t="s">
        <v>2572</v>
      </c>
      <c r="B373" s="1" t="s">
        <v>2571</v>
      </c>
      <c r="C373" s="1" t="s">
        <v>40</v>
      </c>
      <c r="D373" s="1" t="s">
        <v>1781</v>
      </c>
    </row>
    <row r="374" spans="1:4">
      <c r="A374" s="1" t="s">
        <v>2574</v>
      </c>
      <c r="B374" s="1" t="s">
        <v>2573</v>
      </c>
      <c r="C374" s="1" t="s">
        <v>40</v>
      </c>
      <c r="D374" s="1" t="s">
        <v>1781</v>
      </c>
    </row>
    <row r="375" spans="1:4">
      <c r="A375" s="1" t="s">
        <v>2576</v>
      </c>
      <c r="B375" s="1" t="s">
        <v>2575</v>
      </c>
      <c r="C375" s="1" t="s">
        <v>40</v>
      </c>
      <c r="D375" s="1" t="s">
        <v>1781</v>
      </c>
    </row>
    <row r="376" spans="1:4">
      <c r="A376" s="1" t="s">
        <v>2578</v>
      </c>
      <c r="B376" s="1" t="s">
        <v>2577</v>
      </c>
      <c r="C376" s="1" t="s">
        <v>40</v>
      </c>
      <c r="D376" s="1" t="s">
        <v>1781</v>
      </c>
    </row>
    <row r="377" spans="1:4">
      <c r="A377" s="1" t="s">
        <v>2580</v>
      </c>
      <c r="B377" s="1" t="s">
        <v>2579</v>
      </c>
      <c r="C377" s="1" t="s">
        <v>40</v>
      </c>
      <c r="D377" s="1" t="s">
        <v>1781</v>
      </c>
    </row>
    <row r="378" spans="1:4">
      <c r="A378" s="1" t="s">
        <v>2582</v>
      </c>
      <c r="B378" s="1" t="s">
        <v>2581</v>
      </c>
      <c r="C378" s="1" t="s">
        <v>40</v>
      </c>
      <c r="D378" s="1" t="s">
        <v>1781</v>
      </c>
    </row>
    <row r="379" spans="1:4">
      <c r="A379" s="1" t="s">
        <v>2584</v>
      </c>
      <c r="B379" s="1" t="s">
        <v>2583</v>
      </c>
      <c r="C379" s="1" t="s">
        <v>40</v>
      </c>
      <c r="D379" s="1" t="s">
        <v>1781</v>
      </c>
    </row>
    <row r="380" spans="1:4">
      <c r="A380" s="1" t="s">
        <v>2586</v>
      </c>
      <c r="B380" s="1" t="s">
        <v>2585</v>
      </c>
      <c r="C380" s="1" t="s">
        <v>40</v>
      </c>
      <c r="D380" s="1" t="s">
        <v>1781</v>
      </c>
    </row>
    <row r="381" spans="1:4">
      <c r="A381" s="1" t="s">
        <v>2588</v>
      </c>
      <c r="B381" s="1" t="s">
        <v>2587</v>
      </c>
      <c r="C381" s="1" t="s">
        <v>40</v>
      </c>
      <c r="D381" s="1" t="s">
        <v>1781</v>
      </c>
    </row>
    <row r="382" spans="1:4">
      <c r="A382" s="1" t="s">
        <v>2590</v>
      </c>
      <c r="B382" s="1" t="s">
        <v>2589</v>
      </c>
      <c r="C382" s="1" t="s">
        <v>40</v>
      </c>
      <c r="D382" s="1" t="s">
        <v>1781</v>
      </c>
    </row>
    <row r="383" spans="1:4">
      <c r="A383" s="1" t="s">
        <v>2592</v>
      </c>
      <c r="B383" s="1" t="s">
        <v>2591</v>
      </c>
      <c r="C383" s="1" t="s">
        <v>40</v>
      </c>
      <c r="D383" s="1" t="s">
        <v>1781</v>
      </c>
    </row>
    <row r="384" spans="1:4">
      <c r="A384" s="1" t="s">
        <v>2594</v>
      </c>
      <c r="B384" s="1" t="s">
        <v>2593</v>
      </c>
      <c r="C384" s="1" t="s">
        <v>40</v>
      </c>
      <c r="D384" s="1" t="s">
        <v>1781</v>
      </c>
    </row>
    <row r="385" spans="1:4">
      <c r="A385" s="1" t="s">
        <v>2596</v>
      </c>
      <c r="B385" s="1" t="s">
        <v>2595</v>
      </c>
      <c r="C385" s="1" t="s">
        <v>40</v>
      </c>
      <c r="D385" s="1" t="s">
        <v>1781</v>
      </c>
    </row>
    <row r="386" spans="1:4">
      <c r="A386" s="1" t="s">
        <v>2598</v>
      </c>
      <c r="B386" s="1" t="s">
        <v>2597</v>
      </c>
      <c r="C386" s="1" t="s">
        <v>40</v>
      </c>
      <c r="D386" s="1" t="s">
        <v>1781</v>
      </c>
    </row>
    <row r="387" spans="1:4">
      <c r="A387" s="1" t="s">
        <v>2600</v>
      </c>
      <c r="B387" s="1" t="s">
        <v>2599</v>
      </c>
      <c r="C387" s="1" t="s">
        <v>40</v>
      </c>
      <c r="D387" s="1" t="s">
        <v>1781</v>
      </c>
    </row>
    <row r="388" spans="1:4">
      <c r="A388" s="1" t="s">
        <v>2602</v>
      </c>
      <c r="B388" s="1" t="s">
        <v>2601</v>
      </c>
      <c r="C388" s="1" t="s">
        <v>40</v>
      </c>
      <c r="D388" s="1" t="s">
        <v>1781</v>
      </c>
    </row>
    <row r="389" spans="1:4">
      <c r="A389" s="1" t="s">
        <v>2604</v>
      </c>
      <c r="B389" s="1" t="s">
        <v>2603</v>
      </c>
      <c r="C389" s="1" t="s">
        <v>40</v>
      </c>
      <c r="D389" s="1" t="s">
        <v>1781</v>
      </c>
    </row>
    <row r="390" spans="1:4">
      <c r="A390" s="1" t="s">
        <v>2606</v>
      </c>
      <c r="B390" s="1" t="s">
        <v>2605</v>
      </c>
      <c r="C390" s="1" t="s">
        <v>40</v>
      </c>
      <c r="D390" s="1" t="s">
        <v>1781</v>
      </c>
    </row>
    <row r="391" spans="1:4">
      <c r="A391" s="1" t="s">
        <v>2608</v>
      </c>
      <c r="B391" s="1" t="s">
        <v>2607</v>
      </c>
      <c r="C391" s="1" t="s">
        <v>40</v>
      </c>
      <c r="D391" s="1" t="s">
        <v>1781</v>
      </c>
    </row>
    <row r="392" spans="1:4">
      <c r="A392" s="1" t="s">
        <v>2610</v>
      </c>
      <c r="B392" s="1" t="s">
        <v>2609</v>
      </c>
      <c r="C392" s="1" t="s">
        <v>40</v>
      </c>
      <c r="D392" s="1" t="s">
        <v>1781</v>
      </c>
    </row>
    <row r="393" spans="1:4">
      <c r="A393" s="1" t="s">
        <v>2612</v>
      </c>
      <c r="B393" s="1" t="s">
        <v>2611</v>
      </c>
      <c r="C393" s="1" t="s">
        <v>40</v>
      </c>
      <c r="D393" s="1" t="s">
        <v>1781</v>
      </c>
    </row>
    <row r="394" spans="1:4">
      <c r="A394" s="1" t="s">
        <v>2614</v>
      </c>
      <c r="B394" s="1" t="s">
        <v>2613</v>
      </c>
      <c r="C394" s="1" t="s">
        <v>40</v>
      </c>
      <c r="D394" s="1" t="s">
        <v>1781</v>
      </c>
    </row>
    <row r="395" spans="1:4">
      <c r="A395" s="1" t="s">
        <v>2616</v>
      </c>
      <c r="B395" s="1" t="s">
        <v>2615</v>
      </c>
      <c r="C395" s="1" t="s">
        <v>40</v>
      </c>
      <c r="D395" s="1" t="s">
        <v>1781</v>
      </c>
    </row>
    <row r="396" spans="1:4">
      <c r="A396" s="1" t="s">
        <v>2618</v>
      </c>
      <c r="B396" s="1" t="s">
        <v>2617</v>
      </c>
      <c r="C396" s="1" t="s">
        <v>40</v>
      </c>
      <c r="D396" s="1" t="s">
        <v>1781</v>
      </c>
    </row>
    <row r="397" spans="1:4">
      <c r="A397" s="1" t="s">
        <v>2620</v>
      </c>
      <c r="B397" s="1" t="s">
        <v>2619</v>
      </c>
      <c r="C397" s="1" t="s">
        <v>40</v>
      </c>
      <c r="D397" s="1" t="s">
        <v>1781</v>
      </c>
    </row>
    <row r="398" spans="1:4">
      <c r="A398" s="1" t="s">
        <v>2622</v>
      </c>
      <c r="B398" s="1" t="s">
        <v>2621</v>
      </c>
      <c r="C398" s="1" t="s">
        <v>40</v>
      </c>
      <c r="D398" s="1" t="s">
        <v>1781</v>
      </c>
    </row>
    <row r="399" spans="1:4">
      <c r="A399" s="1" t="s">
        <v>2624</v>
      </c>
      <c r="B399" s="1" t="s">
        <v>2623</v>
      </c>
      <c r="C399" s="1" t="s">
        <v>40</v>
      </c>
      <c r="D399" s="1" t="s">
        <v>1781</v>
      </c>
    </row>
    <row r="400" spans="1:4">
      <c r="A400" s="1" t="s">
        <v>2626</v>
      </c>
      <c r="B400" s="1" t="s">
        <v>2625</v>
      </c>
      <c r="C400" s="1" t="s">
        <v>40</v>
      </c>
      <c r="D400" s="1" t="s">
        <v>1781</v>
      </c>
    </row>
    <row r="401" spans="1:4">
      <c r="A401" s="1" t="s">
        <v>2628</v>
      </c>
      <c r="B401" s="1" t="s">
        <v>2627</v>
      </c>
      <c r="C401" s="1" t="s">
        <v>40</v>
      </c>
      <c r="D401" s="1" t="s">
        <v>1781</v>
      </c>
    </row>
    <row r="402" spans="1:4">
      <c r="A402" s="1" t="s">
        <v>2630</v>
      </c>
      <c r="B402" s="1" t="s">
        <v>2629</v>
      </c>
      <c r="C402" s="1" t="s">
        <v>40</v>
      </c>
      <c r="D402" s="1" t="s">
        <v>1781</v>
      </c>
    </row>
    <row r="403" spans="1:4">
      <c r="A403" s="1" t="s">
        <v>2632</v>
      </c>
      <c r="B403" s="1" t="s">
        <v>2631</v>
      </c>
      <c r="C403" s="1" t="s">
        <v>40</v>
      </c>
      <c r="D403" s="1" t="s">
        <v>1781</v>
      </c>
    </row>
    <row r="404" spans="1:4">
      <c r="A404" s="1" t="s">
        <v>2634</v>
      </c>
      <c r="B404" s="1" t="s">
        <v>2633</v>
      </c>
      <c r="C404" s="1" t="s">
        <v>40</v>
      </c>
      <c r="D404" s="1" t="s">
        <v>1781</v>
      </c>
    </row>
    <row r="405" spans="1:4">
      <c r="A405" s="1" t="s">
        <v>2636</v>
      </c>
      <c r="B405" s="1" t="s">
        <v>2635</v>
      </c>
      <c r="C405" s="1" t="s">
        <v>40</v>
      </c>
      <c r="D405" s="1" t="s">
        <v>1781</v>
      </c>
    </row>
    <row r="406" spans="1:4">
      <c r="A406" s="1" t="s">
        <v>2638</v>
      </c>
      <c r="B406" s="1" t="s">
        <v>2637</v>
      </c>
      <c r="C406" s="1" t="s">
        <v>40</v>
      </c>
      <c r="D406" s="1" t="s">
        <v>1781</v>
      </c>
    </row>
    <row r="407" spans="1:4">
      <c r="A407" s="1" t="s">
        <v>2640</v>
      </c>
      <c r="B407" s="1" t="s">
        <v>2639</v>
      </c>
      <c r="C407" s="1" t="s">
        <v>40</v>
      </c>
      <c r="D407" s="1" t="s">
        <v>1781</v>
      </c>
    </row>
    <row r="408" spans="1:4">
      <c r="A408" s="1" t="s">
        <v>2642</v>
      </c>
      <c r="B408" s="1" t="s">
        <v>2641</v>
      </c>
      <c r="C408" s="1" t="s">
        <v>40</v>
      </c>
      <c r="D408" s="1" t="s">
        <v>1781</v>
      </c>
    </row>
    <row r="409" spans="1:4">
      <c r="A409" s="1" t="s">
        <v>2644</v>
      </c>
      <c r="B409" s="1" t="s">
        <v>2643</v>
      </c>
      <c r="C409" s="1" t="s">
        <v>40</v>
      </c>
      <c r="D409" s="1" t="s">
        <v>1781</v>
      </c>
    </row>
    <row r="410" spans="1:4">
      <c r="A410" s="1" t="s">
        <v>2646</v>
      </c>
      <c r="B410" s="1" t="s">
        <v>2645</v>
      </c>
      <c r="C410" s="1" t="s">
        <v>40</v>
      </c>
      <c r="D410" s="1" t="s">
        <v>1781</v>
      </c>
    </row>
    <row r="411" spans="1:4">
      <c r="A411" s="1" t="s">
        <v>2648</v>
      </c>
      <c r="B411" s="1" t="s">
        <v>2647</v>
      </c>
      <c r="C411" s="1" t="s">
        <v>40</v>
      </c>
      <c r="D411" s="1" t="s">
        <v>1781</v>
      </c>
    </row>
    <row r="412" spans="1:4">
      <c r="A412" s="1" t="s">
        <v>2650</v>
      </c>
      <c r="B412" s="1" t="s">
        <v>2649</v>
      </c>
      <c r="C412" s="1" t="s">
        <v>40</v>
      </c>
      <c r="D412" s="1" t="s">
        <v>1781</v>
      </c>
    </row>
    <row r="413" spans="1:4">
      <c r="A413" s="1" t="s">
        <v>2652</v>
      </c>
      <c r="B413" s="1" t="s">
        <v>2651</v>
      </c>
      <c r="C413" s="1" t="s">
        <v>40</v>
      </c>
      <c r="D413" s="1" t="s">
        <v>1781</v>
      </c>
    </row>
    <row r="414" spans="1:4">
      <c r="A414" s="1" t="s">
        <v>2654</v>
      </c>
      <c r="B414" s="1" t="s">
        <v>2653</v>
      </c>
      <c r="C414" s="1" t="s">
        <v>40</v>
      </c>
      <c r="D414" s="1" t="s">
        <v>1781</v>
      </c>
    </row>
    <row r="415" spans="1:4">
      <c r="A415" s="1" t="s">
        <v>2656</v>
      </c>
      <c r="B415" s="1" t="s">
        <v>2655</v>
      </c>
      <c r="C415" s="1" t="s">
        <v>40</v>
      </c>
      <c r="D415" s="1" t="s">
        <v>1781</v>
      </c>
    </row>
    <row r="416" spans="1:4">
      <c r="A416" s="1" t="s">
        <v>2658</v>
      </c>
      <c r="B416" s="1" t="s">
        <v>2657</v>
      </c>
      <c r="C416" s="1" t="s">
        <v>40</v>
      </c>
      <c r="D416" s="1" t="s">
        <v>1781</v>
      </c>
    </row>
    <row r="417" spans="1:4">
      <c r="A417" s="1" t="s">
        <v>2660</v>
      </c>
      <c r="B417" s="1" t="s">
        <v>2659</v>
      </c>
      <c r="C417" s="1" t="s">
        <v>40</v>
      </c>
      <c r="D417" s="1" t="s">
        <v>1781</v>
      </c>
    </row>
    <row r="418" spans="1:4">
      <c r="A418" s="1" t="s">
        <v>2662</v>
      </c>
      <c r="B418" s="1" t="s">
        <v>2661</v>
      </c>
      <c r="C418" s="1" t="s">
        <v>40</v>
      </c>
      <c r="D418" s="1" t="s">
        <v>1781</v>
      </c>
    </row>
    <row r="419" spans="1:4">
      <c r="A419" s="1" t="s">
        <v>2664</v>
      </c>
      <c r="B419" s="1" t="s">
        <v>2663</v>
      </c>
      <c r="C419" s="1" t="s">
        <v>40</v>
      </c>
      <c r="D419" s="1" t="s">
        <v>1781</v>
      </c>
    </row>
    <row r="420" spans="1:4">
      <c r="A420" s="1" t="s">
        <v>2666</v>
      </c>
      <c r="B420" s="1" t="s">
        <v>2665</v>
      </c>
      <c r="C420" s="1" t="s">
        <v>40</v>
      </c>
      <c r="D420" s="1" t="s">
        <v>1781</v>
      </c>
    </row>
    <row r="421" spans="1:4">
      <c r="A421" s="1" t="s">
        <v>2668</v>
      </c>
      <c r="B421" s="1" t="s">
        <v>2667</v>
      </c>
      <c r="C421" s="1" t="s">
        <v>40</v>
      </c>
      <c r="D421" s="1" t="s">
        <v>1781</v>
      </c>
    </row>
    <row r="422" spans="1:4">
      <c r="A422" s="1" t="s">
        <v>2670</v>
      </c>
      <c r="B422" s="1" t="s">
        <v>2669</v>
      </c>
      <c r="C422" s="1" t="s">
        <v>40</v>
      </c>
      <c r="D422" s="1" t="s">
        <v>1781</v>
      </c>
    </row>
    <row r="423" spans="1:4">
      <c r="A423" s="1" t="s">
        <v>2672</v>
      </c>
      <c r="B423" s="1" t="s">
        <v>2671</v>
      </c>
      <c r="C423" s="1" t="s">
        <v>40</v>
      </c>
      <c r="D423" s="1" t="s">
        <v>1781</v>
      </c>
    </row>
    <row r="424" spans="1:4">
      <c r="A424" s="1" t="s">
        <v>2674</v>
      </c>
      <c r="B424" s="1" t="s">
        <v>2673</v>
      </c>
      <c r="C424" s="1" t="s">
        <v>40</v>
      </c>
      <c r="D424" s="1" t="s">
        <v>1781</v>
      </c>
    </row>
    <row r="425" spans="1:4">
      <c r="A425" s="1" t="s">
        <v>2676</v>
      </c>
      <c r="B425" s="1" t="s">
        <v>2675</v>
      </c>
      <c r="C425" s="1" t="s">
        <v>40</v>
      </c>
      <c r="D425" s="1" t="s">
        <v>1781</v>
      </c>
    </row>
    <row r="426" spans="1:4">
      <c r="A426" s="1" t="s">
        <v>2678</v>
      </c>
      <c r="B426" s="1" t="s">
        <v>2677</v>
      </c>
      <c r="C426" s="1" t="s">
        <v>40</v>
      </c>
      <c r="D426" s="1" t="s">
        <v>1781</v>
      </c>
    </row>
    <row r="427" spans="1:4">
      <c r="A427" s="1" t="s">
        <v>2680</v>
      </c>
      <c r="B427" s="1" t="s">
        <v>2679</v>
      </c>
      <c r="C427" s="1" t="s">
        <v>40</v>
      </c>
      <c r="D427" s="1" t="s">
        <v>1781</v>
      </c>
    </row>
    <row r="428" spans="1:4">
      <c r="A428" s="1" t="s">
        <v>2682</v>
      </c>
      <c r="B428" s="1" t="s">
        <v>2681</v>
      </c>
      <c r="C428" s="1" t="s">
        <v>40</v>
      </c>
      <c r="D428" s="1" t="s">
        <v>1781</v>
      </c>
    </row>
    <row r="429" spans="1:4">
      <c r="A429" s="1" t="s">
        <v>2684</v>
      </c>
      <c r="B429" s="1" t="s">
        <v>2683</v>
      </c>
      <c r="C429" s="1" t="s">
        <v>40</v>
      </c>
      <c r="D429" s="1" t="s">
        <v>1781</v>
      </c>
    </row>
    <row r="430" spans="1:4">
      <c r="A430" s="1" t="s">
        <v>2686</v>
      </c>
      <c r="B430" s="1" t="s">
        <v>2685</v>
      </c>
      <c r="C430" s="1" t="s">
        <v>40</v>
      </c>
      <c r="D430" s="1" t="s">
        <v>1781</v>
      </c>
    </row>
    <row r="431" spans="1:4">
      <c r="A431" s="1" t="s">
        <v>2688</v>
      </c>
      <c r="B431" s="1" t="s">
        <v>2687</v>
      </c>
      <c r="C431" s="1" t="s">
        <v>40</v>
      </c>
      <c r="D431" s="1" t="s">
        <v>1781</v>
      </c>
    </row>
    <row r="432" spans="1:4">
      <c r="A432" s="1" t="s">
        <v>2690</v>
      </c>
      <c r="B432" s="1" t="s">
        <v>2689</v>
      </c>
      <c r="C432" s="1" t="s">
        <v>40</v>
      </c>
      <c r="D432" s="1" t="s">
        <v>1781</v>
      </c>
    </row>
    <row r="433" spans="1:4">
      <c r="A433" s="1" t="s">
        <v>1419</v>
      </c>
      <c r="B433" s="1" t="s">
        <v>2691</v>
      </c>
      <c r="C433" s="1" t="s">
        <v>40</v>
      </c>
      <c r="D433" s="1" t="s">
        <v>1781</v>
      </c>
    </row>
    <row r="434" spans="1:4">
      <c r="A434" s="1" t="s">
        <v>2693</v>
      </c>
      <c r="B434" s="1" t="s">
        <v>2692</v>
      </c>
      <c r="C434" s="1" t="s">
        <v>40</v>
      </c>
      <c r="D434" s="1" t="s">
        <v>1781</v>
      </c>
    </row>
    <row r="435" spans="1:4">
      <c r="A435" s="1" t="s">
        <v>2695</v>
      </c>
      <c r="B435" s="1" t="s">
        <v>2694</v>
      </c>
      <c r="C435" s="1" t="s">
        <v>40</v>
      </c>
      <c r="D435" s="1" t="s">
        <v>1781</v>
      </c>
    </row>
    <row r="436" spans="1:4">
      <c r="A436" s="1" t="s">
        <v>2697</v>
      </c>
      <c r="B436" s="1" t="s">
        <v>2696</v>
      </c>
      <c r="C436" s="1" t="s">
        <v>40</v>
      </c>
      <c r="D436" s="1" t="s">
        <v>1781</v>
      </c>
    </row>
    <row r="437" spans="1:4">
      <c r="A437" s="1" t="s">
        <v>2699</v>
      </c>
      <c r="B437" s="1" t="s">
        <v>2698</v>
      </c>
      <c r="C437" s="1" t="s">
        <v>40</v>
      </c>
      <c r="D437" s="1" t="s">
        <v>1781</v>
      </c>
    </row>
    <row r="438" spans="1:4">
      <c r="A438" s="1" t="s">
        <v>2701</v>
      </c>
      <c r="B438" s="1" t="s">
        <v>2700</v>
      </c>
      <c r="C438" s="1" t="s">
        <v>40</v>
      </c>
      <c r="D438" s="1" t="s">
        <v>1781</v>
      </c>
    </row>
    <row r="439" spans="1:4">
      <c r="A439" s="1" t="s">
        <v>2703</v>
      </c>
      <c r="B439" s="1" t="s">
        <v>2702</v>
      </c>
      <c r="C439" s="1" t="s">
        <v>40</v>
      </c>
      <c r="D439" s="1" t="s">
        <v>1781</v>
      </c>
    </row>
    <row r="440" spans="1:4">
      <c r="A440" s="1" t="s">
        <v>2705</v>
      </c>
      <c r="B440" s="1" t="s">
        <v>2704</v>
      </c>
      <c r="C440" s="1" t="s">
        <v>40</v>
      </c>
      <c r="D440" s="1" t="s">
        <v>1781</v>
      </c>
    </row>
    <row r="441" spans="1:4">
      <c r="A441" s="1" t="s">
        <v>2707</v>
      </c>
      <c r="B441" s="1" t="s">
        <v>2706</v>
      </c>
      <c r="C441" s="1" t="s">
        <v>40</v>
      </c>
      <c r="D441" s="1" t="s">
        <v>1781</v>
      </c>
    </row>
    <row r="442" spans="1:4">
      <c r="A442" s="1" t="s">
        <v>2709</v>
      </c>
      <c r="B442" s="1" t="s">
        <v>2708</v>
      </c>
      <c r="C442" s="1" t="s">
        <v>40</v>
      </c>
      <c r="D442" s="1" t="s">
        <v>1781</v>
      </c>
    </row>
    <row r="443" spans="1:4">
      <c r="A443" s="1" t="s">
        <v>2711</v>
      </c>
      <c r="B443" s="1" t="s">
        <v>2710</v>
      </c>
      <c r="C443" s="1" t="s">
        <v>40</v>
      </c>
      <c r="D443" s="1" t="s">
        <v>1781</v>
      </c>
    </row>
    <row r="444" spans="1:4">
      <c r="A444" s="1" t="s">
        <v>2713</v>
      </c>
      <c r="B444" s="1" t="s">
        <v>2712</v>
      </c>
      <c r="C444" s="1" t="s">
        <v>40</v>
      </c>
      <c r="D444" s="1" t="s">
        <v>1781</v>
      </c>
    </row>
    <row r="445" spans="1:4">
      <c r="A445" s="1" t="s">
        <v>2715</v>
      </c>
      <c r="B445" s="1" t="s">
        <v>2714</v>
      </c>
      <c r="C445" s="1" t="s">
        <v>40</v>
      </c>
      <c r="D445" s="1" t="s">
        <v>1781</v>
      </c>
    </row>
    <row r="446" spans="1:4">
      <c r="A446" s="1" t="s">
        <v>2717</v>
      </c>
      <c r="B446" s="1" t="s">
        <v>2716</v>
      </c>
      <c r="C446" s="1" t="s">
        <v>40</v>
      </c>
      <c r="D446" s="1" t="s">
        <v>1781</v>
      </c>
    </row>
    <row r="447" spans="1:4">
      <c r="A447" s="1" t="s">
        <v>2719</v>
      </c>
      <c r="B447" s="1" t="s">
        <v>2718</v>
      </c>
      <c r="C447" s="1" t="s">
        <v>40</v>
      </c>
      <c r="D447" s="1" t="s">
        <v>1781</v>
      </c>
    </row>
    <row r="448" spans="1:4">
      <c r="A448" s="1" t="s">
        <v>2721</v>
      </c>
      <c r="B448" s="1" t="s">
        <v>2720</v>
      </c>
      <c r="C448" s="1" t="s">
        <v>40</v>
      </c>
      <c r="D448" s="1" t="s">
        <v>1781</v>
      </c>
    </row>
    <row r="449" spans="1:4">
      <c r="A449" s="1" t="s">
        <v>2723</v>
      </c>
      <c r="B449" s="1" t="s">
        <v>2722</v>
      </c>
      <c r="C449" s="1" t="s">
        <v>40</v>
      </c>
      <c r="D449" s="1" t="s">
        <v>1781</v>
      </c>
    </row>
    <row r="450" spans="1:4">
      <c r="A450" s="1" t="s">
        <v>2725</v>
      </c>
      <c r="B450" s="1" t="s">
        <v>2724</v>
      </c>
      <c r="C450" s="1" t="s">
        <v>40</v>
      </c>
      <c r="D450" s="1" t="s">
        <v>1781</v>
      </c>
    </row>
    <row r="451" spans="1:4">
      <c r="A451" s="1" t="s">
        <v>2727</v>
      </c>
      <c r="B451" s="1" t="s">
        <v>2726</v>
      </c>
      <c r="C451" s="1" t="s">
        <v>40</v>
      </c>
      <c r="D451" s="1" t="s">
        <v>1781</v>
      </c>
    </row>
    <row r="452" spans="1:4">
      <c r="A452" s="1" t="s">
        <v>2729</v>
      </c>
      <c r="B452" s="1" t="s">
        <v>2728</v>
      </c>
      <c r="C452" s="1" t="s">
        <v>40</v>
      </c>
      <c r="D452" s="1" t="s">
        <v>1781</v>
      </c>
    </row>
    <row r="453" spans="1:4">
      <c r="A453" s="1" t="s">
        <v>2731</v>
      </c>
      <c r="B453" s="1" t="s">
        <v>2730</v>
      </c>
      <c r="C453" s="1" t="s">
        <v>40</v>
      </c>
      <c r="D453" s="1" t="s">
        <v>1781</v>
      </c>
    </row>
    <row r="454" spans="1:4">
      <c r="A454" s="1" t="s">
        <v>2733</v>
      </c>
      <c r="B454" s="1" t="s">
        <v>2732</v>
      </c>
      <c r="C454" s="1" t="s">
        <v>40</v>
      </c>
      <c r="D454" s="1" t="s">
        <v>1781</v>
      </c>
    </row>
    <row r="455" spans="1:4">
      <c r="A455" s="1" t="s">
        <v>2735</v>
      </c>
      <c r="B455" s="1" t="s">
        <v>2734</v>
      </c>
      <c r="C455" s="1" t="s">
        <v>40</v>
      </c>
      <c r="D455" s="1" t="s">
        <v>1781</v>
      </c>
    </row>
    <row r="456" spans="1:4">
      <c r="A456" s="1" t="s">
        <v>2737</v>
      </c>
      <c r="B456" s="1" t="s">
        <v>2736</v>
      </c>
      <c r="C456" s="1" t="s">
        <v>40</v>
      </c>
      <c r="D456" s="1" t="s">
        <v>1781</v>
      </c>
    </row>
    <row r="457" spans="1:4">
      <c r="A457" s="1" t="s">
        <v>2739</v>
      </c>
      <c r="B457" s="1" t="s">
        <v>2738</v>
      </c>
      <c r="C457" s="1" t="s">
        <v>40</v>
      </c>
      <c r="D457" s="1" t="s">
        <v>1781</v>
      </c>
    </row>
    <row r="458" spans="1:4">
      <c r="A458" s="1" t="s">
        <v>2741</v>
      </c>
      <c r="B458" s="1" t="s">
        <v>2740</v>
      </c>
      <c r="C458" s="1" t="s">
        <v>40</v>
      </c>
      <c r="D458" s="1" t="s">
        <v>1781</v>
      </c>
    </row>
    <row r="459" spans="1:4">
      <c r="A459" s="1" t="s">
        <v>2743</v>
      </c>
      <c r="B459" s="1" t="s">
        <v>2742</v>
      </c>
      <c r="C459" s="1" t="s">
        <v>40</v>
      </c>
      <c r="D459" s="1" t="s">
        <v>1781</v>
      </c>
    </row>
    <row r="460" spans="1:4">
      <c r="A460" s="1" t="s">
        <v>2745</v>
      </c>
      <c r="B460" s="1" t="s">
        <v>2744</v>
      </c>
      <c r="C460" s="1" t="s">
        <v>40</v>
      </c>
      <c r="D460" s="1" t="s">
        <v>1781</v>
      </c>
    </row>
    <row r="461" spans="1:4">
      <c r="A461" s="1" t="s">
        <v>2747</v>
      </c>
      <c r="B461" s="1" t="s">
        <v>2746</v>
      </c>
      <c r="C461" s="1" t="s">
        <v>40</v>
      </c>
      <c r="D461" s="1" t="s">
        <v>1781</v>
      </c>
    </row>
    <row r="462" spans="1:4">
      <c r="A462" s="1" t="s">
        <v>2749</v>
      </c>
      <c r="B462" s="1" t="s">
        <v>2748</v>
      </c>
      <c r="C462" s="1" t="s">
        <v>40</v>
      </c>
      <c r="D462" s="1" t="s">
        <v>1781</v>
      </c>
    </row>
    <row r="463" spans="1:4">
      <c r="A463" s="1" t="s">
        <v>2751</v>
      </c>
      <c r="B463" s="1" t="s">
        <v>2750</v>
      </c>
      <c r="C463" s="1" t="s">
        <v>40</v>
      </c>
      <c r="D463" s="1" t="s">
        <v>1781</v>
      </c>
    </row>
    <row r="464" spans="1:4">
      <c r="A464" s="1" t="s">
        <v>1225</v>
      </c>
      <c r="B464" s="1" t="s">
        <v>2752</v>
      </c>
      <c r="C464" s="1" t="s">
        <v>40</v>
      </c>
      <c r="D464" s="1" t="s">
        <v>1781</v>
      </c>
    </row>
    <row r="465" spans="1:4">
      <c r="A465" s="1" t="s">
        <v>2754</v>
      </c>
      <c r="B465" s="1" t="s">
        <v>2753</v>
      </c>
      <c r="C465" s="1" t="s">
        <v>40</v>
      </c>
      <c r="D465" s="1" t="s">
        <v>1781</v>
      </c>
    </row>
    <row r="466" spans="1:4">
      <c r="A466" s="1" t="s">
        <v>2756</v>
      </c>
      <c r="B466" s="1" t="s">
        <v>2755</v>
      </c>
      <c r="C466" s="1" t="s">
        <v>40</v>
      </c>
      <c r="D466" s="1" t="s">
        <v>1781</v>
      </c>
    </row>
    <row r="467" spans="1:4">
      <c r="A467" s="1" t="s">
        <v>2758</v>
      </c>
      <c r="B467" s="1" t="s">
        <v>2757</v>
      </c>
      <c r="C467" s="1" t="s">
        <v>40</v>
      </c>
      <c r="D467" s="1" t="s">
        <v>1781</v>
      </c>
    </row>
    <row r="468" spans="1:4">
      <c r="A468" s="1" t="s">
        <v>2760</v>
      </c>
      <c r="B468" s="1" t="s">
        <v>2759</v>
      </c>
      <c r="C468" s="1" t="s">
        <v>40</v>
      </c>
      <c r="D468" s="1" t="s">
        <v>1781</v>
      </c>
    </row>
    <row r="469" spans="1:4">
      <c r="A469" s="1" t="s">
        <v>2762</v>
      </c>
      <c r="B469" s="1" t="s">
        <v>2761</v>
      </c>
      <c r="C469" s="1" t="s">
        <v>40</v>
      </c>
      <c r="D469" s="1" t="s">
        <v>1781</v>
      </c>
    </row>
    <row r="470" spans="1:4">
      <c r="A470" s="1" t="s">
        <v>2764</v>
      </c>
      <c r="B470" s="1" t="s">
        <v>2763</v>
      </c>
      <c r="C470" s="1" t="s">
        <v>40</v>
      </c>
      <c r="D470" s="1" t="s">
        <v>1781</v>
      </c>
    </row>
    <row r="471" spans="1:4">
      <c r="A471" s="1" t="s">
        <v>2766</v>
      </c>
      <c r="B471" s="1" t="s">
        <v>2765</v>
      </c>
      <c r="C471" s="1" t="s">
        <v>40</v>
      </c>
      <c r="D471" s="1" t="s">
        <v>1781</v>
      </c>
    </row>
    <row r="472" spans="1:4">
      <c r="A472" s="1" t="s">
        <v>2768</v>
      </c>
      <c r="B472" s="1" t="s">
        <v>2767</v>
      </c>
      <c r="C472" s="1" t="s">
        <v>40</v>
      </c>
      <c r="D472" s="1" t="s">
        <v>1781</v>
      </c>
    </row>
    <row r="473" spans="1:4">
      <c r="A473" s="1" t="s">
        <v>1496</v>
      </c>
      <c r="B473" s="1" t="s">
        <v>2769</v>
      </c>
      <c r="C473" s="1" t="s">
        <v>40</v>
      </c>
      <c r="D473" s="1" t="s">
        <v>1781</v>
      </c>
    </row>
    <row r="474" spans="1:4">
      <c r="A474" s="1" t="s">
        <v>2771</v>
      </c>
      <c r="B474" s="1" t="s">
        <v>2770</v>
      </c>
      <c r="C474" s="1" t="s">
        <v>40</v>
      </c>
      <c r="D474" s="1" t="s">
        <v>1781</v>
      </c>
    </row>
    <row r="475" spans="1:4">
      <c r="A475" s="1" t="s">
        <v>2773</v>
      </c>
      <c r="B475" s="1" t="s">
        <v>2772</v>
      </c>
      <c r="C475" s="1" t="s">
        <v>40</v>
      </c>
      <c r="D475" s="1" t="s">
        <v>1781</v>
      </c>
    </row>
    <row r="476" spans="1:4">
      <c r="A476" s="1" t="s">
        <v>2775</v>
      </c>
      <c r="B476" s="1" t="s">
        <v>2774</v>
      </c>
      <c r="C476" s="1" t="s">
        <v>40</v>
      </c>
      <c r="D476" s="1" t="s">
        <v>1781</v>
      </c>
    </row>
    <row r="477" spans="1:4">
      <c r="A477" s="1" t="s">
        <v>2777</v>
      </c>
      <c r="B477" s="1" t="s">
        <v>2776</v>
      </c>
      <c r="C477" s="1" t="s">
        <v>40</v>
      </c>
      <c r="D477" s="1" t="s">
        <v>1781</v>
      </c>
    </row>
    <row r="478" spans="1:4">
      <c r="A478" s="1" t="s">
        <v>2779</v>
      </c>
      <c r="B478" s="1" t="s">
        <v>2778</v>
      </c>
      <c r="C478" s="1" t="s">
        <v>40</v>
      </c>
      <c r="D478" s="1" t="s">
        <v>1781</v>
      </c>
    </row>
    <row r="479" spans="1:4">
      <c r="A479" s="1" t="s">
        <v>2781</v>
      </c>
      <c r="B479" s="1" t="s">
        <v>2780</v>
      </c>
      <c r="C479" s="1" t="s">
        <v>40</v>
      </c>
      <c r="D479" s="1" t="s">
        <v>1781</v>
      </c>
    </row>
    <row r="480" spans="1:4">
      <c r="A480" s="1" t="s">
        <v>2783</v>
      </c>
      <c r="B480" s="1" t="s">
        <v>2782</v>
      </c>
      <c r="C480" s="1" t="s">
        <v>40</v>
      </c>
      <c r="D480" s="1" t="s">
        <v>1781</v>
      </c>
    </row>
    <row r="481" spans="1:4">
      <c r="A481" s="1" t="s">
        <v>2785</v>
      </c>
      <c r="B481" s="1" t="s">
        <v>2784</v>
      </c>
      <c r="C481" s="1" t="s">
        <v>40</v>
      </c>
      <c r="D481" s="1" t="s">
        <v>1781</v>
      </c>
    </row>
    <row r="482" spans="1:4">
      <c r="A482" s="1" t="s">
        <v>1340</v>
      </c>
      <c r="B482" s="1" t="s">
        <v>2786</v>
      </c>
      <c r="C482" s="1" t="s">
        <v>40</v>
      </c>
      <c r="D482" s="1" t="s">
        <v>1781</v>
      </c>
    </row>
    <row r="483" spans="1:4">
      <c r="A483" s="1" t="s">
        <v>2788</v>
      </c>
      <c r="B483" s="1" t="s">
        <v>2787</v>
      </c>
      <c r="C483" s="1" t="s">
        <v>40</v>
      </c>
      <c r="D483" s="1" t="s">
        <v>1781</v>
      </c>
    </row>
    <row r="484" spans="1:4">
      <c r="A484" s="1" t="s">
        <v>1584</v>
      </c>
      <c r="B484" s="1" t="s">
        <v>2789</v>
      </c>
      <c r="C484" s="1" t="s">
        <v>40</v>
      </c>
      <c r="D484" s="1" t="s">
        <v>1781</v>
      </c>
    </row>
    <row r="485" spans="1:4">
      <c r="A485" s="1" t="s">
        <v>1548</v>
      </c>
      <c r="B485" s="1" t="s">
        <v>2790</v>
      </c>
      <c r="C485" s="1" t="s">
        <v>40</v>
      </c>
      <c r="D485" s="1" t="s">
        <v>1781</v>
      </c>
    </row>
    <row r="486" spans="1:4">
      <c r="A486" s="1" t="s">
        <v>2792</v>
      </c>
      <c r="B486" s="1" t="s">
        <v>2791</v>
      </c>
      <c r="C486" s="1" t="s">
        <v>40</v>
      </c>
      <c r="D486" s="1" t="s">
        <v>1781</v>
      </c>
    </row>
    <row r="487" spans="1:4">
      <c r="A487" s="1" t="s">
        <v>2794</v>
      </c>
      <c r="B487" s="1" t="s">
        <v>2793</v>
      </c>
      <c r="C487" s="1" t="s">
        <v>40</v>
      </c>
      <c r="D487" s="1" t="s">
        <v>1781</v>
      </c>
    </row>
    <row r="488" spans="1:4">
      <c r="A488" s="1" t="s">
        <v>2796</v>
      </c>
      <c r="B488" s="1" t="s">
        <v>2795</v>
      </c>
      <c r="C488" s="1" t="s">
        <v>40</v>
      </c>
      <c r="D488" s="1" t="s">
        <v>1781</v>
      </c>
    </row>
    <row r="489" spans="1:4">
      <c r="A489" s="1" t="s">
        <v>2798</v>
      </c>
      <c r="B489" s="1" t="s">
        <v>2797</v>
      </c>
      <c r="C489" s="1" t="s">
        <v>40</v>
      </c>
      <c r="D489" s="1" t="s">
        <v>1781</v>
      </c>
    </row>
    <row r="490" spans="1:4">
      <c r="A490" s="1" t="s">
        <v>2800</v>
      </c>
      <c r="B490" s="1" t="s">
        <v>2799</v>
      </c>
      <c r="C490" s="1" t="s">
        <v>40</v>
      </c>
      <c r="D490" s="1" t="s">
        <v>1781</v>
      </c>
    </row>
    <row r="491" spans="1:4">
      <c r="A491" s="1" t="s">
        <v>2802</v>
      </c>
      <c r="B491" s="1" t="s">
        <v>2801</v>
      </c>
      <c r="C491" s="1" t="s">
        <v>40</v>
      </c>
      <c r="D491" s="1" t="s">
        <v>1781</v>
      </c>
    </row>
    <row r="492" spans="1:4">
      <c r="A492" s="1" t="s">
        <v>1425</v>
      </c>
      <c r="B492" s="1" t="s">
        <v>2803</v>
      </c>
      <c r="C492" s="1" t="s">
        <v>40</v>
      </c>
      <c r="D492" s="1" t="s">
        <v>1781</v>
      </c>
    </row>
    <row r="493" spans="1:4">
      <c r="A493" s="1" t="s">
        <v>2805</v>
      </c>
      <c r="B493" s="1" t="s">
        <v>2804</v>
      </c>
      <c r="C493" s="1" t="s">
        <v>40</v>
      </c>
      <c r="D493" s="1" t="s">
        <v>1781</v>
      </c>
    </row>
    <row r="494" spans="1:4">
      <c r="A494" s="1" t="s">
        <v>2807</v>
      </c>
      <c r="B494" s="1" t="s">
        <v>2806</v>
      </c>
      <c r="C494" s="1" t="s">
        <v>40</v>
      </c>
      <c r="D494" s="1" t="s">
        <v>1781</v>
      </c>
    </row>
    <row r="495" spans="1:4">
      <c r="A495" s="1" t="s">
        <v>2809</v>
      </c>
      <c r="B495" s="1" t="s">
        <v>2808</v>
      </c>
      <c r="C495" s="1" t="s">
        <v>40</v>
      </c>
      <c r="D495" s="1" t="s">
        <v>1781</v>
      </c>
    </row>
    <row r="496" spans="1:4">
      <c r="A496" s="1" t="s">
        <v>2811</v>
      </c>
      <c r="B496" s="1" t="s">
        <v>2810</v>
      </c>
      <c r="C496" s="1" t="s">
        <v>40</v>
      </c>
      <c r="D496" s="1" t="s">
        <v>1781</v>
      </c>
    </row>
    <row r="497" spans="1:4">
      <c r="A497" s="1" t="s">
        <v>2813</v>
      </c>
      <c r="B497" s="1" t="s">
        <v>2812</v>
      </c>
      <c r="C497" s="1" t="s">
        <v>40</v>
      </c>
      <c r="D497" s="1" t="s">
        <v>1781</v>
      </c>
    </row>
    <row r="498" spans="1:4">
      <c r="A498" s="1" t="s">
        <v>2815</v>
      </c>
      <c r="B498" s="1" t="s">
        <v>2814</v>
      </c>
      <c r="C498" s="1" t="s">
        <v>40</v>
      </c>
      <c r="D498" s="1" t="s">
        <v>1781</v>
      </c>
    </row>
    <row r="499" spans="1:4">
      <c r="A499" s="1" t="s">
        <v>2817</v>
      </c>
      <c r="B499" s="1" t="s">
        <v>2816</v>
      </c>
      <c r="C499" s="1" t="s">
        <v>40</v>
      </c>
      <c r="D499" s="1" t="s">
        <v>1781</v>
      </c>
    </row>
    <row r="500" spans="1:4">
      <c r="A500" s="1" t="s">
        <v>2819</v>
      </c>
      <c r="B500" s="1" t="s">
        <v>2818</v>
      </c>
      <c r="C500" s="1" t="s">
        <v>40</v>
      </c>
      <c r="D500" s="1" t="s">
        <v>1781</v>
      </c>
    </row>
    <row r="501" spans="1:4">
      <c r="A501" s="1" t="s">
        <v>2821</v>
      </c>
      <c r="B501" s="1" t="s">
        <v>2820</v>
      </c>
      <c r="C501" s="1" t="s">
        <v>40</v>
      </c>
      <c r="D501" s="1" t="s">
        <v>1781</v>
      </c>
    </row>
    <row r="502" spans="1:4">
      <c r="A502" s="1" t="s">
        <v>2823</v>
      </c>
      <c r="B502" s="1" t="s">
        <v>2822</v>
      </c>
      <c r="C502" s="1" t="s">
        <v>40</v>
      </c>
      <c r="D502" s="1" t="s">
        <v>1781</v>
      </c>
    </row>
    <row r="503" spans="1:4">
      <c r="A503" s="1" t="s">
        <v>2825</v>
      </c>
      <c r="B503" s="1" t="s">
        <v>2824</v>
      </c>
      <c r="C503" s="1" t="s">
        <v>40</v>
      </c>
      <c r="D503" s="1" t="s">
        <v>1781</v>
      </c>
    </row>
    <row r="504" spans="1:4">
      <c r="A504" s="1" t="s">
        <v>2827</v>
      </c>
      <c r="B504" s="1" t="s">
        <v>2826</v>
      </c>
      <c r="C504" s="1" t="s">
        <v>40</v>
      </c>
      <c r="D504" s="1" t="s">
        <v>1781</v>
      </c>
    </row>
    <row r="505" spans="1:4">
      <c r="A505" s="1" t="s">
        <v>2829</v>
      </c>
      <c r="B505" s="1" t="s">
        <v>2828</v>
      </c>
      <c r="C505" s="1" t="s">
        <v>40</v>
      </c>
      <c r="D505" s="1" t="s">
        <v>1781</v>
      </c>
    </row>
    <row r="506" spans="1:4">
      <c r="A506" s="1" t="s">
        <v>1184</v>
      </c>
      <c r="B506" s="1" t="s">
        <v>2830</v>
      </c>
      <c r="C506" s="1" t="s">
        <v>40</v>
      </c>
      <c r="D506" s="1" t="s">
        <v>1781</v>
      </c>
    </row>
    <row r="507" spans="1:4">
      <c r="A507" s="1" t="s">
        <v>2832</v>
      </c>
      <c r="B507" s="1" t="s">
        <v>2831</v>
      </c>
      <c r="C507" s="1" t="s">
        <v>40</v>
      </c>
      <c r="D507" s="1" t="s">
        <v>1781</v>
      </c>
    </row>
    <row r="508" spans="1:4">
      <c r="A508" s="1" t="s">
        <v>2834</v>
      </c>
      <c r="B508" s="1" t="s">
        <v>2833</v>
      </c>
      <c r="C508" s="1" t="s">
        <v>40</v>
      </c>
      <c r="D508" s="1" t="s">
        <v>1781</v>
      </c>
    </row>
    <row r="509" spans="1:4">
      <c r="A509" s="1" t="s">
        <v>2836</v>
      </c>
      <c r="B509" s="1" t="s">
        <v>2835</v>
      </c>
      <c r="C509" s="1" t="s">
        <v>40</v>
      </c>
      <c r="D509" s="1" t="s">
        <v>1781</v>
      </c>
    </row>
    <row r="510" spans="1:4">
      <c r="A510" s="1" t="s">
        <v>2838</v>
      </c>
      <c r="B510" s="1" t="s">
        <v>2837</v>
      </c>
      <c r="C510" s="1" t="s">
        <v>40</v>
      </c>
      <c r="D510" s="1" t="s">
        <v>1781</v>
      </c>
    </row>
    <row r="511" spans="1:4">
      <c r="A511" s="1" t="s">
        <v>2840</v>
      </c>
      <c r="B511" s="1" t="s">
        <v>2839</v>
      </c>
      <c r="C511" s="1" t="s">
        <v>40</v>
      </c>
      <c r="D511" s="1" t="s">
        <v>1781</v>
      </c>
    </row>
    <row r="512" spans="1:4">
      <c r="A512" s="1" t="s">
        <v>2842</v>
      </c>
      <c r="B512" s="1" t="s">
        <v>2841</v>
      </c>
      <c r="C512" s="1" t="s">
        <v>40</v>
      </c>
      <c r="D512" s="1" t="s">
        <v>1781</v>
      </c>
    </row>
    <row r="513" spans="1:4">
      <c r="A513" s="1" t="s">
        <v>2844</v>
      </c>
      <c r="B513" s="1" t="s">
        <v>2843</v>
      </c>
      <c r="C513" s="1" t="s">
        <v>40</v>
      </c>
      <c r="D513" s="1" t="s">
        <v>1781</v>
      </c>
    </row>
    <row r="514" spans="1:4">
      <c r="A514" s="1" t="s">
        <v>2846</v>
      </c>
      <c r="B514" s="1" t="s">
        <v>2845</v>
      </c>
      <c r="C514" s="1" t="s">
        <v>40</v>
      </c>
      <c r="D514" s="1" t="s">
        <v>1781</v>
      </c>
    </row>
    <row r="515" spans="1:4">
      <c r="A515" s="1" t="s">
        <v>2848</v>
      </c>
      <c r="B515" s="1" t="s">
        <v>2847</v>
      </c>
      <c r="C515" s="1" t="s">
        <v>40</v>
      </c>
      <c r="D515" s="1" t="s">
        <v>1781</v>
      </c>
    </row>
    <row r="516" spans="1:4">
      <c r="A516" s="1" t="s">
        <v>2850</v>
      </c>
      <c r="B516" s="1" t="s">
        <v>2849</v>
      </c>
      <c r="C516" s="1" t="s">
        <v>40</v>
      </c>
      <c r="D516" s="1" t="s">
        <v>1781</v>
      </c>
    </row>
    <row r="517" spans="1:4">
      <c r="A517" s="1" t="s">
        <v>2852</v>
      </c>
      <c r="B517" s="1" t="s">
        <v>2851</v>
      </c>
      <c r="C517" s="1" t="s">
        <v>40</v>
      </c>
      <c r="D517" s="1" t="s">
        <v>1781</v>
      </c>
    </row>
    <row r="518" spans="1:4">
      <c r="A518" s="1" t="s">
        <v>1638</v>
      </c>
      <c r="B518" s="1" t="s">
        <v>2853</v>
      </c>
      <c r="C518" s="1" t="s">
        <v>40</v>
      </c>
      <c r="D518" s="1" t="s">
        <v>1781</v>
      </c>
    </row>
    <row r="519" spans="1:4">
      <c r="A519" s="1" t="s">
        <v>1107</v>
      </c>
      <c r="B519" s="1" t="s">
        <v>2854</v>
      </c>
      <c r="C519" s="1" t="s">
        <v>40</v>
      </c>
      <c r="D519" s="1" t="s">
        <v>1781</v>
      </c>
    </row>
    <row r="520" spans="1:4">
      <c r="A520" s="1" t="s">
        <v>2856</v>
      </c>
      <c r="B520" s="1" t="s">
        <v>2855</v>
      </c>
      <c r="C520" s="1" t="s">
        <v>40</v>
      </c>
      <c r="D520" s="1" t="s">
        <v>1781</v>
      </c>
    </row>
    <row r="521" spans="1:4">
      <c r="A521" s="1" t="s">
        <v>2858</v>
      </c>
      <c r="B521" s="1" t="s">
        <v>2857</v>
      </c>
      <c r="C521" s="1" t="s">
        <v>40</v>
      </c>
      <c r="D521" s="1" t="s">
        <v>1781</v>
      </c>
    </row>
    <row r="522" spans="1:4">
      <c r="A522" s="1" t="s">
        <v>2860</v>
      </c>
      <c r="B522" s="1" t="s">
        <v>2859</v>
      </c>
      <c r="C522" s="1" t="s">
        <v>40</v>
      </c>
      <c r="D522" s="1" t="s">
        <v>1781</v>
      </c>
    </row>
    <row r="523" spans="1:4">
      <c r="A523" s="1" t="s">
        <v>1689</v>
      </c>
      <c r="B523" s="1" t="s">
        <v>2861</v>
      </c>
      <c r="C523" s="1" t="s">
        <v>40</v>
      </c>
      <c r="D523" s="1" t="s">
        <v>1781</v>
      </c>
    </row>
    <row r="524" spans="1:4">
      <c r="A524" s="1" t="s">
        <v>2863</v>
      </c>
      <c r="B524" s="1" t="s">
        <v>2862</v>
      </c>
      <c r="C524" s="1" t="s">
        <v>40</v>
      </c>
      <c r="D524" s="1" t="s">
        <v>1781</v>
      </c>
    </row>
    <row r="525" spans="1:4">
      <c r="A525" s="1" t="s">
        <v>2865</v>
      </c>
      <c r="B525" s="1" t="s">
        <v>2864</v>
      </c>
      <c r="C525" s="1" t="s">
        <v>40</v>
      </c>
      <c r="D525" s="1" t="s">
        <v>1781</v>
      </c>
    </row>
    <row r="526" spans="1:4">
      <c r="A526" s="1" t="s">
        <v>2867</v>
      </c>
      <c r="B526" s="1" t="s">
        <v>2866</v>
      </c>
      <c r="C526" s="1" t="s">
        <v>40</v>
      </c>
      <c r="D526" s="1" t="s">
        <v>1781</v>
      </c>
    </row>
    <row r="527" spans="1:4">
      <c r="A527" s="1" t="s">
        <v>2869</v>
      </c>
      <c r="B527" s="1" t="s">
        <v>2868</v>
      </c>
      <c r="C527" s="1" t="s">
        <v>40</v>
      </c>
      <c r="D527" s="1" t="s">
        <v>1781</v>
      </c>
    </row>
    <row r="528" spans="1:4">
      <c r="A528" s="1" t="s">
        <v>2871</v>
      </c>
      <c r="B528" s="1" t="s">
        <v>2870</v>
      </c>
      <c r="C528" s="1" t="s">
        <v>40</v>
      </c>
      <c r="D528" s="1" t="s">
        <v>1781</v>
      </c>
    </row>
    <row r="529" spans="1:4">
      <c r="A529" s="1" t="s">
        <v>2873</v>
      </c>
      <c r="B529" s="1" t="s">
        <v>2872</v>
      </c>
      <c r="C529" s="1" t="s">
        <v>40</v>
      </c>
      <c r="D529" s="1" t="s">
        <v>1781</v>
      </c>
    </row>
    <row r="530" spans="1:4">
      <c r="A530" s="1" t="s">
        <v>2875</v>
      </c>
      <c r="B530" s="1" t="s">
        <v>2874</v>
      </c>
      <c r="C530" s="1" t="s">
        <v>40</v>
      </c>
      <c r="D530" s="1" t="s">
        <v>1781</v>
      </c>
    </row>
    <row r="531" spans="1:4">
      <c r="A531" s="1" t="s">
        <v>2877</v>
      </c>
      <c r="B531" s="1" t="s">
        <v>2876</v>
      </c>
      <c r="C531" s="1" t="s">
        <v>40</v>
      </c>
      <c r="D531" s="1" t="s">
        <v>1781</v>
      </c>
    </row>
    <row r="532" spans="1:4">
      <c r="A532" s="1" t="s">
        <v>2879</v>
      </c>
      <c r="B532" s="1" t="s">
        <v>2878</v>
      </c>
      <c r="C532" s="1" t="s">
        <v>40</v>
      </c>
      <c r="D532" s="1" t="s">
        <v>1781</v>
      </c>
    </row>
    <row r="533" spans="1:4">
      <c r="A533" s="1" t="s">
        <v>822</v>
      </c>
      <c r="B533" s="1" t="s">
        <v>2880</v>
      </c>
      <c r="C533" s="1" t="s">
        <v>40</v>
      </c>
      <c r="D533" s="1" t="s">
        <v>1781</v>
      </c>
    </row>
    <row r="534" spans="1:4">
      <c r="A534" s="1" t="s">
        <v>2882</v>
      </c>
      <c r="B534" s="1" t="s">
        <v>2881</v>
      </c>
      <c r="C534" s="1" t="s">
        <v>40</v>
      </c>
      <c r="D534" s="1" t="s">
        <v>1781</v>
      </c>
    </row>
    <row r="535" spans="1:4">
      <c r="A535" s="1" t="s">
        <v>2884</v>
      </c>
      <c r="B535" s="1" t="s">
        <v>2883</v>
      </c>
      <c r="C535" s="1" t="s">
        <v>40</v>
      </c>
      <c r="D535" s="1" t="s">
        <v>1781</v>
      </c>
    </row>
    <row r="536" spans="1:4">
      <c r="A536" s="1" t="s">
        <v>2886</v>
      </c>
      <c r="B536" s="1" t="s">
        <v>2885</v>
      </c>
      <c r="C536" s="1" t="s">
        <v>40</v>
      </c>
      <c r="D536" s="1" t="s">
        <v>1781</v>
      </c>
    </row>
    <row r="537" spans="1:4">
      <c r="A537" s="1" t="s">
        <v>2888</v>
      </c>
      <c r="B537" s="1" t="s">
        <v>2887</v>
      </c>
      <c r="C537" s="1" t="s">
        <v>40</v>
      </c>
      <c r="D537" s="1" t="s">
        <v>1781</v>
      </c>
    </row>
    <row r="538" spans="1:4">
      <c r="A538" s="1" t="s">
        <v>2890</v>
      </c>
      <c r="B538" s="1" t="s">
        <v>2889</v>
      </c>
      <c r="C538" s="1" t="s">
        <v>40</v>
      </c>
      <c r="D538" s="1" t="s">
        <v>1781</v>
      </c>
    </row>
    <row r="539" spans="1:4">
      <c r="A539" s="1" t="s">
        <v>2892</v>
      </c>
      <c r="B539" s="1" t="s">
        <v>2891</v>
      </c>
      <c r="C539" s="1" t="s">
        <v>40</v>
      </c>
      <c r="D539" s="1" t="s">
        <v>1781</v>
      </c>
    </row>
    <row r="540" spans="1:4">
      <c r="A540" s="1" t="s">
        <v>2894</v>
      </c>
      <c r="B540" s="1" t="s">
        <v>2893</v>
      </c>
      <c r="C540" s="1" t="s">
        <v>40</v>
      </c>
      <c r="D540" s="1" t="s">
        <v>1781</v>
      </c>
    </row>
    <row r="541" spans="1:4">
      <c r="A541" s="1" t="s">
        <v>2896</v>
      </c>
      <c r="B541" s="1" t="s">
        <v>2895</v>
      </c>
      <c r="C541" s="1" t="s">
        <v>40</v>
      </c>
      <c r="D541" s="1" t="s">
        <v>1781</v>
      </c>
    </row>
    <row r="542" spans="1:4">
      <c r="A542" s="1" t="s">
        <v>2898</v>
      </c>
      <c r="B542" s="1" t="s">
        <v>2897</v>
      </c>
      <c r="C542" s="1" t="s">
        <v>40</v>
      </c>
      <c r="D542" s="1" t="s">
        <v>1781</v>
      </c>
    </row>
    <row r="543" spans="1:4">
      <c r="A543" s="1" t="s">
        <v>2900</v>
      </c>
      <c r="B543" s="1" t="s">
        <v>2899</v>
      </c>
      <c r="C543" s="1" t="s">
        <v>40</v>
      </c>
      <c r="D543" s="1" t="s">
        <v>1781</v>
      </c>
    </row>
    <row r="544" spans="1:4">
      <c r="A544" s="1" t="s">
        <v>1744</v>
      </c>
      <c r="B544" s="1" t="s">
        <v>2901</v>
      </c>
      <c r="C544" s="1" t="s">
        <v>40</v>
      </c>
      <c r="D544" s="1" t="s">
        <v>1781</v>
      </c>
    </row>
    <row r="545" spans="1:4">
      <c r="A545" s="1" t="s">
        <v>2903</v>
      </c>
      <c r="B545" s="1" t="s">
        <v>2902</v>
      </c>
      <c r="C545" s="1" t="s">
        <v>40</v>
      </c>
      <c r="D545" s="1" t="s">
        <v>1781</v>
      </c>
    </row>
    <row r="546" spans="1:4">
      <c r="A546" s="1" t="s">
        <v>2905</v>
      </c>
      <c r="B546" s="1" t="s">
        <v>2904</v>
      </c>
      <c r="C546" s="1" t="s">
        <v>40</v>
      </c>
      <c r="D546" s="1" t="s">
        <v>1781</v>
      </c>
    </row>
    <row r="547" spans="1:4">
      <c r="A547" s="1" t="s">
        <v>2907</v>
      </c>
      <c r="B547" s="1" t="s">
        <v>2906</v>
      </c>
      <c r="C547" s="1" t="s">
        <v>40</v>
      </c>
      <c r="D547" s="1" t="s">
        <v>1781</v>
      </c>
    </row>
    <row r="548" spans="1:4">
      <c r="A548" s="1" t="s">
        <v>2909</v>
      </c>
      <c r="B548" s="1" t="s">
        <v>2908</v>
      </c>
      <c r="C548" s="1" t="s">
        <v>40</v>
      </c>
      <c r="D548" s="1" t="s">
        <v>1781</v>
      </c>
    </row>
    <row r="549" spans="1:4">
      <c r="A549" s="1" t="s">
        <v>2911</v>
      </c>
      <c r="B549" s="1" t="s">
        <v>2910</v>
      </c>
      <c r="C549" s="1" t="s">
        <v>40</v>
      </c>
      <c r="D549" s="1" t="s">
        <v>1781</v>
      </c>
    </row>
    <row r="550" spans="1:4">
      <c r="A550" s="1" t="s">
        <v>2913</v>
      </c>
      <c r="B550" s="1" t="s">
        <v>2912</v>
      </c>
      <c r="C550" s="1" t="s">
        <v>40</v>
      </c>
      <c r="D550" s="1" t="s">
        <v>1781</v>
      </c>
    </row>
    <row r="551" spans="1:4">
      <c r="A551" s="1" t="s">
        <v>2915</v>
      </c>
      <c r="B551" s="1" t="s">
        <v>2914</v>
      </c>
      <c r="C551" s="1" t="s">
        <v>40</v>
      </c>
      <c r="D551" s="1" t="s">
        <v>1781</v>
      </c>
    </row>
    <row r="552" spans="1:4">
      <c r="A552" s="1" t="s">
        <v>2917</v>
      </c>
      <c r="B552" s="1" t="s">
        <v>2916</v>
      </c>
      <c r="C552" s="1" t="s">
        <v>40</v>
      </c>
      <c r="D552" s="1" t="s">
        <v>1781</v>
      </c>
    </row>
    <row r="553" spans="1:4">
      <c r="A553" s="1" t="s">
        <v>2919</v>
      </c>
      <c r="B553" s="1" t="s">
        <v>2918</v>
      </c>
      <c r="C553" s="1" t="s">
        <v>40</v>
      </c>
      <c r="D553" s="1" t="s">
        <v>1781</v>
      </c>
    </row>
    <row r="554" spans="1:4">
      <c r="A554" s="1" t="s">
        <v>2921</v>
      </c>
      <c r="B554" s="1" t="s">
        <v>2920</v>
      </c>
      <c r="C554" s="1" t="s">
        <v>40</v>
      </c>
      <c r="D554" s="1" t="s">
        <v>1781</v>
      </c>
    </row>
    <row r="555" spans="1:4">
      <c r="A555" s="1" t="s">
        <v>2923</v>
      </c>
      <c r="B555" s="1" t="s">
        <v>2922</v>
      </c>
      <c r="C555" s="1" t="s">
        <v>40</v>
      </c>
      <c r="D555" s="1" t="s">
        <v>1781</v>
      </c>
    </row>
    <row r="556" spans="1:4">
      <c r="A556" s="1" t="s">
        <v>2925</v>
      </c>
      <c r="B556" s="1" t="s">
        <v>2924</v>
      </c>
      <c r="C556" s="1" t="s">
        <v>40</v>
      </c>
      <c r="D556" s="1" t="s">
        <v>1781</v>
      </c>
    </row>
    <row r="557" spans="1:4">
      <c r="A557" s="1" t="s">
        <v>2927</v>
      </c>
      <c r="B557" s="1" t="s">
        <v>2926</v>
      </c>
      <c r="C557" s="1" t="s">
        <v>40</v>
      </c>
      <c r="D557" s="1" t="s">
        <v>1781</v>
      </c>
    </row>
    <row r="558" spans="1:4">
      <c r="A558" s="1" t="s">
        <v>1648</v>
      </c>
      <c r="B558" s="1" t="s">
        <v>2928</v>
      </c>
      <c r="C558" s="1" t="s">
        <v>40</v>
      </c>
      <c r="D558" s="1" t="s">
        <v>1781</v>
      </c>
    </row>
    <row r="559" spans="1:4">
      <c r="A559" s="1" t="s">
        <v>683</v>
      </c>
      <c r="B559" s="1" t="s">
        <v>2929</v>
      </c>
      <c r="C559" s="1" t="s">
        <v>40</v>
      </c>
      <c r="D559" s="1" t="s">
        <v>1781</v>
      </c>
    </row>
    <row r="560" spans="1:4">
      <c r="A560" s="1" t="s">
        <v>2931</v>
      </c>
      <c r="B560" s="1" t="s">
        <v>2930</v>
      </c>
      <c r="C560" s="1" t="s">
        <v>40</v>
      </c>
      <c r="D560" s="1" t="s">
        <v>1781</v>
      </c>
    </row>
    <row r="561" spans="1:4">
      <c r="A561" s="1" t="s">
        <v>895</v>
      </c>
      <c r="B561" s="1" t="s">
        <v>2932</v>
      </c>
      <c r="C561" s="1" t="s">
        <v>40</v>
      </c>
      <c r="D561" s="1" t="s">
        <v>1781</v>
      </c>
    </row>
    <row r="562" spans="1:4">
      <c r="A562" s="1" t="s">
        <v>1607</v>
      </c>
      <c r="B562" s="1" t="s">
        <v>2933</v>
      </c>
      <c r="C562" s="1" t="s">
        <v>40</v>
      </c>
      <c r="D562" s="1" t="s">
        <v>1781</v>
      </c>
    </row>
    <row r="563" spans="1:4">
      <c r="A563" s="1" t="s">
        <v>721</v>
      </c>
      <c r="B563" s="1" t="s">
        <v>2934</v>
      </c>
      <c r="C563" s="1" t="s">
        <v>40</v>
      </c>
      <c r="D563" s="1" t="s">
        <v>1781</v>
      </c>
    </row>
    <row r="564" spans="1:4">
      <c r="A564" s="1" t="s">
        <v>783</v>
      </c>
      <c r="B564" s="1" t="s">
        <v>2935</v>
      </c>
      <c r="C564" s="1" t="s">
        <v>40</v>
      </c>
      <c r="D564" s="1" t="s">
        <v>1781</v>
      </c>
    </row>
    <row r="565" spans="1:4">
      <c r="A565" s="1" t="s">
        <v>2937</v>
      </c>
      <c r="B565" s="1" t="s">
        <v>2936</v>
      </c>
      <c r="C565" s="1" t="s">
        <v>40</v>
      </c>
      <c r="D565" s="1" t="s">
        <v>1781</v>
      </c>
    </row>
    <row r="566" spans="1:4">
      <c r="A566" s="1" t="s">
        <v>2939</v>
      </c>
      <c r="B566" s="1" t="s">
        <v>2938</v>
      </c>
      <c r="C566" s="1" t="s">
        <v>40</v>
      </c>
      <c r="D566" s="1" t="s">
        <v>1781</v>
      </c>
    </row>
    <row r="567" spans="1:4">
      <c r="A567" s="1" t="s">
        <v>2941</v>
      </c>
      <c r="B567" s="1" t="s">
        <v>2940</v>
      </c>
      <c r="C567" s="1" t="s">
        <v>40</v>
      </c>
      <c r="D567" s="1" t="s">
        <v>1781</v>
      </c>
    </row>
    <row r="568" spans="1:4">
      <c r="A568" s="1" t="s">
        <v>1088</v>
      </c>
      <c r="B568" s="1" t="s">
        <v>2942</v>
      </c>
      <c r="C568" s="1" t="s">
        <v>40</v>
      </c>
      <c r="D568" s="1" t="s">
        <v>1781</v>
      </c>
    </row>
    <row r="569" spans="1:4">
      <c r="A569" s="1" t="s">
        <v>2944</v>
      </c>
      <c r="B569" s="1" t="s">
        <v>2943</v>
      </c>
      <c r="C569" s="1" t="s">
        <v>40</v>
      </c>
      <c r="D569" s="1" t="s">
        <v>1781</v>
      </c>
    </row>
    <row r="570" spans="1:4">
      <c r="A570" s="1" t="s">
        <v>1613</v>
      </c>
      <c r="B570" s="1" t="s">
        <v>2945</v>
      </c>
      <c r="C570" s="1" t="s">
        <v>40</v>
      </c>
      <c r="D570" s="1" t="s">
        <v>1781</v>
      </c>
    </row>
    <row r="571" spans="1:4">
      <c r="A571" s="1" t="s">
        <v>2947</v>
      </c>
      <c r="B571" s="1" t="s">
        <v>2946</v>
      </c>
      <c r="C571" s="1" t="s">
        <v>40</v>
      </c>
      <c r="D571" s="1" t="s">
        <v>1781</v>
      </c>
    </row>
    <row r="572" spans="1:4">
      <c r="A572" s="1" t="s">
        <v>2949</v>
      </c>
      <c r="B572" s="1" t="s">
        <v>2948</v>
      </c>
      <c r="C572" s="1" t="s">
        <v>40</v>
      </c>
      <c r="D572" s="1" t="s">
        <v>1781</v>
      </c>
    </row>
    <row r="573" spans="1:4">
      <c r="A573" s="1" t="s">
        <v>2951</v>
      </c>
      <c r="B573" s="1" t="s">
        <v>2950</v>
      </c>
      <c r="C573" s="1" t="s">
        <v>40</v>
      </c>
      <c r="D573" s="1" t="s">
        <v>1781</v>
      </c>
    </row>
    <row r="574" spans="1:4">
      <c r="A574" s="1" t="s">
        <v>2953</v>
      </c>
      <c r="B574" s="1" t="s">
        <v>2952</v>
      </c>
      <c r="C574" s="1" t="s">
        <v>40</v>
      </c>
      <c r="D574" s="1" t="s">
        <v>1781</v>
      </c>
    </row>
    <row r="575" spans="1:4">
      <c r="A575" s="1" t="s">
        <v>2955</v>
      </c>
      <c r="B575" s="1" t="s">
        <v>2954</v>
      </c>
      <c r="C575" s="1" t="s">
        <v>40</v>
      </c>
      <c r="D575" s="1" t="s">
        <v>1781</v>
      </c>
    </row>
    <row r="576" spans="1:4">
      <c r="A576" s="1" t="s">
        <v>2957</v>
      </c>
      <c r="B576" s="1" t="s">
        <v>2956</v>
      </c>
      <c r="C576" s="1" t="s">
        <v>40</v>
      </c>
      <c r="D576" s="1" t="s">
        <v>1781</v>
      </c>
    </row>
    <row r="577" spans="1:4">
      <c r="A577" s="1" t="s">
        <v>2959</v>
      </c>
      <c r="B577" s="1" t="s">
        <v>2958</v>
      </c>
      <c r="C577" s="1" t="s">
        <v>40</v>
      </c>
      <c r="D577" s="1" t="s">
        <v>1781</v>
      </c>
    </row>
    <row r="578" spans="1:4">
      <c r="A578" s="1" t="s">
        <v>2961</v>
      </c>
      <c r="B578" s="1" t="s">
        <v>2960</v>
      </c>
      <c r="C578" s="1" t="s">
        <v>40</v>
      </c>
      <c r="D578" s="1" t="s">
        <v>1781</v>
      </c>
    </row>
    <row r="579" spans="1:4">
      <c r="A579" s="1" t="s">
        <v>2963</v>
      </c>
      <c r="B579" s="1" t="s">
        <v>2962</v>
      </c>
      <c r="C579" s="1" t="s">
        <v>40</v>
      </c>
      <c r="D579" s="1" t="s">
        <v>1781</v>
      </c>
    </row>
    <row r="580" spans="1:4">
      <c r="A580" s="1" t="s">
        <v>2965</v>
      </c>
      <c r="B580" s="1" t="s">
        <v>2964</v>
      </c>
      <c r="C580" s="1" t="s">
        <v>40</v>
      </c>
      <c r="D580" s="1" t="s">
        <v>1781</v>
      </c>
    </row>
    <row r="581" spans="1:4">
      <c r="A581" s="1" t="s">
        <v>2967</v>
      </c>
      <c r="B581" s="1" t="s">
        <v>2966</v>
      </c>
      <c r="C581" s="1" t="s">
        <v>40</v>
      </c>
      <c r="D581" s="1" t="s">
        <v>1781</v>
      </c>
    </row>
    <row r="582" spans="1:4">
      <c r="A582" s="1" t="s">
        <v>2969</v>
      </c>
      <c r="B582" s="1" t="s">
        <v>2968</v>
      </c>
      <c r="C582" s="1" t="s">
        <v>40</v>
      </c>
      <c r="D582" s="1" t="s">
        <v>1781</v>
      </c>
    </row>
    <row r="583" spans="1:4">
      <c r="A583" s="1" t="s">
        <v>2971</v>
      </c>
      <c r="B583" s="1" t="s">
        <v>2970</v>
      </c>
      <c r="C583" s="1" t="s">
        <v>40</v>
      </c>
      <c r="D583" s="1" t="s">
        <v>1781</v>
      </c>
    </row>
    <row r="584" spans="1:4">
      <c r="A584" s="1" t="s">
        <v>2973</v>
      </c>
      <c r="B584" s="1" t="s">
        <v>2972</v>
      </c>
      <c r="C584" s="1" t="s">
        <v>40</v>
      </c>
      <c r="D584" s="1" t="s">
        <v>1781</v>
      </c>
    </row>
    <row r="585" spans="1:4">
      <c r="A585" s="1" t="s">
        <v>2975</v>
      </c>
      <c r="B585" s="1" t="s">
        <v>2974</v>
      </c>
      <c r="C585" s="1" t="s">
        <v>40</v>
      </c>
      <c r="D585" s="1" t="s">
        <v>1781</v>
      </c>
    </row>
    <row r="586" spans="1:4">
      <c r="A586" s="1" t="s">
        <v>734</v>
      </c>
      <c r="B586" s="1" t="s">
        <v>2976</v>
      </c>
      <c r="C586" s="1" t="s">
        <v>40</v>
      </c>
      <c r="D586" s="1" t="s">
        <v>1781</v>
      </c>
    </row>
    <row r="587" spans="1:4">
      <c r="A587" s="1" t="s">
        <v>2978</v>
      </c>
      <c r="B587" s="1" t="s">
        <v>2977</v>
      </c>
      <c r="C587" s="1" t="s">
        <v>40</v>
      </c>
      <c r="D587" s="1" t="s">
        <v>1781</v>
      </c>
    </row>
    <row r="588" spans="1:4">
      <c r="A588" s="1" t="s">
        <v>2980</v>
      </c>
      <c r="B588" s="1" t="s">
        <v>2979</v>
      </c>
      <c r="C588" s="1" t="s">
        <v>40</v>
      </c>
      <c r="D588" s="1" t="s">
        <v>1781</v>
      </c>
    </row>
    <row r="589" spans="1:4">
      <c r="A589" s="1" t="s">
        <v>2982</v>
      </c>
      <c r="B589" s="1" t="s">
        <v>2981</v>
      </c>
      <c r="C589" s="1" t="s">
        <v>40</v>
      </c>
      <c r="D589" s="1" t="s">
        <v>1781</v>
      </c>
    </row>
    <row r="590" spans="1:4">
      <c r="A590" s="1" t="s">
        <v>2984</v>
      </c>
      <c r="B590" s="1" t="s">
        <v>2983</v>
      </c>
      <c r="C590" s="1" t="s">
        <v>40</v>
      </c>
      <c r="D590" s="1" t="s">
        <v>1781</v>
      </c>
    </row>
    <row r="591" spans="1:4">
      <c r="A591" s="1" t="s">
        <v>997</v>
      </c>
      <c r="B591" s="1" t="s">
        <v>2985</v>
      </c>
      <c r="C591" s="1" t="s">
        <v>40</v>
      </c>
      <c r="D591" s="1" t="s">
        <v>1781</v>
      </c>
    </row>
    <row r="592" spans="1:4">
      <c r="A592" s="1" t="s">
        <v>2987</v>
      </c>
      <c r="B592" s="1" t="s">
        <v>2986</v>
      </c>
      <c r="C592" s="1" t="s">
        <v>40</v>
      </c>
      <c r="D592" s="1" t="s">
        <v>1781</v>
      </c>
    </row>
    <row r="593" spans="1:4">
      <c r="A593" s="1" t="s">
        <v>2989</v>
      </c>
      <c r="B593" s="1" t="s">
        <v>2988</v>
      </c>
      <c r="C593" s="1" t="s">
        <v>40</v>
      </c>
      <c r="D593" s="1" t="s">
        <v>1781</v>
      </c>
    </row>
    <row r="594" spans="1:4">
      <c r="A594" s="1" t="s">
        <v>2991</v>
      </c>
      <c r="B594" s="1" t="s">
        <v>2990</v>
      </c>
      <c r="C594" s="1" t="s">
        <v>40</v>
      </c>
      <c r="D594" s="1" t="s">
        <v>1781</v>
      </c>
    </row>
    <row r="595" spans="1:4">
      <c r="A595" s="1" t="s">
        <v>2993</v>
      </c>
      <c r="B595" s="1" t="s">
        <v>2992</v>
      </c>
      <c r="C595" s="1" t="s">
        <v>40</v>
      </c>
      <c r="D595" s="1" t="s">
        <v>1781</v>
      </c>
    </row>
    <row r="596" spans="1:4">
      <c r="A596" s="1" t="s">
        <v>2995</v>
      </c>
      <c r="B596" s="1" t="s">
        <v>2994</v>
      </c>
      <c r="C596" s="1" t="s">
        <v>40</v>
      </c>
      <c r="D596" s="1" t="s">
        <v>1781</v>
      </c>
    </row>
    <row r="597" spans="1:4">
      <c r="A597" s="1" t="s">
        <v>938</v>
      </c>
      <c r="B597" s="1" t="s">
        <v>2996</v>
      </c>
      <c r="C597" s="1" t="s">
        <v>40</v>
      </c>
      <c r="D597" s="1" t="s">
        <v>1781</v>
      </c>
    </row>
    <row r="598" spans="1:4">
      <c r="A598" s="1" t="s">
        <v>2998</v>
      </c>
      <c r="B598" s="1" t="s">
        <v>2997</v>
      </c>
      <c r="C598" s="1" t="s">
        <v>40</v>
      </c>
      <c r="D598" s="1" t="s">
        <v>1781</v>
      </c>
    </row>
    <row r="599" spans="1:4">
      <c r="A599" s="1" t="s">
        <v>3000</v>
      </c>
      <c r="B599" s="1" t="s">
        <v>2999</v>
      </c>
      <c r="C599" s="1" t="s">
        <v>40</v>
      </c>
      <c r="D599" s="1" t="s">
        <v>1781</v>
      </c>
    </row>
    <row r="600" spans="1:4">
      <c r="A600" s="1" t="s">
        <v>1272</v>
      </c>
      <c r="B600" s="1" t="s">
        <v>3001</v>
      </c>
      <c r="C600" s="1" t="s">
        <v>40</v>
      </c>
      <c r="D600" s="1" t="s">
        <v>1781</v>
      </c>
    </row>
    <row r="601" spans="1:4">
      <c r="A601" s="1" t="s">
        <v>3003</v>
      </c>
      <c r="B601" s="1" t="s">
        <v>3002</v>
      </c>
      <c r="C601" s="1" t="s">
        <v>40</v>
      </c>
      <c r="D601" s="1" t="s">
        <v>1781</v>
      </c>
    </row>
    <row r="602" spans="1:4">
      <c r="A602" s="1" t="s">
        <v>753</v>
      </c>
      <c r="B602" s="1" t="s">
        <v>3004</v>
      </c>
      <c r="C602" s="1" t="s">
        <v>40</v>
      </c>
      <c r="D602" s="1" t="s">
        <v>1781</v>
      </c>
    </row>
    <row r="603" spans="1:4">
      <c r="A603" s="1" t="s">
        <v>3006</v>
      </c>
      <c r="B603" s="1" t="s">
        <v>3005</v>
      </c>
      <c r="C603" s="1" t="s">
        <v>40</v>
      </c>
      <c r="D603" s="1" t="s">
        <v>1781</v>
      </c>
    </row>
    <row r="604" spans="1:4">
      <c r="A604" s="1" t="s">
        <v>3008</v>
      </c>
      <c r="B604" s="1" t="s">
        <v>3007</v>
      </c>
      <c r="C604" s="1" t="s">
        <v>40</v>
      </c>
      <c r="D604" s="1" t="s">
        <v>1781</v>
      </c>
    </row>
    <row r="605" spans="1:4">
      <c r="A605" s="1" t="s">
        <v>1391</v>
      </c>
      <c r="B605" s="1" t="s">
        <v>3009</v>
      </c>
      <c r="C605" s="1" t="s">
        <v>40</v>
      </c>
      <c r="D605" s="1" t="s">
        <v>1781</v>
      </c>
    </row>
    <row r="606" spans="1:4">
      <c r="A606" s="1" t="s">
        <v>3011</v>
      </c>
      <c r="B606" s="1" t="s">
        <v>3010</v>
      </c>
      <c r="C606" s="1" t="s">
        <v>40</v>
      </c>
      <c r="D606" s="1" t="s">
        <v>1781</v>
      </c>
    </row>
    <row r="607" spans="1:4">
      <c r="A607" s="1" t="s">
        <v>3013</v>
      </c>
      <c r="B607" s="1" t="s">
        <v>3012</v>
      </c>
      <c r="C607" s="1" t="s">
        <v>40</v>
      </c>
      <c r="D607" s="1" t="s">
        <v>1781</v>
      </c>
    </row>
    <row r="608" spans="1:4">
      <c r="A608" s="1" t="s">
        <v>3015</v>
      </c>
      <c r="B608" s="1" t="s">
        <v>3014</v>
      </c>
      <c r="C608" s="1" t="s">
        <v>40</v>
      </c>
      <c r="D608" s="1" t="s">
        <v>1781</v>
      </c>
    </row>
    <row r="609" spans="1:4">
      <c r="A609" s="1" t="s">
        <v>3017</v>
      </c>
      <c r="B609" s="1" t="s">
        <v>3016</v>
      </c>
      <c r="C609" s="1" t="s">
        <v>40</v>
      </c>
      <c r="D609" s="1" t="s">
        <v>1781</v>
      </c>
    </row>
    <row r="610" spans="1:4">
      <c r="A610" s="1" t="s">
        <v>3019</v>
      </c>
      <c r="B610" s="1" t="s">
        <v>3018</v>
      </c>
      <c r="C610" s="1" t="s">
        <v>40</v>
      </c>
      <c r="D610" s="1" t="s">
        <v>1781</v>
      </c>
    </row>
    <row r="611" spans="1:4">
      <c r="A611" s="1" t="s">
        <v>3021</v>
      </c>
      <c r="B611" s="1" t="s">
        <v>3020</v>
      </c>
      <c r="C611" s="1" t="s">
        <v>40</v>
      </c>
      <c r="D611" s="1" t="s">
        <v>1781</v>
      </c>
    </row>
    <row r="612" spans="1:4">
      <c r="A612" s="1" t="s">
        <v>862</v>
      </c>
      <c r="B612" s="1" t="s">
        <v>3022</v>
      </c>
      <c r="C612" s="1" t="s">
        <v>40</v>
      </c>
      <c r="D612" s="1" t="s">
        <v>1781</v>
      </c>
    </row>
    <row r="613" spans="1:4">
      <c r="A613" s="1" t="s">
        <v>703</v>
      </c>
      <c r="B613" s="1" t="s">
        <v>3023</v>
      </c>
      <c r="C613" s="1" t="s">
        <v>40</v>
      </c>
      <c r="D613" s="1" t="s">
        <v>1781</v>
      </c>
    </row>
    <row r="614" spans="1:4">
      <c r="A614" s="1" t="s">
        <v>1476</v>
      </c>
      <c r="B614" s="1" t="s">
        <v>3024</v>
      </c>
      <c r="C614" s="1" t="s">
        <v>40</v>
      </c>
      <c r="D614" s="1" t="s">
        <v>1781</v>
      </c>
    </row>
    <row r="615" spans="1:4">
      <c r="A615" s="1" t="s">
        <v>3026</v>
      </c>
      <c r="B615" s="1" t="s">
        <v>3025</v>
      </c>
      <c r="C615" s="1" t="s">
        <v>40</v>
      </c>
      <c r="D615" s="1" t="s">
        <v>1781</v>
      </c>
    </row>
    <row r="616" spans="1:4">
      <c r="A616" s="1" t="s">
        <v>3028</v>
      </c>
      <c r="B616" s="1" t="s">
        <v>3027</v>
      </c>
      <c r="C616" s="1" t="s">
        <v>40</v>
      </c>
      <c r="D616" s="1" t="s">
        <v>1781</v>
      </c>
    </row>
    <row r="617" spans="1:4">
      <c r="A617" s="1" t="s">
        <v>3030</v>
      </c>
      <c r="B617" s="1" t="s">
        <v>3029</v>
      </c>
      <c r="C617" s="1" t="s">
        <v>40</v>
      </c>
      <c r="D617" s="1" t="s">
        <v>1781</v>
      </c>
    </row>
    <row r="618" spans="1:4">
      <c r="A618" s="1" t="s">
        <v>691</v>
      </c>
      <c r="B618" s="1" t="s">
        <v>3031</v>
      </c>
      <c r="C618" s="1" t="s">
        <v>40</v>
      </c>
      <c r="D618" s="1" t="s">
        <v>1781</v>
      </c>
    </row>
    <row r="619" spans="1:4">
      <c r="A619" s="1" t="s">
        <v>3033</v>
      </c>
      <c r="B619" s="1" t="s">
        <v>3032</v>
      </c>
      <c r="C619" s="1" t="s">
        <v>40</v>
      </c>
      <c r="D619" s="1" t="s">
        <v>1781</v>
      </c>
    </row>
    <row r="620" spans="1:4">
      <c r="A620" s="1" t="s">
        <v>743</v>
      </c>
      <c r="B620" s="1" t="s">
        <v>3034</v>
      </c>
      <c r="C620" s="1" t="s">
        <v>40</v>
      </c>
      <c r="D620" s="1" t="s">
        <v>1781</v>
      </c>
    </row>
    <row r="621" spans="1:4">
      <c r="A621" s="1" t="s">
        <v>3036</v>
      </c>
      <c r="B621" s="1" t="s">
        <v>3035</v>
      </c>
      <c r="C621" s="1" t="s">
        <v>40</v>
      </c>
      <c r="D621" s="1" t="s">
        <v>1781</v>
      </c>
    </row>
    <row r="622" spans="1:4">
      <c r="A622" s="1" t="s">
        <v>3038</v>
      </c>
      <c r="B622" s="1" t="s">
        <v>3037</v>
      </c>
      <c r="C622" s="1" t="s">
        <v>40</v>
      </c>
      <c r="D622" s="1" t="s">
        <v>1781</v>
      </c>
    </row>
    <row r="623" spans="1:4">
      <c r="A623" s="1" t="s">
        <v>3040</v>
      </c>
      <c r="B623" s="1" t="s">
        <v>3039</v>
      </c>
      <c r="C623" s="1" t="s">
        <v>40</v>
      </c>
      <c r="D623" s="1" t="s">
        <v>1781</v>
      </c>
    </row>
    <row r="624" spans="1:4">
      <c r="A624" s="1" t="s">
        <v>3042</v>
      </c>
      <c r="B624" s="1" t="s">
        <v>3041</v>
      </c>
      <c r="C624" s="1" t="s">
        <v>40</v>
      </c>
      <c r="D624" s="1" t="s">
        <v>1781</v>
      </c>
    </row>
    <row r="625" spans="1:4">
      <c r="A625" s="1" t="s">
        <v>3044</v>
      </c>
      <c r="B625" s="1" t="s">
        <v>3043</v>
      </c>
      <c r="C625" s="1" t="s">
        <v>40</v>
      </c>
      <c r="D625" s="1" t="s">
        <v>1781</v>
      </c>
    </row>
    <row r="626" spans="1:4">
      <c r="A626" s="1" t="s">
        <v>3046</v>
      </c>
      <c r="B626" s="1" t="s">
        <v>3045</v>
      </c>
      <c r="C626" s="1" t="s">
        <v>40</v>
      </c>
      <c r="D626" s="1" t="s">
        <v>1781</v>
      </c>
    </row>
    <row r="627" spans="1:4">
      <c r="A627" s="1" t="s">
        <v>3048</v>
      </c>
      <c r="B627" s="1" t="s">
        <v>3047</v>
      </c>
      <c r="C627" s="1" t="s">
        <v>40</v>
      </c>
      <c r="D627" s="1" t="s">
        <v>1781</v>
      </c>
    </row>
    <row r="628" spans="1:4">
      <c r="A628" s="1" t="s">
        <v>3050</v>
      </c>
      <c r="B628" s="1" t="s">
        <v>3049</v>
      </c>
      <c r="C628" s="1" t="s">
        <v>40</v>
      </c>
      <c r="D628" s="1" t="s">
        <v>1781</v>
      </c>
    </row>
    <row r="629" spans="1:4">
      <c r="A629" s="1" t="s">
        <v>3052</v>
      </c>
      <c r="B629" s="1" t="s">
        <v>3051</v>
      </c>
      <c r="C629" s="1" t="s">
        <v>40</v>
      </c>
      <c r="D629" s="1" t="s">
        <v>1781</v>
      </c>
    </row>
    <row r="630" spans="1:4">
      <c r="A630" s="1" t="s">
        <v>3054</v>
      </c>
      <c r="B630" s="1" t="s">
        <v>3053</v>
      </c>
      <c r="C630" s="1" t="s">
        <v>40</v>
      </c>
      <c r="D630" s="1" t="s">
        <v>1781</v>
      </c>
    </row>
    <row r="631" spans="1:4">
      <c r="A631" s="1" t="s">
        <v>3056</v>
      </c>
      <c r="B631" s="1" t="s">
        <v>3055</v>
      </c>
      <c r="C631" s="1" t="s">
        <v>40</v>
      </c>
      <c r="D631" s="1" t="s">
        <v>1781</v>
      </c>
    </row>
    <row r="632" spans="1:4">
      <c r="A632" s="1" t="s">
        <v>3058</v>
      </c>
      <c r="B632" s="1" t="s">
        <v>3057</v>
      </c>
      <c r="C632" s="1" t="s">
        <v>40</v>
      </c>
      <c r="D632" s="1" t="s">
        <v>1781</v>
      </c>
    </row>
    <row r="633" spans="1:4">
      <c r="A633" s="1" t="s">
        <v>3060</v>
      </c>
      <c r="B633" s="1" t="s">
        <v>3059</v>
      </c>
      <c r="C633" s="1" t="s">
        <v>40</v>
      </c>
      <c r="D633" s="1" t="s">
        <v>1781</v>
      </c>
    </row>
    <row r="634" spans="1:4">
      <c r="A634" s="1" t="s">
        <v>713</v>
      </c>
      <c r="B634" s="1" t="s">
        <v>3061</v>
      </c>
      <c r="C634" s="1" t="s">
        <v>40</v>
      </c>
      <c r="D634" s="1" t="s">
        <v>1781</v>
      </c>
    </row>
    <row r="635" spans="1:4">
      <c r="A635" s="1" t="s">
        <v>931</v>
      </c>
      <c r="B635" s="1" t="s">
        <v>3062</v>
      </c>
      <c r="C635" s="1" t="s">
        <v>40</v>
      </c>
      <c r="D635" s="1" t="s">
        <v>1781</v>
      </c>
    </row>
    <row r="636" spans="1:4">
      <c r="A636" s="1" t="s">
        <v>3064</v>
      </c>
      <c r="B636" s="1" t="s">
        <v>3063</v>
      </c>
      <c r="C636" s="1" t="s">
        <v>40</v>
      </c>
      <c r="D636" s="1" t="s">
        <v>1781</v>
      </c>
    </row>
    <row r="637" spans="1:4">
      <c r="A637" s="1" t="s">
        <v>3066</v>
      </c>
      <c r="B637" s="1" t="s">
        <v>3065</v>
      </c>
      <c r="C637" s="1" t="s">
        <v>40</v>
      </c>
      <c r="D637" s="1" t="s">
        <v>1781</v>
      </c>
    </row>
    <row r="638" spans="1:4">
      <c r="A638" s="1" t="s">
        <v>3068</v>
      </c>
      <c r="B638" s="1" t="s">
        <v>3067</v>
      </c>
      <c r="C638" s="1" t="s">
        <v>40</v>
      </c>
      <c r="D638" s="1" t="s">
        <v>1781</v>
      </c>
    </row>
    <row r="639" spans="1:4">
      <c r="A639" s="1" t="s">
        <v>3070</v>
      </c>
      <c r="B639" s="1" t="s">
        <v>3069</v>
      </c>
      <c r="C639" s="1"/>
      <c r="D639" s="1" t="s">
        <v>1781</v>
      </c>
    </row>
    <row r="640" spans="1:4">
      <c r="A640" s="1" t="s">
        <v>3072</v>
      </c>
      <c r="B640" s="1" t="s">
        <v>3071</v>
      </c>
      <c r="C640" s="1" t="s">
        <v>40</v>
      </c>
      <c r="D640" s="1" t="s">
        <v>1781</v>
      </c>
    </row>
    <row r="641" spans="1:4">
      <c r="A641" s="1" t="s">
        <v>3074</v>
      </c>
      <c r="B641" s="1" t="s">
        <v>3073</v>
      </c>
      <c r="C641" s="1" t="s">
        <v>40</v>
      </c>
      <c r="D641" s="1" t="s">
        <v>1781</v>
      </c>
    </row>
    <row r="642" spans="1:4">
      <c r="A642" s="1" t="s">
        <v>3076</v>
      </c>
      <c r="B642" s="1" t="s">
        <v>3075</v>
      </c>
      <c r="C642" s="1" t="s">
        <v>40</v>
      </c>
      <c r="D642" s="1" t="s">
        <v>1781</v>
      </c>
    </row>
    <row r="643" spans="1:4">
      <c r="A643" s="1" t="s">
        <v>3078</v>
      </c>
      <c r="B643" s="1" t="s">
        <v>3077</v>
      </c>
      <c r="C643" s="1" t="s">
        <v>40</v>
      </c>
      <c r="D643" s="1" t="s">
        <v>1781</v>
      </c>
    </row>
    <row r="644" spans="1:4">
      <c r="A644" s="1" t="s">
        <v>3080</v>
      </c>
      <c r="B644" s="1" t="s">
        <v>3079</v>
      </c>
      <c r="C644" s="1" t="s">
        <v>40</v>
      </c>
      <c r="D644" s="1" t="s">
        <v>1781</v>
      </c>
    </row>
    <row r="645" spans="1:4">
      <c r="A645" s="1" t="s">
        <v>3082</v>
      </c>
      <c r="B645" s="1" t="s">
        <v>3081</v>
      </c>
      <c r="C645" s="1" t="s">
        <v>40</v>
      </c>
      <c r="D645" s="1" t="s">
        <v>1781</v>
      </c>
    </row>
    <row r="646" spans="1:4">
      <c r="A646" s="1" t="s">
        <v>3084</v>
      </c>
      <c r="B646" s="1" t="s">
        <v>3083</v>
      </c>
      <c r="C646" s="1" t="s">
        <v>40</v>
      </c>
      <c r="D646" s="1" t="s">
        <v>1781</v>
      </c>
    </row>
    <row r="647" spans="1:4">
      <c r="A647" s="1" t="s">
        <v>3086</v>
      </c>
      <c r="B647" s="1" t="s">
        <v>3085</v>
      </c>
      <c r="C647" s="1" t="s">
        <v>40</v>
      </c>
      <c r="D647" s="1" t="s">
        <v>1781</v>
      </c>
    </row>
    <row r="648" spans="1:4">
      <c r="A648" s="1" t="s">
        <v>3088</v>
      </c>
      <c r="B648" s="1" t="s">
        <v>3087</v>
      </c>
      <c r="C648" s="1" t="s">
        <v>40</v>
      </c>
      <c r="D648" s="1" t="s">
        <v>1781</v>
      </c>
    </row>
    <row r="649" spans="1:4">
      <c r="A649" s="1" t="s">
        <v>1123</v>
      </c>
      <c r="B649" s="1" t="s">
        <v>3089</v>
      </c>
      <c r="C649" s="1" t="s">
        <v>40</v>
      </c>
      <c r="D649" s="1" t="s">
        <v>1781</v>
      </c>
    </row>
    <row r="650" spans="1:4">
      <c r="A650" s="1" t="s">
        <v>3091</v>
      </c>
      <c r="B650" s="1" t="s">
        <v>3090</v>
      </c>
      <c r="C650" s="1" t="s">
        <v>40</v>
      </c>
      <c r="D650" s="1" t="s">
        <v>1781</v>
      </c>
    </row>
    <row r="651" spans="1:4">
      <c r="A651" s="1" t="s">
        <v>3093</v>
      </c>
      <c r="B651" s="1" t="s">
        <v>3092</v>
      </c>
      <c r="C651" s="1" t="s">
        <v>40</v>
      </c>
      <c r="D651" s="1" t="s">
        <v>1781</v>
      </c>
    </row>
    <row r="652" spans="1:4">
      <c r="A652" s="1" t="s">
        <v>1386</v>
      </c>
      <c r="B652" s="1" t="s">
        <v>3094</v>
      </c>
      <c r="C652" s="1" t="s">
        <v>40</v>
      </c>
      <c r="D652" s="1" t="s">
        <v>1781</v>
      </c>
    </row>
    <row r="653" spans="1:4">
      <c r="A653" s="1" t="s">
        <v>3096</v>
      </c>
      <c r="B653" s="1" t="s">
        <v>3095</v>
      </c>
      <c r="C653" s="1" t="s">
        <v>40</v>
      </c>
      <c r="D653" s="1" t="s">
        <v>1781</v>
      </c>
    </row>
    <row r="654" spans="1:4">
      <c r="A654" s="1" t="s">
        <v>1061</v>
      </c>
      <c r="B654" s="1" t="s">
        <v>3097</v>
      </c>
      <c r="C654" s="1" t="s">
        <v>40</v>
      </c>
      <c r="D654" s="1" t="s">
        <v>1781</v>
      </c>
    </row>
    <row r="655" spans="1:4">
      <c r="A655" s="1" t="s">
        <v>3099</v>
      </c>
      <c r="B655" s="1" t="s">
        <v>3098</v>
      </c>
      <c r="C655" s="1" t="s">
        <v>40</v>
      </c>
      <c r="D655" s="1" t="s">
        <v>1781</v>
      </c>
    </row>
    <row r="656" spans="1:4">
      <c r="A656" s="1" t="s">
        <v>3101</v>
      </c>
      <c r="B656" s="1" t="s">
        <v>3100</v>
      </c>
      <c r="C656" s="1" t="s">
        <v>40</v>
      </c>
      <c r="D656" s="1" t="s">
        <v>1781</v>
      </c>
    </row>
    <row r="657" spans="1:4">
      <c r="A657" s="1" t="s">
        <v>1000</v>
      </c>
      <c r="B657" s="1" t="s">
        <v>3102</v>
      </c>
      <c r="C657" s="1" t="s">
        <v>40</v>
      </c>
      <c r="D657" s="1" t="s">
        <v>1781</v>
      </c>
    </row>
    <row r="658" spans="1:4">
      <c r="A658" s="1" t="s">
        <v>1520</v>
      </c>
      <c r="B658" s="1" t="s">
        <v>3103</v>
      </c>
      <c r="C658" s="1" t="s">
        <v>40</v>
      </c>
      <c r="D658" s="1" t="s">
        <v>1781</v>
      </c>
    </row>
    <row r="659" spans="1:4">
      <c r="A659" s="1" t="s">
        <v>3105</v>
      </c>
      <c r="B659" s="1" t="s">
        <v>3104</v>
      </c>
      <c r="C659" s="1" t="s">
        <v>40</v>
      </c>
      <c r="D659" s="1" t="s">
        <v>1781</v>
      </c>
    </row>
    <row r="660" spans="1:4">
      <c r="A660" s="1" t="s">
        <v>1517</v>
      </c>
      <c r="B660" s="1" t="s">
        <v>3106</v>
      </c>
      <c r="C660" s="1" t="s">
        <v>40</v>
      </c>
      <c r="D660" s="1" t="s">
        <v>1781</v>
      </c>
    </row>
    <row r="661" spans="1:4">
      <c r="A661" s="1" t="s">
        <v>3108</v>
      </c>
      <c r="B661" s="1" t="s">
        <v>3107</v>
      </c>
      <c r="C661" s="1" t="s">
        <v>40</v>
      </c>
      <c r="D661" s="1" t="s">
        <v>1781</v>
      </c>
    </row>
    <row r="662" spans="1:4">
      <c r="A662" s="1" t="s">
        <v>3110</v>
      </c>
      <c r="B662" s="1" t="s">
        <v>3109</v>
      </c>
      <c r="C662" s="1" t="s">
        <v>40</v>
      </c>
      <c r="D662" s="1" t="s">
        <v>1781</v>
      </c>
    </row>
    <row r="663" spans="1:4">
      <c r="A663" s="1" t="s">
        <v>3112</v>
      </c>
      <c r="B663" s="1" t="s">
        <v>3111</v>
      </c>
      <c r="C663" s="1" t="s">
        <v>40</v>
      </c>
      <c r="D663" s="1" t="s">
        <v>1781</v>
      </c>
    </row>
    <row r="664" spans="1:4">
      <c r="A664" s="1" t="s">
        <v>926</v>
      </c>
      <c r="B664" s="1" t="s">
        <v>3113</v>
      </c>
      <c r="C664" s="1" t="s">
        <v>40</v>
      </c>
      <c r="D664" s="1" t="s">
        <v>1781</v>
      </c>
    </row>
    <row r="665" spans="1:4">
      <c r="A665" s="1" t="s">
        <v>3115</v>
      </c>
      <c r="B665" s="1" t="s">
        <v>3114</v>
      </c>
      <c r="C665" s="1" t="s">
        <v>40</v>
      </c>
      <c r="D665" s="1" t="s">
        <v>1781</v>
      </c>
    </row>
    <row r="666" spans="1:4">
      <c r="A666" s="1" t="s">
        <v>3117</v>
      </c>
      <c r="B666" s="1" t="s">
        <v>3116</v>
      </c>
      <c r="C666" s="1" t="s">
        <v>40</v>
      </c>
      <c r="D666" s="1" t="s">
        <v>1781</v>
      </c>
    </row>
    <row r="667" spans="1:4">
      <c r="A667" s="1" t="s">
        <v>3119</v>
      </c>
      <c r="B667" s="1" t="s">
        <v>3118</v>
      </c>
      <c r="C667" s="1" t="s">
        <v>40</v>
      </c>
      <c r="D667" s="1" t="s">
        <v>1781</v>
      </c>
    </row>
    <row r="668" spans="1:4">
      <c r="A668" s="1" t="s">
        <v>3121</v>
      </c>
      <c r="B668" s="1" t="s">
        <v>3120</v>
      </c>
      <c r="C668" s="1" t="s">
        <v>40</v>
      </c>
      <c r="D668" s="1" t="s">
        <v>1781</v>
      </c>
    </row>
    <row r="669" spans="1:4">
      <c r="A669" s="1" t="s">
        <v>3123</v>
      </c>
      <c r="B669" s="1" t="s">
        <v>3122</v>
      </c>
      <c r="C669" s="1" t="s">
        <v>40</v>
      </c>
      <c r="D669" s="1" t="s">
        <v>1781</v>
      </c>
    </row>
    <row r="670" spans="1:4">
      <c r="A670" s="1" t="s">
        <v>1118</v>
      </c>
      <c r="B670" s="1" t="s">
        <v>3124</v>
      </c>
      <c r="C670" s="1" t="s">
        <v>40</v>
      </c>
      <c r="D670" s="1" t="s">
        <v>1781</v>
      </c>
    </row>
    <row r="671" spans="1:4">
      <c r="A671" s="1" t="s">
        <v>3126</v>
      </c>
      <c r="B671" s="1" t="s">
        <v>3125</v>
      </c>
      <c r="C671" s="1" t="s">
        <v>40</v>
      </c>
      <c r="D671" s="1" t="s">
        <v>1781</v>
      </c>
    </row>
    <row r="672" spans="1:4">
      <c r="A672" s="1" t="s">
        <v>3128</v>
      </c>
      <c r="B672" s="1" t="s">
        <v>3127</v>
      </c>
      <c r="C672" s="1" t="s">
        <v>40</v>
      </c>
      <c r="D672" s="1" t="s">
        <v>1781</v>
      </c>
    </row>
    <row r="673" spans="1:4">
      <c r="A673" s="1" t="s">
        <v>1080</v>
      </c>
      <c r="B673" s="1" t="s">
        <v>3129</v>
      </c>
      <c r="C673" s="1" t="s">
        <v>40</v>
      </c>
      <c r="D673" s="1" t="s">
        <v>1781</v>
      </c>
    </row>
    <row r="674" spans="1:4">
      <c r="A674" s="1" t="s">
        <v>3131</v>
      </c>
      <c r="B674" s="1" t="s">
        <v>3130</v>
      </c>
      <c r="C674" s="1" t="s">
        <v>40</v>
      </c>
      <c r="D674" s="1" t="s">
        <v>1781</v>
      </c>
    </row>
    <row r="675" spans="1:4">
      <c r="A675" s="1" t="s">
        <v>3133</v>
      </c>
      <c r="B675" s="1" t="s">
        <v>3132</v>
      </c>
      <c r="C675" s="1" t="s">
        <v>40</v>
      </c>
      <c r="D675" s="1" t="s">
        <v>1781</v>
      </c>
    </row>
    <row r="676" spans="1:4">
      <c r="A676" s="1" t="s">
        <v>3135</v>
      </c>
      <c r="B676" s="1" t="s">
        <v>3134</v>
      </c>
      <c r="C676" s="1" t="s">
        <v>40</v>
      </c>
      <c r="D676" s="1" t="s">
        <v>1781</v>
      </c>
    </row>
    <row r="677" spans="1:4">
      <c r="A677" s="1" t="s">
        <v>3137</v>
      </c>
      <c r="B677" s="1" t="s">
        <v>3136</v>
      </c>
      <c r="C677" s="1" t="s">
        <v>40</v>
      </c>
      <c r="D677" s="1" t="s">
        <v>1781</v>
      </c>
    </row>
    <row r="678" spans="1:4">
      <c r="A678" s="1" t="s">
        <v>3139</v>
      </c>
      <c r="B678" s="1" t="s">
        <v>3138</v>
      </c>
      <c r="C678" s="1" t="s">
        <v>40</v>
      </c>
      <c r="D678" s="1" t="s">
        <v>1781</v>
      </c>
    </row>
    <row r="679" spans="1:4">
      <c r="A679" s="1" t="s">
        <v>3141</v>
      </c>
      <c r="B679" s="1" t="s">
        <v>3140</v>
      </c>
      <c r="C679" s="1" t="s">
        <v>40</v>
      </c>
      <c r="D679" s="1" t="s">
        <v>1781</v>
      </c>
    </row>
    <row r="680" spans="1:4">
      <c r="A680" s="1" t="s">
        <v>3143</v>
      </c>
      <c r="B680" s="1" t="s">
        <v>3142</v>
      </c>
      <c r="C680" s="1" t="s">
        <v>40</v>
      </c>
      <c r="D680" s="1" t="s">
        <v>1781</v>
      </c>
    </row>
    <row r="681" spans="1:4">
      <c r="A681" s="1" t="s">
        <v>3145</v>
      </c>
      <c r="B681" s="1" t="s">
        <v>3144</v>
      </c>
      <c r="C681" s="1" t="s">
        <v>40</v>
      </c>
      <c r="D681" s="1" t="s">
        <v>1781</v>
      </c>
    </row>
    <row r="682" spans="1:4">
      <c r="A682" s="1" t="s">
        <v>806</v>
      </c>
      <c r="B682" s="1" t="s">
        <v>3146</v>
      </c>
      <c r="C682" s="1" t="s">
        <v>40</v>
      </c>
      <c r="D682" s="1" t="s">
        <v>1781</v>
      </c>
    </row>
    <row r="683" spans="1:4">
      <c r="A683" s="1" t="s">
        <v>3148</v>
      </c>
      <c r="B683" s="1" t="s">
        <v>3147</v>
      </c>
      <c r="C683" s="1" t="s">
        <v>40</v>
      </c>
      <c r="D683" s="1" t="s">
        <v>1781</v>
      </c>
    </row>
    <row r="684" spans="1:4">
      <c r="A684" s="1" t="s">
        <v>3150</v>
      </c>
      <c r="B684" s="1" t="s">
        <v>3149</v>
      </c>
      <c r="C684" s="1" t="s">
        <v>40</v>
      </c>
      <c r="D684" s="1" t="s">
        <v>1781</v>
      </c>
    </row>
    <row r="685" spans="1:4">
      <c r="A685" s="1" t="s">
        <v>3152</v>
      </c>
      <c r="B685" s="1" t="s">
        <v>3151</v>
      </c>
      <c r="C685" s="1" t="s">
        <v>40</v>
      </c>
      <c r="D685" s="1" t="s">
        <v>1781</v>
      </c>
    </row>
    <row r="686" spans="1:4">
      <c r="A686" s="1" t="s">
        <v>3154</v>
      </c>
      <c r="B686" s="1" t="s">
        <v>3153</v>
      </c>
      <c r="C686" s="1" t="s">
        <v>40</v>
      </c>
      <c r="D686" s="1" t="s">
        <v>1781</v>
      </c>
    </row>
    <row r="687" spans="1:4">
      <c r="A687" s="1" t="s">
        <v>3156</v>
      </c>
      <c r="B687" s="1" t="s">
        <v>3155</v>
      </c>
      <c r="C687" s="1" t="s">
        <v>40</v>
      </c>
      <c r="D687" s="1" t="s">
        <v>1781</v>
      </c>
    </row>
    <row r="688" spans="1:4">
      <c r="A688" s="1" t="s">
        <v>3158</v>
      </c>
      <c r="B688" s="1" t="s">
        <v>3157</v>
      </c>
      <c r="C688" s="1" t="s">
        <v>40</v>
      </c>
      <c r="D688" s="1" t="s">
        <v>1781</v>
      </c>
    </row>
    <row r="689" spans="1:4">
      <c r="A689" s="1" t="s">
        <v>3160</v>
      </c>
      <c r="B689" s="1" t="s">
        <v>3159</v>
      </c>
      <c r="C689" s="1" t="s">
        <v>40</v>
      </c>
      <c r="D689" s="1" t="s">
        <v>1781</v>
      </c>
    </row>
    <row r="690" spans="1:4">
      <c r="A690" s="1" t="s">
        <v>3162</v>
      </c>
      <c r="B690" s="1" t="s">
        <v>3161</v>
      </c>
      <c r="C690" s="1" t="s">
        <v>40</v>
      </c>
      <c r="D690" s="1" t="s">
        <v>1781</v>
      </c>
    </row>
    <row r="691" spans="1:4">
      <c r="A691" s="1" t="s">
        <v>3164</v>
      </c>
      <c r="B691" s="1" t="s">
        <v>3163</v>
      </c>
      <c r="C691" s="1" t="s">
        <v>40</v>
      </c>
      <c r="D691" s="1" t="s">
        <v>1781</v>
      </c>
    </row>
    <row r="692" spans="1:4">
      <c r="A692" s="1" t="s">
        <v>3166</v>
      </c>
      <c r="B692" s="1" t="s">
        <v>3165</v>
      </c>
      <c r="C692" s="1" t="s">
        <v>40</v>
      </c>
      <c r="D692" s="1" t="s">
        <v>1781</v>
      </c>
    </row>
    <row r="693" spans="1:4">
      <c r="A693" s="1" t="s">
        <v>3168</v>
      </c>
      <c r="B693" s="1" t="s">
        <v>3167</v>
      </c>
      <c r="C693" s="1" t="s">
        <v>40</v>
      </c>
      <c r="D693" s="1" t="s">
        <v>1781</v>
      </c>
    </row>
    <row r="694" spans="1:4">
      <c r="A694" s="1" t="s">
        <v>3170</v>
      </c>
      <c r="B694" s="1" t="s">
        <v>3169</v>
      </c>
      <c r="C694" s="1" t="s">
        <v>40</v>
      </c>
      <c r="D694" s="1" t="s">
        <v>1781</v>
      </c>
    </row>
    <row r="695" spans="1:4">
      <c r="A695" s="1" t="s">
        <v>3172</v>
      </c>
      <c r="B695" s="1" t="s">
        <v>3171</v>
      </c>
      <c r="C695" s="1" t="s">
        <v>40</v>
      </c>
      <c r="D695" s="1" t="s">
        <v>1781</v>
      </c>
    </row>
    <row r="696" spans="1:4">
      <c r="A696" s="1" t="s">
        <v>3174</v>
      </c>
      <c r="B696" s="1" t="s">
        <v>3173</v>
      </c>
      <c r="C696" s="1" t="s">
        <v>40</v>
      </c>
      <c r="D696" s="1" t="s">
        <v>1781</v>
      </c>
    </row>
    <row r="697" spans="1:4">
      <c r="A697" s="1" t="s">
        <v>3176</v>
      </c>
      <c r="B697" s="1" t="s">
        <v>3175</v>
      </c>
      <c r="C697" s="1" t="s">
        <v>40</v>
      </c>
      <c r="D697" s="1" t="s">
        <v>1781</v>
      </c>
    </row>
    <row r="698" spans="1:4">
      <c r="A698" s="1" t="s">
        <v>3178</v>
      </c>
      <c r="B698" s="1" t="s">
        <v>3177</v>
      </c>
      <c r="C698" s="1" t="s">
        <v>40</v>
      </c>
      <c r="D698" s="1" t="s">
        <v>1781</v>
      </c>
    </row>
    <row r="699" spans="1:4">
      <c r="A699" s="1" t="s">
        <v>3180</v>
      </c>
      <c r="B699" s="1" t="s">
        <v>3179</v>
      </c>
      <c r="C699" s="1" t="s">
        <v>40</v>
      </c>
      <c r="D699" s="1" t="s">
        <v>1781</v>
      </c>
    </row>
    <row r="700" spans="1:4">
      <c r="A700" s="1" t="s">
        <v>1670</v>
      </c>
      <c r="B700" s="1" t="s">
        <v>3181</v>
      </c>
      <c r="C700" s="1" t="s">
        <v>40</v>
      </c>
      <c r="D700" s="1" t="s">
        <v>1781</v>
      </c>
    </row>
    <row r="701" spans="1:4">
      <c r="A701" s="1" t="s">
        <v>3183</v>
      </c>
      <c r="B701" s="1" t="s">
        <v>3182</v>
      </c>
      <c r="C701" s="1" t="s">
        <v>40</v>
      </c>
      <c r="D701" s="1" t="s">
        <v>1781</v>
      </c>
    </row>
    <row r="702" spans="1:4">
      <c r="A702" s="1" t="s">
        <v>3185</v>
      </c>
      <c r="B702" s="1" t="s">
        <v>3184</v>
      </c>
      <c r="C702" s="1" t="s">
        <v>40</v>
      </c>
      <c r="D702" s="1" t="s">
        <v>1781</v>
      </c>
    </row>
    <row r="703" spans="1:4">
      <c r="A703" s="1" t="s">
        <v>3187</v>
      </c>
      <c r="B703" s="1" t="s">
        <v>3186</v>
      </c>
      <c r="C703" s="1" t="s">
        <v>40</v>
      </c>
      <c r="D703" s="1" t="s">
        <v>1781</v>
      </c>
    </row>
    <row r="704" spans="1:4">
      <c r="A704" s="1" t="s">
        <v>3189</v>
      </c>
      <c r="B704" s="1" t="s">
        <v>3188</v>
      </c>
      <c r="C704" s="1" t="s">
        <v>40</v>
      </c>
      <c r="D704" s="1" t="s">
        <v>1781</v>
      </c>
    </row>
    <row r="705" spans="1:4">
      <c r="A705" s="1" t="s">
        <v>3191</v>
      </c>
      <c r="B705" s="1" t="s">
        <v>3190</v>
      </c>
      <c r="C705" s="1" t="s">
        <v>40</v>
      </c>
      <c r="D705" s="1" t="s">
        <v>1781</v>
      </c>
    </row>
    <row r="706" spans="1:4">
      <c r="A706" s="1" t="s">
        <v>3193</v>
      </c>
      <c r="B706" s="1" t="s">
        <v>3192</v>
      </c>
      <c r="C706" s="1" t="s">
        <v>40</v>
      </c>
      <c r="D706" s="1" t="s">
        <v>1781</v>
      </c>
    </row>
    <row r="707" spans="1:4">
      <c r="A707" s="1" t="s">
        <v>3195</v>
      </c>
      <c r="B707" s="1" t="s">
        <v>3194</v>
      </c>
      <c r="C707" s="1" t="s">
        <v>40</v>
      </c>
      <c r="D707" s="1" t="s">
        <v>1781</v>
      </c>
    </row>
    <row r="708" spans="1:4">
      <c r="A708" s="1" t="s">
        <v>3197</v>
      </c>
      <c r="B708" s="1" t="s">
        <v>3196</v>
      </c>
      <c r="C708" s="1" t="s">
        <v>40</v>
      </c>
      <c r="D708" s="1" t="s">
        <v>1781</v>
      </c>
    </row>
    <row r="709" spans="1:4">
      <c r="A709" s="1" t="s">
        <v>3199</v>
      </c>
      <c r="B709" s="1" t="s">
        <v>3198</v>
      </c>
      <c r="C709" s="1" t="s">
        <v>40</v>
      </c>
      <c r="D709" s="1" t="s">
        <v>1781</v>
      </c>
    </row>
    <row r="710" spans="1:4">
      <c r="A710" s="1" t="s">
        <v>3201</v>
      </c>
      <c r="B710" s="1" t="s">
        <v>3200</v>
      </c>
      <c r="C710" s="1" t="s">
        <v>40</v>
      </c>
      <c r="D710" s="1" t="s">
        <v>1781</v>
      </c>
    </row>
    <row r="711" spans="1:4">
      <c r="A711" s="1" t="s">
        <v>3203</v>
      </c>
      <c r="B711" s="1" t="s">
        <v>3202</v>
      </c>
      <c r="C711" s="1" t="s">
        <v>40</v>
      </c>
      <c r="D711" s="1" t="s">
        <v>1781</v>
      </c>
    </row>
    <row r="712" spans="1:4">
      <c r="A712" s="1" t="s">
        <v>3205</v>
      </c>
      <c r="B712" s="1" t="s">
        <v>3204</v>
      </c>
      <c r="C712" s="1" t="s">
        <v>40</v>
      </c>
      <c r="D712" s="1" t="s">
        <v>1781</v>
      </c>
    </row>
    <row r="713" spans="1:4">
      <c r="A713" s="1" t="s">
        <v>709</v>
      </c>
      <c r="B713" s="1" t="s">
        <v>3206</v>
      </c>
      <c r="C713" s="1" t="s">
        <v>40</v>
      </c>
      <c r="D713" s="1" t="s">
        <v>1781</v>
      </c>
    </row>
    <row r="714" spans="1:4">
      <c r="A714" s="1" t="s">
        <v>3208</v>
      </c>
      <c r="B714" s="1" t="s">
        <v>3207</v>
      </c>
      <c r="C714" s="1" t="s">
        <v>40</v>
      </c>
      <c r="D714" s="1" t="s">
        <v>1781</v>
      </c>
    </row>
    <row r="715" spans="1:4">
      <c r="A715" s="1" t="s">
        <v>3210</v>
      </c>
      <c r="B715" s="1" t="s">
        <v>3209</v>
      </c>
      <c r="C715" s="1" t="s">
        <v>40</v>
      </c>
      <c r="D715" s="1" t="s">
        <v>1781</v>
      </c>
    </row>
    <row r="716" spans="1:4">
      <c r="A716" s="1" t="s">
        <v>3212</v>
      </c>
      <c r="B716" s="1" t="s">
        <v>3211</v>
      </c>
      <c r="C716" s="1" t="s">
        <v>40</v>
      </c>
      <c r="D716" s="1" t="s">
        <v>1781</v>
      </c>
    </row>
    <row r="717" spans="1:4">
      <c r="A717" s="1" t="s">
        <v>3214</v>
      </c>
      <c r="B717" s="1" t="s">
        <v>3213</v>
      </c>
      <c r="C717" s="1" t="s">
        <v>40</v>
      </c>
      <c r="D717" s="1" t="s">
        <v>1781</v>
      </c>
    </row>
    <row r="718" spans="1:4">
      <c r="A718" s="1" t="s">
        <v>3216</v>
      </c>
      <c r="B718" s="1" t="s">
        <v>3215</v>
      </c>
      <c r="C718" s="1" t="s">
        <v>40</v>
      </c>
      <c r="D718" s="1" t="s">
        <v>1781</v>
      </c>
    </row>
    <row r="719" spans="1:4">
      <c r="A719" s="1" t="s">
        <v>3218</v>
      </c>
      <c r="B719" s="1" t="s">
        <v>3217</v>
      </c>
      <c r="C719" s="1" t="s">
        <v>40</v>
      </c>
      <c r="D719" s="1" t="s">
        <v>1781</v>
      </c>
    </row>
    <row r="720" spans="1:4">
      <c r="A720" s="1" t="s">
        <v>3220</v>
      </c>
      <c r="B720" s="1" t="s">
        <v>3219</v>
      </c>
      <c r="C720" s="1" t="s">
        <v>40</v>
      </c>
      <c r="D720" s="1" t="s">
        <v>1781</v>
      </c>
    </row>
    <row r="721" spans="1:4">
      <c r="A721" s="1" t="s">
        <v>3222</v>
      </c>
      <c r="B721" s="1" t="s">
        <v>3221</v>
      </c>
      <c r="C721" s="1" t="s">
        <v>40</v>
      </c>
      <c r="D721" s="1" t="s">
        <v>1781</v>
      </c>
    </row>
    <row r="722" spans="1:4">
      <c r="A722" s="1" t="s">
        <v>3224</v>
      </c>
      <c r="B722" s="1" t="s">
        <v>3223</v>
      </c>
      <c r="C722" s="1" t="s">
        <v>40</v>
      </c>
      <c r="D722" s="1" t="s">
        <v>1781</v>
      </c>
    </row>
    <row r="723" spans="1:4">
      <c r="A723" s="1" t="s">
        <v>3226</v>
      </c>
      <c r="B723" s="1" t="s">
        <v>3225</v>
      </c>
      <c r="C723" s="1" t="s">
        <v>40</v>
      </c>
      <c r="D723" s="1" t="s">
        <v>1781</v>
      </c>
    </row>
    <row r="724" spans="1:4">
      <c r="A724" s="1" t="s">
        <v>3228</v>
      </c>
      <c r="B724" s="1" t="s">
        <v>3227</v>
      </c>
      <c r="C724" s="1" t="s">
        <v>40</v>
      </c>
      <c r="D724" s="1" t="s">
        <v>1781</v>
      </c>
    </row>
    <row r="725" spans="1:4">
      <c r="A725" s="1" t="s">
        <v>3230</v>
      </c>
      <c r="B725" s="1" t="s">
        <v>3229</v>
      </c>
      <c r="C725" s="1"/>
      <c r="D725" s="1" t="s">
        <v>1781</v>
      </c>
    </row>
    <row r="726" spans="1:4">
      <c r="A726" s="1" t="s">
        <v>3232</v>
      </c>
      <c r="B726" s="1" t="s">
        <v>3231</v>
      </c>
      <c r="C726" s="1"/>
      <c r="D726" s="1" t="s">
        <v>1781</v>
      </c>
    </row>
    <row r="727" spans="1:4">
      <c r="A727" s="1" t="s">
        <v>3234</v>
      </c>
      <c r="B727" s="1" t="s">
        <v>3233</v>
      </c>
      <c r="C727" s="1" t="s">
        <v>40</v>
      </c>
      <c r="D727" s="1" t="s">
        <v>1781</v>
      </c>
    </row>
    <row r="728" spans="1:4">
      <c r="A728" s="1" t="s">
        <v>3236</v>
      </c>
      <c r="B728" s="1" t="s">
        <v>3235</v>
      </c>
      <c r="C728" s="1" t="s">
        <v>40</v>
      </c>
      <c r="D728" s="1" t="s">
        <v>1781</v>
      </c>
    </row>
    <row r="729" spans="1:4">
      <c r="A729" s="1" t="s">
        <v>3238</v>
      </c>
      <c r="B729" s="1" t="s">
        <v>3237</v>
      </c>
      <c r="C729" s="1" t="s">
        <v>40</v>
      </c>
      <c r="D729" s="1" t="s">
        <v>1781</v>
      </c>
    </row>
    <row r="730" spans="1:4">
      <c r="A730" s="1" t="s">
        <v>3240</v>
      </c>
      <c r="B730" s="1" t="s">
        <v>3239</v>
      </c>
      <c r="C730" s="1" t="s">
        <v>40</v>
      </c>
      <c r="D730" s="1" t="s">
        <v>1781</v>
      </c>
    </row>
    <row r="731" spans="1:4">
      <c r="A731" s="1" t="s">
        <v>3242</v>
      </c>
      <c r="B731" s="1" t="s">
        <v>3241</v>
      </c>
      <c r="C731" s="1" t="s">
        <v>40</v>
      </c>
      <c r="D731" s="1" t="s">
        <v>1781</v>
      </c>
    </row>
    <row r="732" spans="1:4">
      <c r="A732" s="1" t="s">
        <v>3244</v>
      </c>
      <c r="B732" s="1" t="s">
        <v>3243</v>
      </c>
      <c r="C732" s="1" t="s">
        <v>40</v>
      </c>
      <c r="D732" s="1" t="s">
        <v>1781</v>
      </c>
    </row>
    <row r="733" spans="1:4">
      <c r="A733" s="1" t="s">
        <v>3246</v>
      </c>
      <c r="B733" s="1" t="s">
        <v>3245</v>
      </c>
      <c r="C733" s="1" t="s">
        <v>40</v>
      </c>
      <c r="D733" s="1" t="s">
        <v>1781</v>
      </c>
    </row>
    <row r="734" spans="1:4">
      <c r="A734" s="1" t="s">
        <v>3248</v>
      </c>
      <c r="B734" s="1" t="s">
        <v>3247</v>
      </c>
      <c r="C734" s="1" t="s">
        <v>40</v>
      </c>
      <c r="D734" s="1" t="s">
        <v>1781</v>
      </c>
    </row>
    <row r="735" spans="1:4">
      <c r="A735" s="1" t="s">
        <v>3250</v>
      </c>
      <c r="B735" s="1" t="s">
        <v>3249</v>
      </c>
      <c r="C735" s="1" t="s">
        <v>40</v>
      </c>
      <c r="D735" s="1" t="s">
        <v>1781</v>
      </c>
    </row>
    <row r="736" spans="1:4">
      <c r="A736" s="1" t="s">
        <v>3252</v>
      </c>
      <c r="B736" s="1" t="s">
        <v>3251</v>
      </c>
      <c r="C736" s="1"/>
      <c r="D736" s="1" t="s">
        <v>1781</v>
      </c>
    </row>
    <row r="737" spans="1:4">
      <c r="A737" s="1" t="s">
        <v>3254</v>
      </c>
      <c r="B737" s="1" t="s">
        <v>3253</v>
      </c>
      <c r="C737" s="1" t="s">
        <v>40</v>
      </c>
      <c r="D737" s="1" t="s">
        <v>1781</v>
      </c>
    </row>
    <row r="738" spans="1:4">
      <c r="A738" s="1" t="s">
        <v>3256</v>
      </c>
      <c r="B738" s="1" t="s">
        <v>3255</v>
      </c>
      <c r="C738" s="1" t="s">
        <v>40</v>
      </c>
      <c r="D738" s="1" t="s">
        <v>1781</v>
      </c>
    </row>
    <row r="739" spans="1:4">
      <c r="A739" s="1" t="s">
        <v>3258</v>
      </c>
      <c r="B739" s="1" t="s">
        <v>3257</v>
      </c>
      <c r="C739" s="1" t="s">
        <v>40</v>
      </c>
      <c r="D739" s="1" t="s">
        <v>1781</v>
      </c>
    </row>
    <row r="740" spans="1:4">
      <c r="A740" s="1" t="s">
        <v>3260</v>
      </c>
      <c r="B740" s="1" t="s">
        <v>3259</v>
      </c>
      <c r="C740" s="1" t="s">
        <v>40</v>
      </c>
      <c r="D740" s="1" t="s">
        <v>1781</v>
      </c>
    </row>
    <row r="741" spans="1:4">
      <c r="A741" s="1" t="s">
        <v>3262</v>
      </c>
      <c r="B741" s="1" t="s">
        <v>3261</v>
      </c>
      <c r="C741" s="1" t="s">
        <v>40</v>
      </c>
      <c r="D741" s="1" t="s">
        <v>1781</v>
      </c>
    </row>
    <row r="742" spans="1:4">
      <c r="A742" s="1" t="s">
        <v>3264</v>
      </c>
      <c r="B742" s="1" t="s">
        <v>3263</v>
      </c>
      <c r="C742" s="1" t="s">
        <v>40</v>
      </c>
      <c r="D742" s="1" t="s">
        <v>1781</v>
      </c>
    </row>
    <row r="743" spans="1:4">
      <c r="A743" s="1" t="s">
        <v>3266</v>
      </c>
      <c r="B743" s="1" t="s">
        <v>3265</v>
      </c>
      <c r="C743" s="1" t="s">
        <v>40</v>
      </c>
      <c r="D743" s="1" t="s">
        <v>1781</v>
      </c>
    </row>
    <row r="744" spans="1:4">
      <c r="A744" s="1" t="s">
        <v>3268</v>
      </c>
      <c r="B744" s="1" t="s">
        <v>3267</v>
      </c>
      <c r="C744" s="1" t="s">
        <v>40</v>
      </c>
      <c r="D744" s="1" t="s">
        <v>1781</v>
      </c>
    </row>
    <row r="745" spans="1:4">
      <c r="A745" s="1" t="s">
        <v>3270</v>
      </c>
      <c r="B745" s="1" t="s">
        <v>3269</v>
      </c>
      <c r="C745" s="1" t="s">
        <v>40</v>
      </c>
      <c r="D745" s="1" t="s">
        <v>1781</v>
      </c>
    </row>
    <row r="746" spans="1:4">
      <c r="A746" s="1" t="s">
        <v>3272</v>
      </c>
      <c r="B746" s="1" t="s">
        <v>3271</v>
      </c>
      <c r="C746" s="1" t="s">
        <v>40</v>
      </c>
      <c r="D746" s="1" t="s">
        <v>1781</v>
      </c>
    </row>
    <row r="747" spans="1:4">
      <c r="A747" s="1" t="s">
        <v>3274</v>
      </c>
      <c r="B747" s="1" t="s">
        <v>3273</v>
      </c>
      <c r="C747" s="1" t="s">
        <v>40</v>
      </c>
      <c r="D747" s="1" t="s">
        <v>1781</v>
      </c>
    </row>
    <row r="748" spans="1:4">
      <c r="A748" s="1" t="s">
        <v>3276</v>
      </c>
      <c r="B748" s="1" t="s">
        <v>3275</v>
      </c>
      <c r="C748" s="1" t="s">
        <v>40</v>
      </c>
      <c r="D748" s="1" t="s">
        <v>1781</v>
      </c>
    </row>
    <row r="749" spans="1:4">
      <c r="A749" s="1" t="s">
        <v>3278</v>
      </c>
      <c r="B749" s="1" t="s">
        <v>3277</v>
      </c>
      <c r="C749" s="1" t="s">
        <v>40</v>
      </c>
      <c r="D749" s="1" t="s">
        <v>1781</v>
      </c>
    </row>
    <row r="750" spans="1:4">
      <c r="A750" s="1" t="s">
        <v>3280</v>
      </c>
      <c r="B750" s="1" t="s">
        <v>3279</v>
      </c>
      <c r="C750" s="1" t="s">
        <v>40</v>
      </c>
      <c r="D750" s="1" t="s">
        <v>1781</v>
      </c>
    </row>
    <row r="751" spans="1:4">
      <c r="A751" s="1" t="s">
        <v>3282</v>
      </c>
      <c r="B751" s="1" t="s">
        <v>3281</v>
      </c>
      <c r="C751" s="1" t="s">
        <v>40</v>
      </c>
      <c r="D751" s="1" t="s">
        <v>1781</v>
      </c>
    </row>
    <row r="752" spans="1:4">
      <c r="A752" s="1" t="s">
        <v>3284</v>
      </c>
      <c r="B752" s="1" t="s">
        <v>3283</v>
      </c>
      <c r="C752" s="1" t="s">
        <v>40</v>
      </c>
      <c r="D752" s="1" t="s">
        <v>1781</v>
      </c>
    </row>
    <row r="753" spans="1:4">
      <c r="A753" s="1" t="s">
        <v>624</v>
      </c>
      <c r="B753" s="1" t="s">
        <v>3285</v>
      </c>
      <c r="C753" s="1" t="s">
        <v>40</v>
      </c>
      <c r="D753" s="1" t="s">
        <v>1781</v>
      </c>
    </row>
    <row r="754" spans="1:4">
      <c r="A754" s="1" t="s">
        <v>855</v>
      </c>
      <c r="B754" s="1" t="s">
        <v>3286</v>
      </c>
      <c r="C754" s="1" t="s">
        <v>40</v>
      </c>
      <c r="D754" s="1" t="s">
        <v>1781</v>
      </c>
    </row>
    <row r="755" spans="1:4">
      <c r="A755" s="1" t="s">
        <v>3288</v>
      </c>
      <c r="B755" s="1" t="s">
        <v>3287</v>
      </c>
      <c r="C755" s="1" t="s">
        <v>40</v>
      </c>
      <c r="D755" s="1" t="s">
        <v>1781</v>
      </c>
    </row>
    <row r="756" spans="1:4">
      <c r="A756" s="1" t="s">
        <v>3290</v>
      </c>
      <c r="B756" s="1" t="s">
        <v>3289</v>
      </c>
      <c r="C756" s="1" t="s">
        <v>40</v>
      </c>
      <c r="D756" s="1" t="s">
        <v>1781</v>
      </c>
    </row>
    <row r="757" spans="1:4">
      <c r="A757" s="1" t="s">
        <v>3292</v>
      </c>
      <c r="B757" s="1" t="s">
        <v>3291</v>
      </c>
      <c r="C757" s="1" t="s">
        <v>40</v>
      </c>
      <c r="D757" s="1" t="s">
        <v>1781</v>
      </c>
    </row>
    <row r="758" spans="1:4">
      <c r="A758" s="1" t="s">
        <v>3294</v>
      </c>
      <c r="B758" s="1" t="s">
        <v>3293</v>
      </c>
      <c r="C758" s="1" t="s">
        <v>40</v>
      </c>
      <c r="D758" s="1" t="s">
        <v>1781</v>
      </c>
    </row>
    <row r="759" spans="1:4">
      <c r="A759" s="1" t="s">
        <v>3296</v>
      </c>
      <c r="B759" s="1" t="s">
        <v>3295</v>
      </c>
      <c r="C759" s="1" t="s">
        <v>40</v>
      </c>
      <c r="D759" s="1" t="s">
        <v>1781</v>
      </c>
    </row>
    <row r="760" spans="1:4">
      <c r="A760" s="1" t="s">
        <v>3298</v>
      </c>
      <c r="B760" s="1" t="s">
        <v>3297</v>
      </c>
      <c r="C760" s="1" t="s">
        <v>40</v>
      </c>
      <c r="D760" s="1" t="s">
        <v>1781</v>
      </c>
    </row>
    <row r="761" spans="1:4">
      <c r="A761" s="1" t="s">
        <v>3300</v>
      </c>
      <c r="B761" s="1" t="s">
        <v>3299</v>
      </c>
      <c r="C761" s="1" t="s">
        <v>40</v>
      </c>
      <c r="D761" s="1" t="s">
        <v>1781</v>
      </c>
    </row>
    <row r="762" spans="1:4">
      <c r="A762" s="1" t="s">
        <v>3302</v>
      </c>
      <c r="B762" s="1" t="s">
        <v>3301</v>
      </c>
      <c r="C762" s="1" t="s">
        <v>40</v>
      </c>
      <c r="D762" s="1" t="s">
        <v>1781</v>
      </c>
    </row>
    <row r="763" spans="1:4">
      <c r="A763" s="1" t="s">
        <v>3304</v>
      </c>
      <c r="B763" s="1" t="s">
        <v>3303</v>
      </c>
      <c r="C763" s="1" t="s">
        <v>40</v>
      </c>
      <c r="D763" s="1" t="s">
        <v>1781</v>
      </c>
    </row>
    <row r="764" spans="1:4">
      <c r="A764" s="1" t="s">
        <v>3306</v>
      </c>
      <c r="B764" s="1" t="s">
        <v>3305</v>
      </c>
      <c r="C764" s="1" t="s">
        <v>40</v>
      </c>
      <c r="D764" s="1" t="s">
        <v>1781</v>
      </c>
    </row>
    <row r="765" spans="1:4">
      <c r="A765" s="1" t="s">
        <v>3308</v>
      </c>
      <c r="B765" s="1" t="s">
        <v>3307</v>
      </c>
      <c r="C765" s="1" t="s">
        <v>40</v>
      </c>
      <c r="D765" s="1" t="s">
        <v>1781</v>
      </c>
    </row>
    <row r="766" spans="1:4">
      <c r="A766" s="1" t="s">
        <v>1114</v>
      </c>
      <c r="B766" s="1" t="s">
        <v>3309</v>
      </c>
      <c r="C766" s="1" t="s">
        <v>40</v>
      </c>
      <c r="D766" s="1" t="s">
        <v>1781</v>
      </c>
    </row>
    <row r="767" spans="1:4">
      <c r="A767" s="1" t="s">
        <v>3311</v>
      </c>
      <c r="B767" s="1" t="s">
        <v>3310</v>
      </c>
      <c r="C767" s="1" t="s">
        <v>40</v>
      </c>
      <c r="D767" s="1" t="s">
        <v>1781</v>
      </c>
    </row>
    <row r="768" spans="1:4">
      <c r="A768" s="1" t="s">
        <v>3313</v>
      </c>
      <c r="B768" s="1" t="s">
        <v>3312</v>
      </c>
      <c r="C768" s="1" t="s">
        <v>40</v>
      </c>
      <c r="D768" s="1" t="s">
        <v>1781</v>
      </c>
    </row>
    <row r="769" spans="1:4">
      <c r="A769" s="1" t="s">
        <v>3315</v>
      </c>
      <c r="B769" s="1" t="s">
        <v>3314</v>
      </c>
      <c r="C769" s="1" t="s">
        <v>40</v>
      </c>
      <c r="D769" s="1" t="s">
        <v>1781</v>
      </c>
    </row>
    <row r="770" spans="1:4">
      <c r="A770" s="1" t="s">
        <v>1662</v>
      </c>
      <c r="B770" s="1" t="s">
        <v>3316</v>
      </c>
      <c r="C770" s="1" t="s">
        <v>40</v>
      </c>
      <c r="D770" s="1" t="s">
        <v>1781</v>
      </c>
    </row>
    <row r="771" spans="1:4">
      <c r="A771" s="1" t="s">
        <v>1056</v>
      </c>
      <c r="B771" s="1" t="s">
        <v>3317</v>
      </c>
      <c r="C771" s="1" t="s">
        <v>40</v>
      </c>
      <c r="D771" s="1" t="s">
        <v>1781</v>
      </c>
    </row>
    <row r="772" spans="1:4">
      <c r="A772" s="1" t="s">
        <v>3319</v>
      </c>
      <c r="B772" s="1" t="s">
        <v>3318</v>
      </c>
      <c r="C772" s="1" t="s">
        <v>40</v>
      </c>
      <c r="D772" s="1" t="s">
        <v>1781</v>
      </c>
    </row>
    <row r="773" spans="1:4">
      <c r="A773" s="1" t="s">
        <v>3321</v>
      </c>
      <c r="B773" s="1" t="s">
        <v>3320</v>
      </c>
      <c r="C773" s="1" t="s">
        <v>40</v>
      </c>
      <c r="D773" s="1" t="s">
        <v>1781</v>
      </c>
    </row>
    <row r="774" spans="1:4">
      <c r="A774" s="1" t="s">
        <v>3323</v>
      </c>
      <c r="B774" s="1" t="s">
        <v>3322</v>
      </c>
      <c r="C774" s="1" t="s">
        <v>40</v>
      </c>
      <c r="D774" s="1" t="s">
        <v>1781</v>
      </c>
    </row>
    <row r="775" spans="1:4">
      <c r="A775" s="1" t="s">
        <v>3325</v>
      </c>
      <c r="B775" s="1" t="s">
        <v>3324</v>
      </c>
      <c r="C775" s="1" t="s">
        <v>40</v>
      </c>
      <c r="D775" s="1" t="s">
        <v>1781</v>
      </c>
    </row>
    <row r="776" spans="1:4">
      <c r="A776" s="1" t="s">
        <v>914</v>
      </c>
      <c r="B776" s="1" t="s">
        <v>3326</v>
      </c>
      <c r="C776" s="1" t="s">
        <v>40</v>
      </c>
      <c r="D776" s="1" t="s">
        <v>1781</v>
      </c>
    </row>
    <row r="777" spans="1:4">
      <c r="A777" s="1" t="s">
        <v>3328</v>
      </c>
      <c r="B777" s="1" t="s">
        <v>3327</v>
      </c>
      <c r="C777" s="1" t="s">
        <v>40</v>
      </c>
      <c r="D777" s="1" t="s">
        <v>1781</v>
      </c>
    </row>
    <row r="778" spans="1:4">
      <c r="A778" s="1" t="s">
        <v>979</v>
      </c>
      <c r="B778" s="1" t="s">
        <v>3329</v>
      </c>
      <c r="C778" s="1" t="s">
        <v>40</v>
      </c>
      <c r="D778" s="1" t="s">
        <v>1781</v>
      </c>
    </row>
    <row r="779" spans="1:4">
      <c r="A779" s="1" t="s">
        <v>3331</v>
      </c>
      <c r="B779" s="1" t="s">
        <v>3330</v>
      </c>
      <c r="C779" s="1" t="s">
        <v>40</v>
      </c>
      <c r="D779" s="1" t="s">
        <v>1781</v>
      </c>
    </row>
    <row r="780" spans="1:4">
      <c r="A780" s="1" t="s">
        <v>1013</v>
      </c>
      <c r="B780" s="1" t="s">
        <v>3332</v>
      </c>
      <c r="C780" s="1" t="s">
        <v>40</v>
      </c>
      <c r="D780" s="1" t="s">
        <v>1781</v>
      </c>
    </row>
    <row r="781" spans="1:4">
      <c r="A781" s="1" t="s">
        <v>3334</v>
      </c>
      <c r="B781" s="1" t="s">
        <v>3333</v>
      </c>
      <c r="C781" s="1" t="s">
        <v>40</v>
      </c>
      <c r="D781" s="1" t="s">
        <v>1781</v>
      </c>
    </row>
    <row r="782" spans="1:4">
      <c r="A782" s="1" t="s">
        <v>986</v>
      </c>
      <c r="B782" s="1" t="s">
        <v>3335</v>
      </c>
      <c r="C782" s="1" t="s">
        <v>40</v>
      </c>
      <c r="D782" s="1" t="s">
        <v>1781</v>
      </c>
    </row>
    <row r="783" spans="1:4">
      <c r="A783" s="1" t="s">
        <v>3337</v>
      </c>
      <c r="B783" s="1" t="s">
        <v>3336</v>
      </c>
      <c r="C783" s="1" t="s">
        <v>40</v>
      </c>
      <c r="D783" s="1" t="s">
        <v>1781</v>
      </c>
    </row>
    <row r="784" spans="1:4">
      <c r="A784" s="1" t="s">
        <v>725</v>
      </c>
      <c r="B784" s="1" t="s">
        <v>3338</v>
      </c>
      <c r="C784" s="1" t="s">
        <v>40</v>
      </c>
      <c r="D784" s="1" t="s">
        <v>1781</v>
      </c>
    </row>
    <row r="785" spans="1:4">
      <c r="A785" s="1" t="s">
        <v>3340</v>
      </c>
      <c r="B785" s="1" t="s">
        <v>3339</v>
      </c>
      <c r="C785" s="1" t="s">
        <v>40</v>
      </c>
      <c r="D785" s="1" t="s">
        <v>1781</v>
      </c>
    </row>
    <row r="786" spans="1:4">
      <c r="A786" s="1" t="s">
        <v>3342</v>
      </c>
      <c r="B786" s="1" t="s">
        <v>3341</v>
      </c>
      <c r="C786" s="1" t="s">
        <v>40</v>
      </c>
      <c r="D786" s="1" t="s">
        <v>1781</v>
      </c>
    </row>
    <row r="787" spans="1:4">
      <c r="A787" s="1" t="s">
        <v>3344</v>
      </c>
      <c r="B787" s="1" t="s">
        <v>3343</v>
      </c>
      <c r="C787" s="1" t="s">
        <v>40</v>
      </c>
      <c r="D787" s="1" t="s">
        <v>1781</v>
      </c>
    </row>
    <row r="788" spans="1:4">
      <c r="A788" s="1" t="s">
        <v>3346</v>
      </c>
      <c r="B788" s="1" t="s">
        <v>3345</v>
      </c>
      <c r="C788" s="1" t="s">
        <v>40</v>
      </c>
      <c r="D788" s="1" t="s">
        <v>1781</v>
      </c>
    </row>
    <row r="789" spans="1:4">
      <c r="A789" s="1" t="s">
        <v>891</v>
      </c>
      <c r="B789" s="1" t="s">
        <v>3347</v>
      </c>
      <c r="C789" s="1" t="s">
        <v>40</v>
      </c>
      <c r="D789" s="1" t="s">
        <v>1781</v>
      </c>
    </row>
    <row r="790" spans="1:4">
      <c r="A790" s="1" t="s">
        <v>3349</v>
      </c>
      <c r="B790" s="1" t="s">
        <v>3348</v>
      </c>
      <c r="C790" s="1" t="s">
        <v>40</v>
      </c>
      <c r="D790" s="1" t="s">
        <v>1781</v>
      </c>
    </row>
    <row r="791" spans="1:4">
      <c r="A791" s="1" t="s">
        <v>3351</v>
      </c>
      <c r="B791" s="1" t="s">
        <v>3350</v>
      </c>
      <c r="C791" s="1" t="s">
        <v>40</v>
      </c>
      <c r="D791" s="1" t="s">
        <v>1781</v>
      </c>
    </row>
    <row r="792" spans="1:4">
      <c r="A792" s="1" t="s">
        <v>3353</v>
      </c>
      <c r="B792" s="1" t="s">
        <v>3352</v>
      </c>
      <c r="C792" s="1" t="s">
        <v>40</v>
      </c>
      <c r="D792" s="1" t="s">
        <v>1781</v>
      </c>
    </row>
    <row r="793" spans="1:4">
      <c r="A793" s="1" t="s">
        <v>3355</v>
      </c>
      <c r="B793" s="1" t="s">
        <v>3354</v>
      </c>
      <c r="C793" s="1" t="s">
        <v>40</v>
      </c>
      <c r="D793" s="1" t="s">
        <v>1781</v>
      </c>
    </row>
    <row r="794" spans="1:4">
      <c r="A794" s="1" t="s">
        <v>3357</v>
      </c>
      <c r="B794" s="1" t="s">
        <v>3356</v>
      </c>
      <c r="C794" s="1" t="s">
        <v>40</v>
      </c>
      <c r="D794" s="1" t="s">
        <v>1781</v>
      </c>
    </row>
    <row r="795" spans="1:4">
      <c r="A795" s="1" t="s">
        <v>3359</v>
      </c>
      <c r="B795" s="1" t="s">
        <v>3358</v>
      </c>
      <c r="C795" s="1" t="s">
        <v>40</v>
      </c>
      <c r="D795" s="1" t="s">
        <v>1781</v>
      </c>
    </row>
    <row r="796" spans="1:4">
      <c r="A796" s="1" t="s">
        <v>3361</v>
      </c>
      <c r="B796" s="1" t="s">
        <v>3360</v>
      </c>
      <c r="C796" s="1" t="s">
        <v>40</v>
      </c>
      <c r="D796" s="1" t="s">
        <v>1781</v>
      </c>
    </row>
    <row r="797" spans="1:4">
      <c r="A797" s="1" t="s">
        <v>3363</v>
      </c>
      <c r="B797" s="1" t="s">
        <v>3362</v>
      </c>
      <c r="C797" s="1" t="s">
        <v>40</v>
      </c>
      <c r="D797" s="1" t="s">
        <v>1781</v>
      </c>
    </row>
    <row r="798" spans="1:4">
      <c r="A798" s="1" t="s">
        <v>3365</v>
      </c>
      <c r="B798" s="1" t="s">
        <v>3364</v>
      </c>
      <c r="C798" s="1" t="s">
        <v>40</v>
      </c>
      <c r="D798" s="1" t="s">
        <v>1781</v>
      </c>
    </row>
    <row r="799" spans="1:4">
      <c r="A799" s="1" t="s">
        <v>3367</v>
      </c>
      <c r="B799" s="1" t="s">
        <v>3366</v>
      </c>
      <c r="C799" s="1" t="s">
        <v>40</v>
      </c>
      <c r="D799" s="1" t="s">
        <v>1781</v>
      </c>
    </row>
    <row r="800" spans="1:4">
      <c r="A800" s="1" t="s">
        <v>3369</v>
      </c>
      <c r="B800" s="1" t="s">
        <v>3368</v>
      </c>
      <c r="C800" s="1" t="s">
        <v>40</v>
      </c>
      <c r="D800" s="1" t="s">
        <v>1781</v>
      </c>
    </row>
    <row r="801" spans="1:4">
      <c r="A801" s="1" t="s">
        <v>3371</v>
      </c>
      <c r="B801" s="1" t="s">
        <v>3370</v>
      </c>
      <c r="C801" s="1" t="s">
        <v>40</v>
      </c>
      <c r="D801" s="1" t="s">
        <v>1781</v>
      </c>
    </row>
    <row r="802" spans="1:4">
      <c r="A802" s="1" t="s">
        <v>3373</v>
      </c>
      <c r="B802" s="1" t="s">
        <v>3372</v>
      </c>
      <c r="C802" s="1" t="s">
        <v>40</v>
      </c>
      <c r="D802" s="1" t="s">
        <v>1781</v>
      </c>
    </row>
    <row r="803" spans="1:4">
      <c r="A803" s="1" t="s">
        <v>3375</v>
      </c>
      <c r="B803" s="1" t="s">
        <v>3374</v>
      </c>
      <c r="C803" s="1" t="s">
        <v>40</v>
      </c>
      <c r="D803" s="1" t="s">
        <v>1781</v>
      </c>
    </row>
    <row r="804" spans="1:4">
      <c r="A804" s="1" t="s">
        <v>3377</v>
      </c>
      <c r="B804" s="1" t="s">
        <v>3376</v>
      </c>
      <c r="C804" s="1" t="s">
        <v>40</v>
      </c>
      <c r="D804" s="1" t="s">
        <v>1781</v>
      </c>
    </row>
    <row r="805" spans="1:4">
      <c r="A805" s="1" t="s">
        <v>3379</v>
      </c>
      <c r="B805" s="1" t="s">
        <v>3378</v>
      </c>
      <c r="C805" s="1" t="s">
        <v>40</v>
      </c>
      <c r="D805" s="1" t="s">
        <v>1781</v>
      </c>
    </row>
    <row r="806" spans="1:4">
      <c r="A806" s="1" t="s">
        <v>3381</v>
      </c>
      <c r="B806" s="1" t="s">
        <v>3380</v>
      </c>
      <c r="C806" s="1" t="s">
        <v>40</v>
      </c>
      <c r="D806" s="1" t="s">
        <v>1781</v>
      </c>
    </row>
    <row r="807" spans="1:4">
      <c r="A807" s="1" t="s">
        <v>3383</v>
      </c>
      <c r="B807" s="1" t="s">
        <v>3382</v>
      </c>
      <c r="C807" s="1" t="s">
        <v>40</v>
      </c>
      <c r="D807" s="1" t="s">
        <v>1781</v>
      </c>
    </row>
    <row r="808" spans="1:4">
      <c r="A808" s="1" t="s">
        <v>3385</v>
      </c>
      <c r="B808" s="1" t="s">
        <v>3384</v>
      </c>
      <c r="C808" s="1" t="s">
        <v>40</v>
      </c>
      <c r="D808" s="1" t="s">
        <v>1781</v>
      </c>
    </row>
    <row r="809" spans="1:4">
      <c r="A809" s="1" t="s">
        <v>3387</v>
      </c>
      <c r="B809" s="1" t="s">
        <v>3386</v>
      </c>
      <c r="C809" s="1" t="s">
        <v>40</v>
      </c>
      <c r="D809" s="1" t="s">
        <v>1781</v>
      </c>
    </row>
    <row r="810" spans="1:4">
      <c r="A810" s="1" t="s">
        <v>3389</v>
      </c>
      <c r="B810" s="1" t="s">
        <v>3388</v>
      </c>
      <c r="C810" s="1" t="s">
        <v>40</v>
      </c>
      <c r="D810" s="1" t="s">
        <v>1781</v>
      </c>
    </row>
    <row r="811" spans="1:4">
      <c r="A811" s="1" t="s">
        <v>3391</v>
      </c>
      <c r="B811" s="1" t="s">
        <v>3390</v>
      </c>
      <c r="C811" s="1" t="s">
        <v>40</v>
      </c>
      <c r="D811" s="1" t="s">
        <v>1781</v>
      </c>
    </row>
    <row r="812" spans="1:4">
      <c r="A812" s="1" t="s">
        <v>3393</v>
      </c>
      <c r="B812" s="1" t="s">
        <v>3392</v>
      </c>
      <c r="C812" s="1" t="s">
        <v>40</v>
      </c>
      <c r="D812" s="1" t="s">
        <v>1781</v>
      </c>
    </row>
    <row r="813" spans="1:4">
      <c r="A813" s="1" t="s">
        <v>3395</v>
      </c>
      <c r="B813" s="1" t="s">
        <v>3394</v>
      </c>
      <c r="C813" s="1" t="s">
        <v>40</v>
      </c>
      <c r="D813" s="1" t="s">
        <v>1781</v>
      </c>
    </row>
    <row r="814" spans="1:4">
      <c r="A814" s="1" t="s">
        <v>802</v>
      </c>
      <c r="B814" s="1" t="s">
        <v>3396</v>
      </c>
      <c r="C814" s="1" t="s">
        <v>40</v>
      </c>
      <c r="D814" s="1" t="s">
        <v>1781</v>
      </c>
    </row>
    <row r="815" spans="1:4">
      <c r="A815" s="1" t="s">
        <v>3398</v>
      </c>
      <c r="B815" s="1" t="s">
        <v>3397</v>
      </c>
      <c r="C815" s="1"/>
      <c r="D815" s="1" t="s">
        <v>1781</v>
      </c>
    </row>
    <row r="816" spans="1:4">
      <c r="A816" s="1" t="s">
        <v>1238</v>
      </c>
      <c r="B816" s="1" t="s">
        <v>3399</v>
      </c>
      <c r="C816" s="1" t="s">
        <v>40</v>
      </c>
      <c r="D816" s="1" t="s">
        <v>1781</v>
      </c>
    </row>
    <row r="817" spans="1:4">
      <c r="A817" s="1" t="s">
        <v>3401</v>
      </c>
      <c r="B817" s="1" t="s">
        <v>3400</v>
      </c>
      <c r="C817" s="1" t="s">
        <v>40</v>
      </c>
      <c r="D817" s="1" t="s">
        <v>1781</v>
      </c>
    </row>
    <row r="818" spans="1:4">
      <c r="A818" s="1" t="s">
        <v>3403</v>
      </c>
      <c r="B818" s="1" t="s">
        <v>3402</v>
      </c>
      <c r="C818" s="1" t="s">
        <v>40</v>
      </c>
      <c r="D818" s="1" t="s">
        <v>1781</v>
      </c>
    </row>
    <row r="819" spans="1:4">
      <c r="A819" s="1" t="s">
        <v>3405</v>
      </c>
      <c r="B819" s="1" t="s">
        <v>3404</v>
      </c>
      <c r="C819" s="1" t="s">
        <v>40</v>
      </c>
      <c r="D819" s="1" t="s">
        <v>1781</v>
      </c>
    </row>
    <row r="820" spans="1:4">
      <c r="A820" s="1" t="s">
        <v>3407</v>
      </c>
      <c r="B820" s="1" t="s">
        <v>3406</v>
      </c>
      <c r="C820" s="1" t="s">
        <v>40</v>
      </c>
      <c r="D820" s="1" t="s">
        <v>1781</v>
      </c>
    </row>
    <row r="821" spans="1:4">
      <c r="A821" s="1" t="s">
        <v>3409</v>
      </c>
      <c r="B821" s="1" t="s">
        <v>3408</v>
      </c>
      <c r="C821" s="1" t="s">
        <v>40</v>
      </c>
      <c r="D821" s="1" t="s">
        <v>1781</v>
      </c>
    </row>
    <row r="822" spans="1:4">
      <c r="A822" s="1" t="s">
        <v>3411</v>
      </c>
      <c r="B822" s="1" t="s">
        <v>3410</v>
      </c>
      <c r="C822" s="1" t="s">
        <v>40</v>
      </c>
      <c r="D822" s="1" t="s">
        <v>1781</v>
      </c>
    </row>
    <row r="823" spans="1:4">
      <c r="A823" s="1" t="s">
        <v>3413</v>
      </c>
      <c r="B823" s="1" t="s">
        <v>3412</v>
      </c>
      <c r="C823" s="1" t="s">
        <v>40</v>
      </c>
      <c r="D823" s="1" t="s">
        <v>1781</v>
      </c>
    </row>
    <row r="824" spans="1:4">
      <c r="A824" s="1" t="s">
        <v>3415</v>
      </c>
      <c r="B824" s="1" t="s">
        <v>3414</v>
      </c>
      <c r="C824" s="1" t="s">
        <v>40</v>
      </c>
      <c r="D824" s="1" t="s">
        <v>1781</v>
      </c>
    </row>
    <row r="825" spans="1:4">
      <c r="A825" s="1" t="s">
        <v>3417</v>
      </c>
      <c r="B825" s="1" t="s">
        <v>3416</v>
      </c>
      <c r="C825" s="1" t="s">
        <v>40</v>
      </c>
      <c r="D825" s="1" t="s">
        <v>1781</v>
      </c>
    </row>
    <row r="826" spans="1:4">
      <c r="A826" s="1" t="s">
        <v>3419</v>
      </c>
      <c r="B826" s="1" t="s">
        <v>3418</v>
      </c>
      <c r="C826" s="1" t="s">
        <v>40</v>
      </c>
      <c r="D826" s="1" t="s">
        <v>1781</v>
      </c>
    </row>
    <row r="827" spans="1:4">
      <c r="A827" s="1" t="s">
        <v>3421</v>
      </c>
      <c r="B827" s="1" t="s">
        <v>3420</v>
      </c>
      <c r="C827" s="1" t="s">
        <v>40</v>
      </c>
      <c r="D827" s="1" t="s">
        <v>1781</v>
      </c>
    </row>
    <row r="828" spans="1:4">
      <c r="A828" s="1" t="s">
        <v>3423</v>
      </c>
      <c r="B828" s="1" t="s">
        <v>3422</v>
      </c>
      <c r="C828" s="1" t="s">
        <v>40</v>
      </c>
      <c r="D828" s="1" t="s">
        <v>1781</v>
      </c>
    </row>
    <row r="829" spans="1:4">
      <c r="A829" s="1" t="s">
        <v>3425</v>
      </c>
      <c r="B829" s="1" t="s">
        <v>3424</v>
      </c>
      <c r="C829" s="1" t="s">
        <v>40</v>
      </c>
      <c r="D829" s="1" t="s">
        <v>1781</v>
      </c>
    </row>
    <row r="830" spans="1:4">
      <c r="A830" s="1" t="s">
        <v>3427</v>
      </c>
      <c r="B830" s="1" t="s">
        <v>3426</v>
      </c>
      <c r="C830" s="1" t="s">
        <v>40</v>
      </c>
      <c r="D830" s="1" t="s">
        <v>1781</v>
      </c>
    </row>
    <row r="831" spans="1:4">
      <c r="A831" s="1" t="s">
        <v>3429</v>
      </c>
      <c r="B831" s="1" t="s">
        <v>3428</v>
      </c>
      <c r="C831" s="1" t="s">
        <v>40</v>
      </c>
      <c r="D831" s="1" t="s">
        <v>1781</v>
      </c>
    </row>
    <row r="832" spans="1:4">
      <c r="A832" s="1" t="s">
        <v>3431</v>
      </c>
      <c r="B832" s="1" t="s">
        <v>3430</v>
      </c>
      <c r="C832" s="1" t="s">
        <v>40</v>
      </c>
      <c r="D832" s="1" t="s">
        <v>1781</v>
      </c>
    </row>
    <row r="833" spans="1:4">
      <c r="A833" s="1" t="s">
        <v>3433</v>
      </c>
      <c r="B833" s="1" t="s">
        <v>3432</v>
      </c>
      <c r="C833" s="1" t="s">
        <v>40</v>
      </c>
      <c r="D833" s="1" t="s">
        <v>1781</v>
      </c>
    </row>
    <row r="834" spans="1:4">
      <c r="A834" s="1" t="s">
        <v>1621</v>
      </c>
      <c r="B834" s="1" t="s">
        <v>3434</v>
      </c>
      <c r="C834" s="1"/>
      <c r="D834" s="1" t="s">
        <v>1781</v>
      </c>
    </row>
    <row r="835" spans="1:4">
      <c r="A835" s="1" t="s">
        <v>3436</v>
      </c>
      <c r="B835" s="1" t="s">
        <v>3435</v>
      </c>
      <c r="C835" s="1" t="s">
        <v>40</v>
      </c>
      <c r="D835" s="1" t="s">
        <v>1781</v>
      </c>
    </row>
    <row r="836" spans="1:4">
      <c r="A836" s="1" t="s">
        <v>3438</v>
      </c>
      <c r="B836" s="1" t="s">
        <v>3437</v>
      </c>
      <c r="C836" s="1" t="s">
        <v>40</v>
      </c>
      <c r="D836" s="1" t="s">
        <v>1781</v>
      </c>
    </row>
    <row r="837" spans="1:4">
      <c r="A837" s="1" t="s">
        <v>1489</v>
      </c>
      <c r="B837" s="1" t="s">
        <v>3439</v>
      </c>
      <c r="C837" s="1" t="s">
        <v>40</v>
      </c>
      <c r="D837" s="1" t="s">
        <v>1781</v>
      </c>
    </row>
    <row r="838" spans="1:4">
      <c r="A838" s="1" t="s">
        <v>3441</v>
      </c>
      <c r="B838" s="1" t="s">
        <v>3440</v>
      </c>
      <c r="C838" s="1" t="s">
        <v>40</v>
      </c>
      <c r="D838" s="1" t="s">
        <v>1781</v>
      </c>
    </row>
    <row r="839" spans="1:4">
      <c r="A839" s="1" t="s">
        <v>3443</v>
      </c>
      <c r="B839" s="1" t="s">
        <v>3442</v>
      </c>
      <c r="C839" s="1" t="s">
        <v>40</v>
      </c>
      <c r="D839" s="1" t="s">
        <v>1781</v>
      </c>
    </row>
    <row r="840" spans="1:4">
      <c r="A840" s="1" t="s">
        <v>3445</v>
      </c>
      <c r="B840" s="1" t="s">
        <v>3444</v>
      </c>
      <c r="C840" s="1" t="s">
        <v>40</v>
      </c>
      <c r="D840" s="1" t="s">
        <v>1781</v>
      </c>
    </row>
    <row r="841" spans="1:4">
      <c r="A841" s="1" t="s">
        <v>3447</v>
      </c>
      <c r="B841" s="1" t="s">
        <v>3446</v>
      </c>
      <c r="C841" s="1" t="s">
        <v>40</v>
      </c>
      <c r="D841" s="1" t="s">
        <v>1781</v>
      </c>
    </row>
    <row r="842" spans="1:4">
      <c r="A842" s="1" t="s">
        <v>3449</v>
      </c>
      <c r="B842" s="1" t="s">
        <v>3448</v>
      </c>
      <c r="C842" s="1" t="s">
        <v>40</v>
      </c>
      <c r="D842" s="1" t="s">
        <v>1781</v>
      </c>
    </row>
    <row r="843" spans="1:4">
      <c r="A843" s="1" t="s">
        <v>3451</v>
      </c>
      <c r="B843" s="1" t="s">
        <v>3450</v>
      </c>
      <c r="C843" s="1" t="s">
        <v>40</v>
      </c>
      <c r="D843" s="1" t="s">
        <v>1781</v>
      </c>
    </row>
    <row r="844" spans="1:4">
      <c r="A844" s="1" t="s">
        <v>3453</v>
      </c>
      <c r="B844" s="1" t="s">
        <v>3452</v>
      </c>
      <c r="C844" s="1" t="s">
        <v>40</v>
      </c>
      <c r="D844" s="1" t="s">
        <v>1781</v>
      </c>
    </row>
    <row r="845" spans="1:4">
      <c r="A845" s="1" t="s">
        <v>1597</v>
      </c>
      <c r="B845" s="1" t="s">
        <v>3454</v>
      </c>
      <c r="C845" s="1" t="s">
        <v>40</v>
      </c>
      <c r="D845" s="1" t="s">
        <v>1781</v>
      </c>
    </row>
    <row r="846" spans="1:4">
      <c r="A846" s="1" t="s">
        <v>3456</v>
      </c>
      <c r="B846" s="1" t="s">
        <v>3455</v>
      </c>
      <c r="C846" s="1" t="s">
        <v>40</v>
      </c>
      <c r="D846" s="1" t="s">
        <v>1781</v>
      </c>
    </row>
    <row r="847" spans="1:4">
      <c r="A847" s="1" t="s">
        <v>3458</v>
      </c>
      <c r="B847" s="1" t="s">
        <v>3457</v>
      </c>
      <c r="C847" s="1" t="s">
        <v>40</v>
      </c>
      <c r="D847" s="1" t="s">
        <v>1781</v>
      </c>
    </row>
    <row r="848" spans="1:4">
      <c r="A848" s="1" t="s">
        <v>796</v>
      </c>
      <c r="B848" s="1" t="s">
        <v>3459</v>
      </c>
      <c r="C848" s="1" t="s">
        <v>40</v>
      </c>
      <c r="D848" s="1" t="s">
        <v>1781</v>
      </c>
    </row>
    <row r="849" spans="1:4">
      <c r="A849" s="1" t="s">
        <v>3461</v>
      </c>
      <c r="B849" s="1" t="s">
        <v>3460</v>
      </c>
      <c r="C849" s="1" t="s">
        <v>40</v>
      </c>
      <c r="D849" s="1" t="s">
        <v>1781</v>
      </c>
    </row>
    <row r="850" spans="1:4">
      <c r="A850" s="1" t="s">
        <v>3463</v>
      </c>
      <c r="B850" s="1" t="s">
        <v>3462</v>
      </c>
      <c r="C850" s="1" t="s">
        <v>40</v>
      </c>
      <c r="D850" s="1" t="s">
        <v>1781</v>
      </c>
    </row>
    <row r="851" spans="1:4">
      <c r="A851" s="1" t="s">
        <v>3465</v>
      </c>
      <c r="B851" s="1" t="s">
        <v>3464</v>
      </c>
      <c r="C851" s="1" t="s">
        <v>40</v>
      </c>
      <c r="D851" s="1" t="s">
        <v>1781</v>
      </c>
    </row>
    <row r="852" spans="1:4">
      <c r="A852" s="1" t="s">
        <v>1666</v>
      </c>
      <c r="B852" s="1" t="s">
        <v>3466</v>
      </c>
      <c r="C852" s="1" t="s">
        <v>40</v>
      </c>
      <c r="D852" s="1" t="s">
        <v>1781</v>
      </c>
    </row>
    <row r="853" spans="1:4">
      <c r="A853" s="1" t="s">
        <v>3468</v>
      </c>
      <c r="B853" s="1" t="s">
        <v>3467</v>
      </c>
      <c r="C853" s="1" t="s">
        <v>40</v>
      </c>
      <c r="D853" s="1" t="s">
        <v>1781</v>
      </c>
    </row>
    <row r="854" spans="1:4">
      <c r="A854" s="1" t="s">
        <v>3470</v>
      </c>
      <c r="B854" s="1" t="s">
        <v>3469</v>
      </c>
      <c r="C854" s="1" t="s">
        <v>40</v>
      </c>
      <c r="D854" s="1" t="s">
        <v>1781</v>
      </c>
    </row>
    <row r="855" spans="1:4">
      <c r="A855" s="1" t="s">
        <v>3472</v>
      </c>
      <c r="B855" s="1" t="s">
        <v>3471</v>
      </c>
      <c r="C855" s="1" t="s">
        <v>40</v>
      </c>
      <c r="D855" s="1" t="s">
        <v>1781</v>
      </c>
    </row>
    <row r="856" spans="1:4">
      <c r="A856" s="1" t="s">
        <v>3474</v>
      </c>
      <c r="B856" s="1" t="s">
        <v>3473</v>
      </c>
      <c r="C856" s="1" t="s">
        <v>40</v>
      </c>
      <c r="D856" s="1" t="s">
        <v>1781</v>
      </c>
    </row>
    <row r="857" spans="1:4">
      <c r="A857" s="1" t="s">
        <v>3476</v>
      </c>
      <c r="B857" s="1" t="s">
        <v>3475</v>
      </c>
      <c r="C857" s="1" t="s">
        <v>40</v>
      </c>
      <c r="D857" s="1" t="s">
        <v>1781</v>
      </c>
    </row>
    <row r="858" spans="1:4">
      <c r="A858" s="1" t="s">
        <v>3478</v>
      </c>
      <c r="B858" s="1" t="s">
        <v>3477</v>
      </c>
      <c r="C858" s="1" t="s">
        <v>40</v>
      </c>
      <c r="D858" s="1" t="s">
        <v>1781</v>
      </c>
    </row>
    <row r="859" spans="1:4">
      <c r="A859" s="1" t="s">
        <v>3480</v>
      </c>
      <c r="B859" s="1" t="s">
        <v>3479</v>
      </c>
      <c r="C859" s="1" t="s">
        <v>40</v>
      </c>
      <c r="D859" s="1" t="s">
        <v>1781</v>
      </c>
    </row>
    <row r="860" spans="1:4">
      <c r="A860" s="1" t="s">
        <v>3482</v>
      </c>
      <c r="B860" s="1" t="s">
        <v>3481</v>
      </c>
      <c r="C860" s="1" t="s">
        <v>40</v>
      </c>
      <c r="D860" s="1" t="s">
        <v>1781</v>
      </c>
    </row>
    <row r="861" spans="1:4">
      <c r="A861" s="1" t="s">
        <v>3484</v>
      </c>
      <c r="B861" s="1" t="s">
        <v>3483</v>
      </c>
      <c r="C861" s="1" t="s">
        <v>40</v>
      </c>
      <c r="D861" s="1" t="s">
        <v>1781</v>
      </c>
    </row>
    <row r="862" spans="1:4">
      <c r="A862" s="1" t="s">
        <v>3486</v>
      </c>
      <c r="B862" s="1" t="s">
        <v>3485</v>
      </c>
      <c r="C862" s="1" t="s">
        <v>40</v>
      </c>
      <c r="D862" s="1" t="s">
        <v>1781</v>
      </c>
    </row>
    <row r="863" spans="1:4">
      <c r="A863" s="1" t="s">
        <v>3488</v>
      </c>
      <c r="B863" s="1" t="s">
        <v>3487</v>
      </c>
      <c r="C863" s="1" t="s">
        <v>40</v>
      </c>
      <c r="D863" s="1" t="s">
        <v>1781</v>
      </c>
    </row>
    <row r="864" spans="1:4">
      <c r="A864" s="1" t="s">
        <v>3490</v>
      </c>
      <c r="B864" s="1" t="s">
        <v>3489</v>
      </c>
      <c r="C864" s="1" t="s">
        <v>40</v>
      </c>
      <c r="D864" s="1" t="s">
        <v>1781</v>
      </c>
    </row>
    <row r="865" spans="1:4">
      <c r="A865" s="1" t="s">
        <v>3492</v>
      </c>
      <c r="B865" s="1" t="s">
        <v>3491</v>
      </c>
      <c r="C865" s="1" t="s">
        <v>40</v>
      </c>
      <c r="D865" s="1" t="s">
        <v>1781</v>
      </c>
    </row>
    <row r="866" spans="1:4">
      <c r="A866" s="1" t="s">
        <v>3494</v>
      </c>
      <c r="B866" s="1" t="s">
        <v>3493</v>
      </c>
      <c r="C866" s="1" t="s">
        <v>40</v>
      </c>
      <c r="D866" s="1" t="s">
        <v>1781</v>
      </c>
    </row>
    <row r="867" spans="1:4">
      <c r="A867" s="1" t="s">
        <v>3496</v>
      </c>
      <c r="B867" s="1" t="s">
        <v>3495</v>
      </c>
      <c r="C867" s="1" t="s">
        <v>40</v>
      </c>
      <c r="D867" s="1" t="s">
        <v>1781</v>
      </c>
    </row>
    <row r="868" spans="1:4">
      <c r="A868" s="1" t="s">
        <v>3498</v>
      </c>
      <c r="B868" s="1" t="s">
        <v>3497</v>
      </c>
      <c r="C868" s="1" t="s">
        <v>40</v>
      </c>
      <c r="D868" s="1" t="s">
        <v>1781</v>
      </c>
    </row>
    <row r="869" spans="1:4">
      <c r="A869" s="1" t="s">
        <v>3500</v>
      </c>
      <c r="B869" s="1" t="s">
        <v>3499</v>
      </c>
      <c r="C869" s="1" t="s">
        <v>40</v>
      </c>
      <c r="D869" s="1" t="s">
        <v>1781</v>
      </c>
    </row>
    <row r="870" spans="1:4">
      <c r="A870" s="1" t="s">
        <v>3502</v>
      </c>
      <c r="B870" s="1" t="s">
        <v>3501</v>
      </c>
      <c r="C870" s="1" t="s">
        <v>40</v>
      </c>
      <c r="D870" s="1" t="s">
        <v>1781</v>
      </c>
    </row>
    <row r="871" spans="1:4">
      <c r="A871" s="1" t="s">
        <v>3504</v>
      </c>
      <c r="B871" s="1" t="s">
        <v>3503</v>
      </c>
      <c r="C871" s="1" t="s">
        <v>40</v>
      </c>
      <c r="D871" s="1" t="s">
        <v>1781</v>
      </c>
    </row>
    <row r="872" spans="1:4">
      <c r="A872" s="1" t="s">
        <v>3506</v>
      </c>
      <c r="B872" s="1" t="s">
        <v>3505</v>
      </c>
      <c r="C872" s="1" t="s">
        <v>40</v>
      </c>
      <c r="D872" s="1" t="s">
        <v>1781</v>
      </c>
    </row>
    <row r="873" spans="1:4">
      <c r="A873" s="1" t="s">
        <v>3508</v>
      </c>
      <c r="B873" s="1" t="s">
        <v>3507</v>
      </c>
      <c r="C873" s="1" t="s">
        <v>40</v>
      </c>
      <c r="D873" s="1" t="s">
        <v>1781</v>
      </c>
    </row>
    <row r="874" spans="1:4">
      <c r="A874" s="1" t="s">
        <v>1017</v>
      </c>
      <c r="B874" s="1" t="s">
        <v>3509</v>
      </c>
      <c r="C874" s="1" t="s">
        <v>40</v>
      </c>
      <c r="D874" s="1" t="s">
        <v>1781</v>
      </c>
    </row>
    <row r="875" spans="1:4">
      <c r="A875" s="1" t="s">
        <v>3511</v>
      </c>
      <c r="B875" s="1" t="s">
        <v>3510</v>
      </c>
      <c r="C875" s="1" t="s">
        <v>40</v>
      </c>
      <c r="D875" s="1" t="s">
        <v>1781</v>
      </c>
    </row>
    <row r="876" spans="1:4">
      <c r="A876" s="1" t="s">
        <v>3513</v>
      </c>
      <c r="B876" s="1" t="s">
        <v>3512</v>
      </c>
      <c r="C876" s="1" t="s">
        <v>40</v>
      </c>
      <c r="D876" s="1" t="s">
        <v>1781</v>
      </c>
    </row>
    <row r="877" spans="1:4">
      <c r="A877" s="1" t="s">
        <v>3515</v>
      </c>
      <c r="B877" s="1" t="s">
        <v>3514</v>
      </c>
      <c r="C877" s="1" t="s">
        <v>40</v>
      </c>
      <c r="D877" s="1" t="s">
        <v>1781</v>
      </c>
    </row>
    <row r="878" spans="1:4">
      <c r="A878" s="1" t="s">
        <v>3517</v>
      </c>
      <c r="B878" s="1" t="s">
        <v>3516</v>
      </c>
      <c r="C878" s="1" t="s">
        <v>40</v>
      </c>
      <c r="D878" s="1" t="s">
        <v>1781</v>
      </c>
    </row>
    <row r="879" spans="1:4">
      <c r="A879" s="1" t="s">
        <v>1009</v>
      </c>
      <c r="B879" s="1" t="s">
        <v>3518</v>
      </c>
      <c r="C879" s="1" t="s">
        <v>40</v>
      </c>
      <c r="D879" s="1" t="s">
        <v>1781</v>
      </c>
    </row>
    <row r="880" spans="1:4">
      <c r="A880" s="1" t="s">
        <v>3520</v>
      </c>
      <c r="B880" s="1" t="s">
        <v>3519</v>
      </c>
      <c r="C880" s="1" t="s">
        <v>40</v>
      </c>
      <c r="D880" s="1" t="s">
        <v>1781</v>
      </c>
    </row>
    <row r="881" spans="1:4">
      <c r="A881" s="1" t="s">
        <v>1268</v>
      </c>
      <c r="B881" s="1" t="s">
        <v>3521</v>
      </c>
      <c r="C881" s="1" t="s">
        <v>40</v>
      </c>
      <c r="D881" s="1" t="s">
        <v>1781</v>
      </c>
    </row>
    <row r="882" spans="1:4">
      <c r="A882" s="1" t="s">
        <v>991</v>
      </c>
      <c r="B882" s="1" t="s">
        <v>3522</v>
      </c>
      <c r="C882" s="1" t="s">
        <v>40</v>
      </c>
      <c r="D882" s="1" t="s">
        <v>1781</v>
      </c>
    </row>
    <row r="883" spans="1:4">
      <c r="A883" s="1" t="s">
        <v>3524</v>
      </c>
      <c r="B883" s="1" t="s">
        <v>3523</v>
      </c>
      <c r="C883" s="1" t="s">
        <v>40</v>
      </c>
      <c r="D883" s="1" t="s">
        <v>1781</v>
      </c>
    </row>
    <row r="884" spans="1:4">
      <c r="A884" s="1" t="s">
        <v>3526</v>
      </c>
      <c r="B884" s="1" t="s">
        <v>3525</v>
      </c>
      <c r="C884" s="1" t="s">
        <v>40</v>
      </c>
      <c r="D884" s="1" t="s">
        <v>1781</v>
      </c>
    </row>
    <row r="885" spans="1:4">
      <c r="A885" s="1" t="s">
        <v>3528</v>
      </c>
      <c r="B885" s="1" t="s">
        <v>3527</v>
      </c>
      <c r="C885" s="1" t="s">
        <v>40</v>
      </c>
      <c r="D885" s="1" t="s">
        <v>1781</v>
      </c>
    </row>
    <row r="886" spans="1:4">
      <c r="A886" s="1" t="s">
        <v>3530</v>
      </c>
      <c r="B886" s="1" t="s">
        <v>3529</v>
      </c>
      <c r="C886" s="1" t="s">
        <v>40</v>
      </c>
      <c r="D886" s="1" t="s">
        <v>1781</v>
      </c>
    </row>
    <row r="887" spans="1:4">
      <c r="A887" s="1" t="s">
        <v>3532</v>
      </c>
      <c r="B887" s="1" t="s">
        <v>3531</v>
      </c>
      <c r="C887" s="1" t="s">
        <v>40</v>
      </c>
      <c r="D887" s="1" t="s">
        <v>1781</v>
      </c>
    </row>
    <row r="888" spans="1:4">
      <c r="A888" s="1" t="s">
        <v>1345</v>
      </c>
      <c r="B888" s="1" t="s">
        <v>3533</v>
      </c>
      <c r="C888" s="1" t="s">
        <v>40</v>
      </c>
      <c r="D888" s="1" t="s">
        <v>1781</v>
      </c>
    </row>
    <row r="889" spans="1:4">
      <c r="A889" s="1" t="s">
        <v>3535</v>
      </c>
      <c r="B889" s="1" t="s">
        <v>3534</v>
      </c>
      <c r="C889" s="1" t="s">
        <v>40</v>
      </c>
      <c r="D889" s="1" t="s">
        <v>1781</v>
      </c>
    </row>
    <row r="890" spans="1:4">
      <c r="A890" s="1" t="s">
        <v>1274</v>
      </c>
      <c r="B890" s="1" t="s">
        <v>3536</v>
      </c>
      <c r="C890" s="1" t="s">
        <v>40</v>
      </c>
      <c r="D890" s="1" t="s">
        <v>1781</v>
      </c>
    </row>
    <row r="891" spans="1:4">
      <c r="A891" s="1" t="s">
        <v>3538</v>
      </c>
      <c r="B891" s="1" t="s">
        <v>3537</v>
      </c>
      <c r="C891" s="1" t="s">
        <v>40</v>
      </c>
      <c r="D891" s="1" t="s">
        <v>1781</v>
      </c>
    </row>
    <row r="892" spans="1:4">
      <c r="A892" s="1" t="s">
        <v>3540</v>
      </c>
      <c r="B892" s="1" t="s">
        <v>3539</v>
      </c>
      <c r="C892" s="1" t="s">
        <v>40</v>
      </c>
      <c r="D892" s="1" t="s">
        <v>1781</v>
      </c>
    </row>
    <row r="893" spans="1:4">
      <c r="A893" s="1" t="s">
        <v>3542</v>
      </c>
      <c r="B893" s="1" t="s">
        <v>3541</v>
      </c>
      <c r="C893" s="1" t="s">
        <v>40</v>
      </c>
      <c r="D893" s="1" t="s">
        <v>1781</v>
      </c>
    </row>
    <row r="894" spans="1:4">
      <c r="A894" s="1" t="s">
        <v>3544</v>
      </c>
      <c r="B894" s="1" t="s">
        <v>3543</v>
      </c>
      <c r="C894" s="1" t="s">
        <v>40</v>
      </c>
      <c r="D894" s="1" t="s">
        <v>1781</v>
      </c>
    </row>
    <row r="895" spans="1:4">
      <c r="A895" s="1" t="s">
        <v>3546</v>
      </c>
      <c r="B895" s="1" t="s">
        <v>3545</v>
      </c>
      <c r="C895" s="1" t="s">
        <v>40</v>
      </c>
      <c r="D895" s="1" t="s">
        <v>1781</v>
      </c>
    </row>
    <row r="896" spans="1:4">
      <c r="A896" s="1" t="s">
        <v>3548</v>
      </c>
      <c r="B896" s="1" t="s">
        <v>3547</v>
      </c>
      <c r="C896" s="1" t="s">
        <v>40</v>
      </c>
      <c r="D896" s="1" t="s">
        <v>1781</v>
      </c>
    </row>
    <row r="897" spans="1:4">
      <c r="A897" s="1" t="s">
        <v>3550</v>
      </c>
      <c r="B897" s="1" t="s">
        <v>3549</v>
      </c>
      <c r="C897" s="1" t="s">
        <v>40</v>
      </c>
      <c r="D897" s="1" t="s">
        <v>1781</v>
      </c>
    </row>
    <row r="898" spans="1:4">
      <c r="A898" s="1" t="s">
        <v>3552</v>
      </c>
      <c r="B898" s="1" t="s">
        <v>3551</v>
      </c>
      <c r="C898" s="1" t="s">
        <v>40</v>
      </c>
      <c r="D898" s="1" t="s">
        <v>1781</v>
      </c>
    </row>
    <row r="899" spans="1:4">
      <c r="A899" s="1" t="s">
        <v>3554</v>
      </c>
      <c r="B899" s="1" t="s">
        <v>3553</v>
      </c>
      <c r="C899" s="1" t="s">
        <v>40</v>
      </c>
      <c r="D899" s="1" t="s">
        <v>1781</v>
      </c>
    </row>
    <row r="900" spans="1:4">
      <c r="A900" s="1" t="s">
        <v>3556</v>
      </c>
      <c r="B900" s="1" t="s">
        <v>3555</v>
      </c>
      <c r="C900" s="1" t="s">
        <v>40</v>
      </c>
      <c r="D900" s="1" t="s">
        <v>1781</v>
      </c>
    </row>
    <row r="901" spans="1:4">
      <c r="A901" s="1" t="s">
        <v>3558</v>
      </c>
      <c r="B901" s="1" t="s">
        <v>3557</v>
      </c>
      <c r="C901" s="1" t="s">
        <v>40</v>
      </c>
      <c r="D901" s="1" t="s">
        <v>1781</v>
      </c>
    </row>
    <row r="902" spans="1:4">
      <c r="A902" s="1" t="s">
        <v>3560</v>
      </c>
      <c r="B902" s="1" t="s">
        <v>3559</v>
      </c>
      <c r="C902" s="1" t="s">
        <v>40</v>
      </c>
      <c r="D902" s="1" t="s">
        <v>1781</v>
      </c>
    </row>
    <row r="903" spans="1:4">
      <c r="A903" s="1" t="s">
        <v>3562</v>
      </c>
      <c r="B903" s="1" t="s">
        <v>3561</v>
      </c>
      <c r="C903" s="1" t="s">
        <v>40</v>
      </c>
      <c r="D903" s="1" t="s">
        <v>1781</v>
      </c>
    </row>
    <row r="904" spans="1:4">
      <c r="A904" s="1" t="s">
        <v>3564</v>
      </c>
      <c r="B904" s="1" t="s">
        <v>3563</v>
      </c>
      <c r="C904" s="1" t="s">
        <v>40</v>
      </c>
      <c r="D904" s="1" t="s">
        <v>1781</v>
      </c>
    </row>
    <row r="905" spans="1:4">
      <c r="A905" s="1" t="s">
        <v>3566</v>
      </c>
      <c r="B905" s="1" t="s">
        <v>3565</v>
      </c>
      <c r="C905" s="1" t="s">
        <v>40</v>
      </c>
      <c r="D905" s="1" t="s">
        <v>1781</v>
      </c>
    </row>
    <row r="906" spans="1:4">
      <c r="A906" s="1" t="s">
        <v>3568</v>
      </c>
      <c r="B906" s="1" t="s">
        <v>3567</v>
      </c>
      <c r="C906" s="1" t="s">
        <v>40</v>
      </c>
      <c r="D906" s="1" t="s">
        <v>1781</v>
      </c>
    </row>
    <row r="907" spans="1:4">
      <c r="A907" s="1" t="s">
        <v>3570</v>
      </c>
      <c r="B907" s="1" t="s">
        <v>3569</v>
      </c>
      <c r="C907" s="1" t="s">
        <v>40</v>
      </c>
      <c r="D907" s="1" t="s">
        <v>1781</v>
      </c>
    </row>
    <row r="908" spans="1:4">
      <c r="A908" s="1" t="s">
        <v>3572</v>
      </c>
      <c r="B908" s="1" t="s">
        <v>3571</v>
      </c>
      <c r="C908" s="1" t="s">
        <v>40</v>
      </c>
      <c r="D908" s="1" t="s">
        <v>1781</v>
      </c>
    </row>
    <row r="909" spans="1:4">
      <c r="A909" s="1" t="s">
        <v>3574</v>
      </c>
      <c r="B909" s="1" t="s">
        <v>3573</v>
      </c>
      <c r="C909" s="1" t="s">
        <v>40</v>
      </c>
      <c r="D909" s="1" t="s">
        <v>1781</v>
      </c>
    </row>
    <row r="910" spans="1:4">
      <c r="A910" s="1" t="s">
        <v>3576</v>
      </c>
      <c r="B910" s="1" t="s">
        <v>3575</v>
      </c>
      <c r="C910" s="1" t="s">
        <v>40</v>
      </c>
      <c r="D910" s="1" t="s">
        <v>1781</v>
      </c>
    </row>
    <row r="911" spans="1:4">
      <c r="A911" s="1" t="s">
        <v>3578</v>
      </c>
      <c r="B911" s="1" t="s">
        <v>3577</v>
      </c>
      <c r="C911" s="1" t="s">
        <v>40</v>
      </c>
      <c r="D911" s="1" t="s">
        <v>1781</v>
      </c>
    </row>
    <row r="912" spans="1:4">
      <c r="A912" s="1" t="s">
        <v>3580</v>
      </c>
      <c r="B912" s="1" t="s">
        <v>3579</v>
      </c>
      <c r="C912" s="1" t="s">
        <v>40</v>
      </c>
      <c r="D912" s="1" t="s">
        <v>1781</v>
      </c>
    </row>
    <row r="913" spans="1:4">
      <c r="A913" s="1" t="s">
        <v>3582</v>
      </c>
      <c r="B913" s="1" t="s">
        <v>3581</v>
      </c>
      <c r="C913" s="1" t="s">
        <v>40</v>
      </c>
      <c r="D913" s="1" t="s">
        <v>1781</v>
      </c>
    </row>
    <row r="914" spans="1:4">
      <c r="A914" s="1" t="s">
        <v>3584</v>
      </c>
      <c r="B914" s="1" t="s">
        <v>3583</v>
      </c>
      <c r="C914" s="1" t="s">
        <v>40</v>
      </c>
      <c r="D914" s="1" t="s">
        <v>1781</v>
      </c>
    </row>
    <row r="915" spans="1:4">
      <c r="A915" s="1" t="s">
        <v>3586</v>
      </c>
      <c r="B915" s="1" t="s">
        <v>3585</v>
      </c>
      <c r="C915" s="1" t="s">
        <v>40</v>
      </c>
      <c r="D915" s="1" t="s">
        <v>1781</v>
      </c>
    </row>
    <row r="916" spans="1:4">
      <c r="A916" s="1" t="s">
        <v>3588</v>
      </c>
      <c r="B916" s="1" t="s">
        <v>3587</v>
      </c>
      <c r="C916" s="1" t="s">
        <v>40</v>
      </c>
      <c r="D916" s="1" t="s">
        <v>1781</v>
      </c>
    </row>
    <row r="917" spans="1:4">
      <c r="A917" s="1" t="s">
        <v>3590</v>
      </c>
      <c r="B917" s="1" t="s">
        <v>3589</v>
      </c>
      <c r="C917" s="1" t="s">
        <v>40</v>
      </c>
      <c r="D917" s="1" t="s">
        <v>1781</v>
      </c>
    </row>
    <row r="918" spans="1:4">
      <c r="A918" s="1" t="s">
        <v>3592</v>
      </c>
      <c r="B918" s="1" t="s">
        <v>3591</v>
      </c>
      <c r="C918" s="1" t="s">
        <v>40</v>
      </c>
      <c r="D918" s="1" t="s">
        <v>1781</v>
      </c>
    </row>
    <row r="919" spans="1:4">
      <c r="A919" s="1" t="s">
        <v>3594</v>
      </c>
      <c r="B919" s="1" t="s">
        <v>3593</v>
      </c>
      <c r="C919" s="1" t="s">
        <v>40</v>
      </c>
      <c r="D919" s="1" t="s">
        <v>1781</v>
      </c>
    </row>
    <row r="920" spans="1:4">
      <c r="A920" s="1" t="s">
        <v>3596</v>
      </c>
      <c r="B920" s="1" t="s">
        <v>3595</v>
      </c>
      <c r="C920" s="1" t="s">
        <v>40</v>
      </c>
      <c r="D920" s="1" t="s">
        <v>1781</v>
      </c>
    </row>
    <row r="921" spans="1:4">
      <c r="A921" s="1" t="s">
        <v>3598</v>
      </c>
      <c r="B921" s="1" t="s">
        <v>3597</v>
      </c>
      <c r="C921" s="1" t="s">
        <v>40</v>
      </c>
      <c r="D921" s="1" t="s">
        <v>1781</v>
      </c>
    </row>
    <row r="922" spans="1:4">
      <c r="A922" s="1" t="s">
        <v>3600</v>
      </c>
      <c r="B922" s="1" t="s">
        <v>3599</v>
      </c>
      <c r="C922" s="1" t="s">
        <v>40</v>
      </c>
      <c r="D922" s="1" t="s">
        <v>1781</v>
      </c>
    </row>
    <row r="923" spans="1:4">
      <c r="A923" s="1" t="s">
        <v>3602</v>
      </c>
      <c r="B923" s="1" t="s">
        <v>3601</v>
      </c>
      <c r="C923" s="1" t="s">
        <v>40</v>
      </c>
      <c r="D923" s="1" t="s">
        <v>1781</v>
      </c>
    </row>
    <row r="924" spans="1:4">
      <c r="A924" s="1" t="s">
        <v>1599</v>
      </c>
      <c r="B924" s="1" t="s">
        <v>3603</v>
      </c>
      <c r="C924" s="1" t="s">
        <v>40</v>
      </c>
      <c r="D924" s="1" t="s">
        <v>1781</v>
      </c>
    </row>
    <row r="925" spans="1:4">
      <c r="A925" s="1" t="s">
        <v>910</v>
      </c>
      <c r="B925" s="1" t="s">
        <v>3604</v>
      </c>
      <c r="C925" s="1" t="s">
        <v>40</v>
      </c>
      <c r="D925" s="1" t="s">
        <v>1781</v>
      </c>
    </row>
    <row r="926" spans="1:4">
      <c r="A926" s="1" t="s">
        <v>3606</v>
      </c>
      <c r="B926" s="1" t="s">
        <v>3605</v>
      </c>
      <c r="C926" s="1" t="s">
        <v>40</v>
      </c>
      <c r="D926" s="1" t="s">
        <v>1781</v>
      </c>
    </row>
    <row r="927" spans="1:4">
      <c r="A927" s="1" t="s">
        <v>878</v>
      </c>
      <c r="B927" s="1" t="s">
        <v>3607</v>
      </c>
      <c r="C927" s="1" t="s">
        <v>40</v>
      </c>
      <c r="D927" s="1" t="s">
        <v>1781</v>
      </c>
    </row>
    <row r="928" spans="1:4">
      <c r="A928" s="1" t="s">
        <v>3609</v>
      </c>
      <c r="B928" s="1" t="s">
        <v>3608</v>
      </c>
      <c r="C928" s="1" t="s">
        <v>40</v>
      </c>
      <c r="D928" s="1" t="s">
        <v>1781</v>
      </c>
    </row>
    <row r="929" spans="1:4">
      <c r="A929" s="1" t="s">
        <v>3611</v>
      </c>
      <c r="B929" s="1" t="s">
        <v>3610</v>
      </c>
      <c r="C929" s="1" t="s">
        <v>40</v>
      </c>
      <c r="D929" s="1" t="s">
        <v>1781</v>
      </c>
    </row>
    <row r="930" spans="1:4">
      <c r="A930" s="1" t="s">
        <v>3613</v>
      </c>
      <c r="B930" s="1" t="s">
        <v>3612</v>
      </c>
      <c r="C930" s="1" t="s">
        <v>40</v>
      </c>
      <c r="D930" s="1" t="s">
        <v>1781</v>
      </c>
    </row>
    <row r="931" spans="1:4">
      <c r="A931" s="1" t="s">
        <v>3615</v>
      </c>
      <c r="B931" s="1" t="s">
        <v>3614</v>
      </c>
      <c r="C931" s="1" t="s">
        <v>40</v>
      </c>
      <c r="D931" s="1" t="s">
        <v>1781</v>
      </c>
    </row>
    <row r="932" spans="1:4">
      <c r="A932" s="1" t="s">
        <v>3617</v>
      </c>
      <c r="B932" s="1" t="s">
        <v>3616</v>
      </c>
      <c r="C932" s="1" t="s">
        <v>40</v>
      </c>
      <c r="D932" s="1" t="s">
        <v>1781</v>
      </c>
    </row>
    <row r="933" spans="1:4">
      <c r="A933" s="1" t="s">
        <v>3619</v>
      </c>
      <c r="B933" s="1" t="s">
        <v>3618</v>
      </c>
      <c r="C933" s="1" t="s">
        <v>40</v>
      </c>
      <c r="D933" s="1" t="s">
        <v>1781</v>
      </c>
    </row>
    <row r="934" spans="1:4">
      <c r="A934" s="1" t="s">
        <v>3621</v>
      </c>
      <c r="B934" s="1" t="s">
        <v>3620</v>
      </c>
      <c r="C934" s="1" t="s">
        <v>40</v>
      </c>
      <c r="D934" s="1" t="s">
        <v>1781</v>
      </c>
    </row>
    <row r="935" spans="1:4">
      <c r="A935" s="1" t="s">
        <v>1264</v>
      </c>
      <c r="B935" s="1" t="s">
        <v>3622</v>
      </c>
      <c r="C935" s="1" t="s">
        <v>40</v>
      </c>
      <c r="D935" s="1" t="s">
        <v>1781</v>
      </c>
    </row>
    <row r="936" spans="1:4">
      <c r="A936" s="1" t="s">
        <v>1066</v>
      </c>
      <c r="B936" s="1" t="s">
        <v>3623</v>
      </c>
      <c r="C936" s="1" t="s">
        <v>40</v>
      </c>
      <c r="D936" s="1" t="s">
        <v>1781</v>
      </c>
    </row>
    <row r="937" spans="1:4">
      <c r="A937" s="1" t="s">
        <v>3625</v>
      </c>
      <c r="B937" s="1" t="s">
        <v>3624</v>
      </c>
      <c r="C937" s="1" t="s">
        <v>40</v>
      </c>
      <c r="D937" s="1" t="s">
        <v>1781</v>
      </c>
    </row>
    <row r="938" spans="1:4">
      <c r="A938" s="1" t="s">
        <v>3627</v>
      </c>
      <c r="B938" s="1" t="s">
        <v>3626</v>
      </c>
      <c r="C938" s="1" t="s">
        <v>40</v>
      </c>
      <c r="D938" s="1" t="s">
        <v>1781</v>
      </c>
    </row>
    <row r="939" spans="1:4">
      <c r="A939" s="1" t="s">
        <v>3629</v>
      </c>
      <c r="B939" s="1" t="s">
        <v>3628</v>
      </c>
      <c r="C939" s="1" t="s">
        <v>40</v>
      </c>
      <c r="D939" s="1" t="s">
        <v>1781</v>
      </c>
    </row>
    <row r="940" spans="1:4">
      <c r="A940" s="1" t="s">
        <v>3631</v>
      </c>
      <c r="B940" s="1" t="s">
        <v>3630</v>
      </c>
      <c r="C940" s="1" t="s">
        <v>40</v>
      </c>
      <c r="D940" s="1" t="s">
        <v>1781</v>
      </c>
    </row>
    <row r="941" spans="1:4">
      <c r="A941" s="1" t="s">
        <v>3633</v>
      </c>
      <c r="B941" s="1" t="s">
        <v>3632</v>
      </c>
      <c r="C941" s="1" t="s">
        <v>40</v>
      </c>
      <c r="D941" s="1" t="s">
        <v>1781</v>
      </c>
    </row>
    <row r="942" spans="1:4">
      <c r="A942" s="1" t="s">
        <v>3635</v>
      </c>
      <c r="B942" s="1" t="s">
        <v>3634</v>
      </c>
      <c r="C942" s="1" t="s">
        <v>40</v>
      </c>
      <c r="D942" s="1" t="s">
        <v>1781</v>
      </c>
    </row>
    <row r="943" spans="1:4">
      <c r="A943" s="1" t="s">
        <v>3637</v>
      </c>
      <c r="B943" s="1" t="s">
        <v>3636</v>
      </c>
      <c r="C943" s="1" t="s">
        <v>40</v>
      </c>
      <c r="D943" s="1" t="s">
        <v>1781</v>
      </c>
    </row>
    <row r="944" spans="1:4">
      <c r="A944" s="1" t="s">
        <v>3639</v>
      </c>
      <c r="B944" s="1" t="s">
        <v>3638</v>
      </c>
      <c r="C944" s="1" t="s">
        <v>40</v>
      </c>
      <c r="D944" s="1" t="s">
        <v>1781</v>
      </c>
    </row>
    <row r="945" spans="1:4">
      <c r="A945" s="1" t="s">
        <v>3641</v>
      </c>
      <c r="B945" s="1" t="s">
        <v>3640</v>
      </c>
      <c r="C945" s="1" t="s">
        <v>40</v>
      </c>
      <c r="D945" s="1" t="s">
        <v>1781</v>
      </c>
    </row>
    <row r="946" spans="1:4">
      <c r="A946" s="1" t="s">
        <v>3643</v>
      </c>
      <c r="B946" s="1" t="s">
        <v>3642</v>
      </c>
      <c r="C946" s="1" t="s">
        <v>40</v>
      </c>
      <c r="D946" s="1" t="s">
        <v>1781</v>
      </c>
    </row>
    <row r="947" spans="1:4">
      <c r="A947" s="1" t="s">
        <v>3645</v>
      </c>
      <c r="B947" s="1" t="s">
        <v>3644</v>
      </c>
      <c r="C947" s="1" t="s">
        <v>40</v>
      </c>
      <c r="D947" s="1" t="s">
        <v>1781</v>
      </c>
    </row>
    <row r="948" spans="1:4">
      <c r="A948" s="1" t="s">
        <v>1266</v>
      </c>
      <c r="B948" s="1" t="s">
        <v>3646</v>
      </c>
      <c r="C948" s="1" t="s">
        <v>40</v>
      </c>
      <c r="D948" s="1" t="s">
        <v>1781</v>
      </c>
    </row>
    <row r="949" spans="1:4">
      <c r="A949" s="1" t="s">
        <v>3648</v>
      </c>
      <c r="B949" s="1" t="s">
        <v>3647</v>
      </c>
      <c r="C949" s="1" t="s">
        <v>40</v>
      </c>
      <c r="D949" s="1" t="s">
        <v>1781</v>
      </c>
    </row>
    <row r="950" spans="1:4">
      <c r="A950" s="1" t="s">
        <v>3650</v>
      </c>
      <c r="B950" s="1" t="s">
        <v>3649</v>
      </c>
      <c r="C950" s="1" t="s">
        <v>40</v>
      </c>
      <c r="D950" s="1" t="s">
        <v>1781</v>
      </c>
    </row>
    <row r="951" spans="1:4">
      <c r="A951" s="1" t="s">
        <v>3652</v>
      </c>
      <c r="B951" s="1" t="s">
        <v>3651</v>
      </c>
      <c r="C951" s="1" t="s">
        <v>40</v>
      </c>
      <c r="D951" s="1" t="s">
        <v>1781</v>
      </c>
    </row>
    <row r="952" spans="1:4">
      <c r="A952" s="1" t="s">
        <v>3654</v>
      </c>
      <c r="B952" s="1" t="s">
        <v>3653</v>
      </c>
      <c r="C952" s="1" t="s">
        <v>40</v>
      </c>
      <c r="D952" s="1" t="s">
        <v>1781</v>
      </c>
    </row>
    <row r="953" spans="1:4">
      <c r="A953" s="1" t="s">
        <v>3656</v>
      </c>
      <c r="B953" s="1" t="s">
        <v>3655</v>
      </c>
      <c r="C953" s="1" t="s">
        <v>40</v>
      </c>
      <c r="D953" s="1" t="s">
        <v>1781</v>
      </c>
    </row>
    <row r="954" spans="1:4">
      <c r="A954" s="1" t="s">
        <v>3658</v>
      </c>
      <c r="B954" s="1" t="s">
        <v>3657</v>
      </c>
      <c r="C954" s="1" t="s">
        <v>40</v>
      </c>
      <c r="D954" s="1" t="s">
        <v>1781</v>
      </c>
    </row>
    <row r="955" spans="1:4">
      <c r="A955" s="1" t="s">
        <v>3660</v>
      </c>
      <c r="B955" s="1" t="s">
        <v>3659</v>
      </c>
      <c r="C955" s="1" t="s">
        <v>40</v>
      </c>
      <c r="D955" s="1" t="s">
        <v>1781</v>
      </c>
    </row>
    <row r="956" spans="1:4">
      <c r="A956" s="1" t="s">
        <v>3662</v>
      </c>
      <c r="B956" s="1" t="s">
        <v>3661</v>
      </c>
      <c r="C956" s="1" t="s">
        <v>40</v>
      </c>
      <c r="D956" s="1" t="s">
        <v>1781</v>
      </c>
    </row>
    <row r="957" spans="1:4">
      <c r="A957" s="1" t="s">
        <v>3664</v>
      </c>
      <c r="B957" s="1" t="s">
        <v>3663</v>
      </c>
      <c r="C957" s="1" t="s">
        <v>40</v>
      </c>
      <c r="D957" s="1" t="s">
        <v>1781</v>
      </c>
    </row>
    <row r="958" spans="1:4">
      <c r="A958" s="1" t="s">
        <v>3666</v>
      </c>
      <c r="B958" s="1" t="s">
        <v>3665</v>
      </c>
      <c r="C958" s="1" t="s">
        <v>40</v>
      </c>
      <c r="D958" s="1" t="s">
        <v>1781</v>
      </c>
    </row>
    <row r="959" spans="1:4">
      <c r="A959" s="1" t="s">
        <v>3668</v>
      </c>
      <c r="B959" s="1" t="s">
        <v>3667</v>
      </c>
      <c r="C959" s="1" t="s">
        <v>40</v>
      </c>
      <c r="D959" s="1" t="s">
        <v>1781</v>
      </c>
    </row>
    <row r="960" spans="1:4">
      <c r="A960" s="1" t="s">
        <v>3670</v>
      </c>
      <c r="B960" s="1" t="s">
        <v>3669</v>
      </c>
      <c r="C960" s="1" t="s">
        <v>40</v>
      </c>
      <c r="D960" s="1" t="s">
        <v>1781</v>
      </c>
    </row>
    <row r="961" spans="1:4">
      <c r="A961" s="1" t="s">
        <v>3672</v>
      </c>
      <c r="B961" s="1" t="s">
        <v>3671</v>
      </c>
      <c r="C961" s="1" t="s">
        <v>40</v>
      </c>
      <c r="D961" s="1" t="s">
        <v>1781</v>
      </c>
    </row>
    <row r="962" spans="1:4">
      <c r="A962" s="1" t="s">
        <v>3674</v>
      </c>
      <c r="B962" s="1" t="s">
        <v>3673</v>
      </c>
      <c r="C962" s="1" t="s">
        <v>40</v>
      </c>
      <c r="D962" s="1" t="s">
        <v>1781</v>
      </c>
    </row>
    <row r="963" spans="1:4">
      <c r="A963" s="1" t="s">
        <v>3676</v>
      </c>
      <c r="B963" s="1" t="s">
        <v>3675</v>
      </c>
      <c r="C963" s="1" t="s">
        <v>40</v>
      </c>
      <c r="D963" s="1" t="s">
        <v>1781</v>
      </c>
    </row>
    <row r="964" spans="1:4">
      <c r="A964" s="1" t="s">
        <v>3678</v>
      </c>
      <c r="B964" s="1" t="s">
        <v>3677</v>
      </c>
      <c r="C964" s="1" t="s">
        <v>40</v>
      </c>
      <c r="D964" s="1" t="s">
        <v>1781</v>
      </c>
    </row>
    <row r="965" spans="1:4">
      <c r="A965" s="1" t="s">
        <v>3680</v>
      </c>
      <c r="B965" s="1" t="s">
        <v>3679</v>
      </c>
      <c r="C965" s="1" t="s">
        <v>40</v>
      </c>
      <c r="D965" s="1" t="s">
        <v>1781</v>
      </c>
    </row>
    <row r="966" spans="1:4">
      <c r="A966" s="1" t="s">
        <v>3682</v>
      </c>
      <c r="B966" s="1" t="s">
        <v>3681</v>
      </c>
      <c r="C966" s="1" t="s">
        <v>40</v>
      </c>
      <c r="D966" s="1" t="s">
        <v>1781</v>
      </c>
    </row>
    <row r="967" spans="1:4">
      <c r="A967" s="1" t="s">
        <v>3684</v>
      </c>
      <c r="B967" s="1" t="s">
        <v>3683</v>
      </c>
      <c r="C967" s="1" t="s">
        <v>40</v>
      </c>
      <c r="D967" s="1" t="s">
        <v>1781</v>
      </c>
    </row>
    <row r="968" spans="1:4">
      <c r="A968" s="1" t="s">
        <v>3686</v>
      </c>
      <c r="B968" s="1" t="s">
        <v>3685</v>
      </c>
      <c r="C968" s="1" t="s">
        <v>40</v>
      </c>
      <c r="D968" s="1" t="s">
        <v>1781</v>
      </c>
    </row>
    <row r="969" spans="1:4">
      <c r="A969" s="1" t="s">
        <v>3688</v>
      </c>
      <c r="B969" s="1" t="s">
        <v>3687</v>
      </c>
      <c r="C969" s="1" t="s">
        <v>40</v>
      </c>
      <c r="D969" s="1" t="s">
        <v>1781</v>
      </c>
    </row>
    <row r="970" spans="1:4">
      <c r="A970" s="1" t="s">
        <v>3690</v>
      </c>
      <c r="B970" s="1" t="s">
        <v>3689</v>
      </c>
      <c r="C970" s="1" t="s">
        <v>40</v>
      </c>
      <c r="D970" s="1" t="s">
        <v>1781</v>
      </c>
    </row>
    <row r="971" spans="1:4">
      <c r="A971" s="1" t="s">
        <v>1262</v>
      </c>
      <c r="B971" s="1" t="s">
        <v>3691</v>
      </c>
      <c r="C971" s="1" t="s">
        <v>40</v>
      </c>
      <c r="D971" s="1" t="s">
        <v>1781</v>
      </c>
    </row>
    <row r="972" spans="1:4">
      <c r="A972" s="1" t="s">
        <v>1360</v>
      </c>
      <c r="B972" s="1" t="s">
        <v>3692</v>
      </c>
      <c r="C972" s="1" t="s">
        <v>40</v>
      </c>
      <c r="D972" s="1" t="s">
        <v>1781</v>
      </c>
    </row>
    <row r="973" spans="1:4">
      <c r="A973" s="1" t="s">
        <v>3694</v>
      </c>
      <c r="B973" s="1" t="s">
        <v>3693</v>
      </c>
      <c r="C973" s="1" t="s">
        <v>40</v>
      </c>
      <c r="D973" s="1" t="s">
        <v>1781</v>
      </c>
    </row>
    <row r="974" spans="1:4">
      <c r="A974" s="1" t="s">
        <v>3696</v>
      </c>
      <c r="B974" s="1" t="s">
        <v>3695</v>
      </c>
      <c r="C974" s="1" t="s">
        <v>40</v>
      </c>
      <c r="D974" s="1" t="s">
        <v>1781</v>
      </c>
    </row>
    <row r="975" spans="1:4">
      <c r="A975" s="1" t="s">
        <v>3698</v>
      </c>
      <c r="B975" s="1" t="s">
        <v>3697</v>
      </c>
      <c r="C975" s="1" t="s">
        <v>40</v>
      </c>
      <c r="D975" s="1" t="s">
        <v>1781</v>
      </c>
    </row>
    <row r="976" spans="1:4">
      <c r="A976" s="1" t="s">
        <v>3700</v>
      </c>
      <c r="B976" s="1" t="s">
        <v>3699</v>
      </c>
      <c r="C976" s="1" t="s">
        <v>40</v>
      </c>
      <c r="D976" s="1" t="s">
        <v>1781</v>
      </c>
    </row>
    <row r="977" spans="1:4">
      <c r="A977" s="1" t="s">
        <v>3702</v>
      </c>
      <c r="B977" s="1" t="s">
        <v>3701</v>
      </c>
      <c r="C977" s="1" t="s">
        <v>40</v>
      </c>
      <c r="D977" s="1" t="s">
        <v>1781</v>
      </c>
    </row>
    <row r="978" spans="1:4">
      <c r="A978" s="1" t="s">
        <v>901</v>
      </c>
      <c r="B978" s="1" t="s">
        <v>3703</v>
      </c>
      <c r="C978" s="1" t="s">
        <v>40</v>
      </c>
      <c r="D978" s="1" t="s">
        <v>1781</v>
      </c>
    </row>
    <row r="979" spans="1:4">
      <c r="A979" s="1" t="s">
        <v>3705</v>
      </c>
      <c r="B979" s="1" t="s">
        <v>3704</v>
      </c>
      <c r="C979" s="1" t="s">
        <v>40</v>
      </c>
      <c r="D979" s="1" t="s">
        <v>1781</v>
      </c>
    </row>
    <row r="980" spans="1:4">
      <c r="A980" s="1" t="s">
        <v>1278</v>
      </c>
      <c r="B980" s="1" t="s">
        <v>3706</v>
      </c>
      <c r="C980" s="1" t="s">
        <v>40</v>
      </c>
      <c r="D980" s="1" t="s">
        <v>1781</v>
      </c>
    </row>
    <row r="981" spans="1:4">
      <c r="A981" s="1" t="s">
        <v>3708</v>
      </c>
      <c r="B981" s="1" t="s">
        <v>3707</v>
      </c>
      <c r="C981" s="1" t="s">
        <v>40</v>
      </c>
      <c r="D981" s="1" t="s">
        <v>1781</v>
      </c>
    </row>
    <row r="982" spans="1:4">
      <c r="A982" s="1" t="s">
        <v>3710</v>
      </c>
      <c r="B982" s="1" t="s">
        <v>3709</v>
      </c>
      <c r="C982" s="1" t="s">
        <v>40</v>
      </c>
      <c r="D982" s="1" t="s">
        <v>1781</v>
      </c>
    </row>
    <row r="983" spans="1:4">
      <c r="A983" s="1" t="s">
        <v>3712</v>
      </c>
      <c r="B983" s="1" t="s">
        <v>3711</v>
      </c>
      <c r="C983" s="1"/>
      <c r="D983" s="1" t="s">
        <v>1781</v>
      </c>
    </row>
    <row r="984" spans="1:4">
      <c r="A984" s="1" t="s">
        <v>1337</v>
      </c>
      <c r="B984" s="1" t="s">
        <v>3713</v>
      </c>
      <c r="C984" s="1" t="s">
        <v>40</v>
      </c>
      <c r="D984" s="1" t="s">
        <v>1781</v>
      </c>
    </row>
    <row r="985" spans="1:4">
      <c r="A985" s="1" t="s">
        <v>3715</v>
      </c>
      <c r="B985" s="1" t="s">
        <v>3714</v>
      </c>
      <c r="C985" s="1" t="s">
        <v>40</v>
      </c>
      <c r="D985" s="1" t="s">
        <v>1781</v>
      </c>
    </row>
    <row r="986" spans="1:4">
      <c r="A986" s="1" t="s">
        <v>1333</v>
      </c>
      <c r="B986" s="1" t="s">
        <v>3716</v>
      </c>
      <c r="C986" s="1"/>
      <c r="D986" s="1" t="s">
        <v>1781</v>
      </c>
    </row>
    <row r="987" spans="1:4">
      <c r="A987" s="1" t="s">
        <v>3718</v>
      </c>
      <c r="B987" s="1" t="s">
        <v>3717</v>
      </c>
      <c r="C987" s="1" t="s">
        <v>40</v>
      </c>
      <c r="D987" s="1" t="s">
        <v>1781</v>
      </c>
    </row>
    <row r="988" spans="1:4">
      <c r="A988" s="1" t="s">
        <v>3720</v>
      </c>
      <c r="B988" s="1" t="s">
        <v>3719</v>
      </c>
      <c r="C988" s="1" t="s">
        <v>40</v>
      </c>
      <c r="D988" s="1" t="s">
        <v>1781</v>
      </c>
    </row>
    <row r="989" spans="1:4">
      <c r="A989" s="1" t="s">
        <v>3722</v>
      </c>
      <c r="B989" s="1" t="s">
        <v>3721</v>
      </c>
      <c r="C989" s="1" t="s">
        <v>40</v>
      </c>
      <c r="D989" s="1" t="s">
        <v>1781</v>
      </c>
    </row>
    <row r="990" spans="1:4">
      <c r="A990" s="1" t="s">
        <v>3724</v>
      </c>
      <c r="B990" s="1" t="s">
        <v>3723</v>
      </c>
      <c r="C990" s="1" t="s">
        <v>40</v>
      </c>
      <c r="D990" s="1" t="s">
        <v>1781</v>
      </c>
    </row>
    <row r="991" spans="1:4">
      <c r="A991" s="1" t="s">
        <v>3726</v>
      </c>
      <c r="B991" s="1" t="s">
        <v>3725</v>
      </c>
      <c r="C991" s="1" t="s">
        <v>40</v>
      </c>
      <c r="D991" s="1" t="s">
        <v>1781</v>
      </c>
    </row>
    <row r="992" spans="1:4">
      <c r="A992" s="1" t="s">
        <v>3728</v>
      </c>
      <c r="B992" s="1" t="s">
        <v>3727</v>
      </c>
      <c r="C992" s="1" t="s">
        <v>40</v>
      </c>
      <c r="D992" s="1" t="s">
        <v>1781</v>
      </c>
    </row>
    <row r="993" spans="1:4">
      <c r="A993" s="1" t="s">
        <v>3730</v>
      </c>
      <c r="B993" s="1" t="s">
        <v>3729</v>
      </c>
      <c r="C993" s="1" t="s">
        <v>40</v>
      </c>
      <c r="D993" s="1" t="s">
        <v>1781</v>
      </c>
    </row>
    <row r="994" spans="1:4">
      <c r="A994" s="1" t="s">
        <v>3732</v>
      </c>
      <c r="B994" s="1" t="s">
        <v>3731</v>
      </c>
      <c r="C994" s="1" t="s">
        <v>40</v>
      </c>
      <c r="D994" s="1" t="s">
        <v>1781</v>
      </c>
    </row>
    <row r="995" spans="1:4">
      <c r="A995" s="1" t="s">
        <v>3734</v>
      </c>
      <c r="B995" s="1" t="s">
        <v>3733</v>
      </c>
      <c r="C995" s="1" t="s">
        <v>40</v>
      </c>
      <c r="D995" s="1" t="s">
        <v>1781</v>
      </c>
    </row>
    <row r="996" spans="1:4">
      <c r="A996" s="1" t="s">
        <v>3736</v>
      </c>
      <c r="B996" s="1" t="s">
        <v>3735</v>
      </c>
      <c r="C996" s="1" t="s">
        <v>40</v>
      </c>
      <c r="D996" s="1" t="s">
        <v>1781</v>
      </c>
    </row>
    <row r="997" spans="1:4">
      <c r="A997" s="1" t="s">
        <v>3738</v>
      </c>
      <c r="B997" s="1" t="s">
        <v>3737</v>
      </c>
      <c r="C997" s="1" t="s">
        <v>40</v>
      </c>
      <c r="D997" s="1" t="s">
        <v>1781</v>
      </c>
    </row>
    <row r="998" spans="1:4">
      <c r="A998" s="1" t="s">
        <v>3740</v>
      </c>
      <c r="B998" s="1" t="s">
        <v>3739</v>
      </c>
      <c r="C998" s="1" t="s">
        <v>40</v>
      </c>
      <c r="D998" s="1" t="s">
        <v>1781</v>
      </c>
    </row>
    <row r="999" spans="1:4">
      <c r="A999" s="1" t="s">
        <v>3742</v>
      </c>
      <c r="B999" s="1" t="s">
        <v>3741</v>
      </c>
      <c r="C999" s="1" t="s">
        <v>40</v>
      </c>
      <c r="D999" s="1" t="s">
        <v>1781</v>
      </c>
    </row>
    <row r="1000" spans="1:4">
      <c r="A1000" s="1" t="s">
        <v>3744</v>
      </c>
      <c r="B1000" s="1" t="s">
        <v>3743</v>
      </c>
      <c r="C1000" s="1" t="s">
        <v>40</v>
      </c>
      <c r="D1000" s="1" t="s">
        <v>1781</v>
      </c>
    </row>
    <row r="1001" spans="1:4">
      <c r="A1001" s="1" t="s">
        <v>3746</v>
      </c>
      <c r="B1001" s="1" t="s">
        <v>3745</v>
      </c>
      <c r="C1001" s="1" t="s">
        <v>40</v>
      </c>
      <c r="D1001" s="1" t="s">
        <v>1781</v>
      </c>
    </row>
    <row r="1002" spans="1:4">
      <c r="A1002" s="1" t="s">
        <v>3748</v>
      </c>
      <c r="B1002" s="1" t="s">
        <v>3747</v>
      </c>
      <c r="C1002" s="1" t="s">
        <v>40</v>
      </c>
      <c r="D1002" s="1" t="s">
        <v>1781</v>
      </c>
    </row>
    <row r="1003" spans="1:4">
      <c r="A1003" s="1" t="s">
        <v>3750</v>
      </c>
      <c r="B1003" s="1" t="s">
        <v>3749</v>
      </c>
      <c r="C1003" s="1" t="s">
        <v>40</v>
      </c>
      <c r="D1003" s="1" t="s">
        <v>1781</v>
      </c>
    </row>
    <row r="1004" spans="1:4">
      <c r="A1004" s="1" t="s">
        <v>3752</v>
      </c>
      <c r="B1004" s="1" t="s">
        <v>3751</v>
      </c>
      <c r="C1004" s="1" t="s">
        <v>40</v>
      </c>
      <c r="D1004" s="1" t="s">
        <v>1781</v>
      </c>
    </row>
    <row r="1005" spans="1:4">
      <c r="A1005" s="1" t="s">
        <v>3754</v>
      </c>
      <c r="B1005" s="1" t="s">
        <v>3753</v>
      </c>
      <c r="C1005" s="1" t="s">
        <v>40</v>
      </c>
      <c r="D1005" s="1" t="s">
        <v>1781</v>
      </c>
    </row>
    <row r="1006" spans="1:4">
      <c r="A1006" s="1" t="s">
        <v>3756</v>
      </c>
      <c r="B1006" s="1" t="s">
        <v>3755</v>
      </c>
      <c r="C1006" s="1" t="s">
        <v>40</v>
      </c>
      <c r="D1006" s="1" t="s">
        <v>1781</v>
      </c>
    </row>
    <row r="1007" spans="1:4">
      <c r="A1007" s="1" t="s">
        <v>3758</v>
      </c>
      <c r="B1007" s="1" t="s">
        <v>3757</v>
      </c>
      <c r="C1007" s="1" t="s">
        <v>40</v>
      </c>
      <c r="D1007" s="1" t="s">
        <v>1781</v>
      </c>
    </row>
    <row r="1008" spans="1:4">
      <c r="A1008" s="1" t="s">
        <v>3760</v>
      </c>
      <c r="B1008" s="1" t="s">
        <v>3759</v>
      </c>
      <c r="C1008" s="1" t="s">
        <v>40</v>
      </c>
      <c r="D1008" s="1" t="s">
        <v>1781</v>
      </c>
    </row>
    <row r="1009" spans="1:4">
      <c r="A1009" s="1" t="s">
        <v>3762</v>
      </c>
      <c r="B1009" s="1" t="s">
        <v>3761</v>
      </c>
      <c r="C1009" s="1" t="s">
        <v>40</v>
      </c>
      <c r="D1009" s="1" t="s">
        <v>1781</v>
      </c>
    </row>
    <row r="1010" spans="1:4">
      <c r="A1010" s="1" t="s">
        <v>3764</v>
      </c>
      <c r="B1010" s="1" t="s">
        <v>3763</v>
      </c>
      <c r="C1010" s="1" t="s">
        <v>40</v>
      </c>
      <c r="D1010" s="1" t="s">
        <v>1781</v>
      </c>
    </row>
    <row r="1011" spans="1:4">
      <c r="A1011" s="1" t="s">
        <v>3766</v>
      </c>
      <c r="B1011" s="1" t="s">
        <v>3765</v>
      </c>
      <c r="C1011" s="1" t="s">
        <v>40</v>
      </c>
      <c r="D1011" s="1" t="s">
        <v>1781</v>
      </c>
    </row>
    <row r="1012" spans="1:4">
      <c r="A1012" s="1" t="s">
        <v>3768</v>
      </c>
      <c r="B1012" s="1" t="s">
        <v>3767</v>
      </c>
      <c r="C1012" s="1" t="s">
        <v>40</v>
      </c>
      <c r="D1012" s="1" t="s">
        <v>1781</v>
      </c>
    </row>
    <row r="1013" spans="1:4">
      <c r="A1013" s="1" t="s">
        <v>3770</v>
      </c>
      <c r="B1013" s="1" t="s">
        <v>3769</v>
      </c>
      <c r="C1013" s="1" t="s">
        <v>40</v>
      </c>
      <c r="D1013" s="1" t="s">
        <v>1781</v>
      </c>
    </row>
    <row r="1014" spans="1:4">
      <c r="A1014" s="1" t="s">
        <v>3772</v>
      </c>
      <c r="B1014" s="1" t="s">
        <v>3771</v>
      </c>
      <c r="C1014" s="1" t="s">
        <v>40</v>
      </c>
      <c r="D1014" s="1" t="s">
        <v>1781</v>
      </c>
    </row>
    <row r="1015" spans="1:4">
      <c r="A1015" s="1" t="s">
        <v>3774</v>
      </c>
      <c r="B1015" s="1" t="s">
        <v>3773</v>
      </c>
      <c r="C1015" s="1" t="s">
        <v>40</v>
      </c>
      <c r="D1015" s="1" t="s">
        <v>1781</v>
      </c>
    </row>
    <row r="1016" spans="1:4">
      <c r="A1016" s="1" t="s">
        <v>3776</v>
      </c>
      <c r="B1016" s="1" t="s">
        <v>3775</v>
      </c>
      <c r="C1016" s="1" t="s">
        <v>40</v>
      </c>
      <c r="D1016" s="1" t="s">
        <v>1781</v>
      </c>
    </row>
    <row r="1017" spans="1:4">
      <c r="A1017" s="1" t="s">
        <v>3778</v>
      </c>
      <c r="B1017" s="1" t="s">
        <v>3777</v>
      </c>
      <c r="C1017" s="1" t="s">
        <v>40</v>
      </c>
      <c r="D1017" s="1" t="s">
        <v>1781</v>
      </c>
    </row>
    <row r="1018" spans="1:4">
      <c r="A1018" s="1" t="s">
        <v>3780</v>
      </c>
      <c r="B1018" s="1" t="s">
        <v>3779</v>
      </c>
      <c r="C1018" s="1" t="s">
        <v>40</v>
      </c>
      <c r="D1018" s="1" t="s">
        <v>1781</v>
      </c>
    </row>
    <row r="1019" spans="1:4">
      <c r="A1019" s="1" t="s">
        <v>3782</v>
      </c>
      <c r="B1019" s="1" t="s">
        <v>3781</v>
      </c>
      <c r="C1019" s="1" t="s">
        <v>40</v>
      </c>
      <c r="D1019" s="1" t="s">
        <v>1781</v>
      </c>
    </row>
    <row r="1020" spans="1:4">
      <c r="A1020" s="1" t="s">
        <v>3784</v>
      </c>
      <c r="B1020" s="1" t="s">
        <v>3783</v>
      </c>
      <c r="C1020" s="1" t="s">
        <v>40</v>
      </c>
      <c r="D1020" s="1" t="s">
        <v>1781</v>
      </c>
    </row>
    <row r="1021" spans="1:4">
      <c r="A1021" s="1" t="s">
        <v>3786</v>
      </c>
      <c r="B1021" s="1" t="s">
        <v>3785</v>
      </c>
      <c r="C1021" s="1" t="s">
        <v>40</v>
      </c>
      <c r="D1021" s="1" t="s">
        <v>1781</v>
      </c>
    </row>
    <row r="1022" spans="1:4">
      <c r="A1022" s="1" t="s">
        <v>1354</v>
      </c>
      <c r="B1022" s="1" t="s">
        <v>3787</v>
      </c>
      <c r="C1022" s="1" t="s">
        <v>40</v>
      </c>
      <c r="D1022" s="1" t="s">
        <v>1781</v>
      </c>
    </row>
    <row r="1023" spans="1:4">
      <c r="A1023" s="1" t="s">
        <v>3789</v>
      </c>
      <c r="B1023" s="1" t="s">
        <v>3788</v>
      </c>
      <c r="C1023" s="1" t="s">
        <v>40</v>
      </c>
      <c r="D1023" s="1" t="s">
        <v>1781</v>
      </c>
    </row>
    <row r="1024" spans="1:4">
      <c r="A1024" s="1" t="s">
        <v>1505</v>
      </c>
      <c r="B1024" s="1" t="s">
        <v>3790</v>
      </c>
      <c r="C1024" s="1" t="s">
        <v>40</v>
      </c>
      <c r="D1024" s="1" t="s">
        <v>1781</v>
      </c>
    </row>
    <row r="1025" spans="1:4">
      <c r="A1025" s="1" t="s">
        <v>3792</v>
      </c>
      <c r="B1025" s="1" t="s">
        <v>3791</v>
      </c>
      <c r="C1025" s="1" t="s">
        <v>40</v>
      </c>
      <c r="D1025" s="1" t="s">
        <v>1781</v>
      </c>
    </row>
    <row r="1026" spans="1:4">
      <c r="A1026" s="1" t="s">
        <v>3794</v>
      </c>
      <c r="B1026" s="1" t="s">
        <v>3793</v>
      </c>
      <c r="C1026" s="1" t="s">
        <v>40</v>
      </c>
      <c r="D1026" s="1" t="s">
        <v>1781</v>
      </c>
    </row>
    <row r="1027" spans="1:4">
      <c r="A1027" s="1" t="s">
        <v>3796</v>
      </c>
      <c r="B1027" s="1" t="s">
        <v>3795</v>
      </c>
      <c r="C1027" s="1" t="s">
        <v>40</v>
      </c>
      <c r="D1027" s="1" t="s">
        <v>1781</v>
      </c>
    </row>
    <row r="1028" spans="1:4">
      <c r="A1028" s="1" t="s">
        <v>3798</v>
      </c>
      <c r="B1028" s="1" t="s">
        <v>3797</v>
      </c>
      <c r="C1028" s="1" t="s">
        <v>40</v>
      </c>
      <c r="D1028" s="1" t="s">
        <v>1781</v>
      </c>
    </row>
    <row r="1029" spans="1:4">
      <c r="A1029" s="1" t="s">
        <v>3800</v>
      </c>
      <c r="B1029" s="1" t="s">
        <v>3799</v>
      </c>
      <c r="C1029" s="1" t="s">
        <v>40</v>
      </c>
      <c r="D1029" s="1" t="s">
        <v>1781</v>
      </c>
    </row>
    <row r="1030" spans="1:4">
      <c r="A1030" s="1" t="s">
        <v>3802</v>
      </c>
      <c r="B1030" s="1" t="s">
        <v>3801</v>
      </c>
      <c r="C1030" s="1" t="s">
        <v>40</v>
      </c>
      <c r="D1030" s="1" t="s">
        <v>1781</v>
      </c>
    </row>
    <row r="1031" spans="1:4">
      <c r="A1031" s="1" t="s">
        <v>3804</v>
      </c>
      <c r="B1031" s="1" t="s">
        <v>3803</v>
      </c>
      <c r="C1031" s="1" t="s">
        <v>40</v>
      </c>
      <c r="D1031" s="1" t="s">
        <v>1781</v>
      </c>
    </row>
    <row r="1032" spans="1:4">
      <c r="A1032" s="1" t="s">
        <v>3806</v>
      </c>
      <c r="B1032" s="1" t="s">
        <v>3805</v>
      </c>
      <c r="C1032" s="1" t="s">
        <v>40</v>
      </c>
      <c r="D1032" s="1" t="s">
        <v>1781</v>
      </c>
    </row>
    <row r="1033" spans="1:4">
      <c r="A1033" s="1" t="s">
        <v>1270</v>
      </c>
      <c r="B1033" s="1" t="s">
        <v>3807</v>
      </c>
      <c r="C1033" s="1" t="s">
        <v>40</v>
      </c>
      <c r="D1033" s="1" t="s">
        <v>1781</v>
      </c>
    </row>
    <row r="1034" spans="1:4">
      <c r="A1034" s="1" t="s">
        <v>3809</v>
      </c>
      <c r="B1034" s="1" t="s">
        <v>3808</v>
      </c>
      <c r="C1034" s="1" t="s">
        <v>40</v>
      </c>
      <c r="D1034" s="1" t="s">
        <v>1781</v>
      </c>
    </row>
    <row r="1035" spans="1:4">
      <c r="A1035" s="1" t="s">
        <v>3811</v>
      </c>
      <c r="B1035" s="1" t="s">
        <v>3810</v>
      </c>
      <c r="C1035" s="1" t="s">
        <v>40</v>
      </c>
      <c r="D1035" s="1" t="s">
        <v>1781</v>
      </c>
    </row>
    <row r="1036" spans="1:4">
      <c r="A1036" s="1" t="s">
        <v>738</v>
      </c>
      <c r="B1036" s="1" t="s">
        <v>3812</v>
      </c>
      <c r="C1036" s="1" t="s">
        <v>40</v>
      </c>
      <c r="D1036" s="1" t="s">
        <v>1781</v>
      </c>
    </row>
    <row r="1037" spans="1:4">
      <c r="A1037" s="1" t="s">
        <v>3814</v>
      </c>
      <c r="B1037" s="1" t="s">
        <v>3813</v>
      </c>
      <c r="C1037" s="1" t="s">
        <v>40</v>
      </c>
      <c r="D1037" s="1" t="s">
        <v>1781</v>
      </c>
    </row>
    <row r="1038" spans="1:4">
      <c r="A1038" s="1" t="s">
        <v>3816</v>
      </c>
      <c r="B1038" s="1" t="s">
        <v>3815</v>
      </c>
      <c r="C1038" s="1" t="s">
        <v>40</v>
      </c>
      <c r="D1038" s="1" t="s">
        <v>1781</v>
      </c>
    </row>
    <row r="1039" spans="1:4">
      <c r="A1039" s="1" t="s">
        <v>3818</v>
      </c>
      <c r="B1039" s="1" t="s">
        <v>3817</v>
      </c>
      <c r="C1039" s="1" t="s">
        <v>40</v>
      </c>
      <c r="D1039" s="1" t="s">
        <v>1781</v>
      </c>
    </row>
    <row r="1040" spans="1:4">
      <c r="A1040" s="1" t="s">
        <v>3820</v>
      </c>
      <c r="B1040" s="1" t="s">
        <v>3819</v>
      </c>
      <c r="C1040" s="1" t="s">
        <v>40</v>
      </c>
      <c r="D1040" s="1" t="s">
        <v>1781</v>
      </c>
    </row>
    <row r="1041" spans="1:4">
      <c r="A1041" s="1" t="s">
        <v>3822</v>
      </c>
      <c r="B1041" s="1" t="s">
        <v>3821</v>
      </c>
      <c r="C1041" s="1" t="s">
        <v>40</v>
      </c>
      <c r="D1041" s="1" t="s">
        <v>1781</v>
      </c>
    </row>
    <row r="1042" spans="1:4">
      <c r="A1042" s="1" t="s">
        <v>3824</v>
      </c>
      <c r="B1042" s="1" t="s">
        <v>3823</v>
      </c>
      <c r="C1042" s="1" t="s">
        <v>40</v>
      </c>
      <c r="D1042" s="1" t="s">
        <v>1781</v>
      </c>
    </row>
    <row r="1043" spans="1:4">
      <c r="A1043" s="1" t="s">
        <v>3826</v>
      </c>
      <c r="B1043" s="1" t="s">
        <v>3825</v>
      </c>
      <c r="C1043" s="1" t="s">
        <v>40</v>
      </c>
      <c r="D1043" s="1" t="s">
        <v>1781</v>
      </c>
    </row>
    <row r="1044" spans="1:4">
      <c r="A1044" s="1" t="s">
        <v>3828</v>
      </c>
      <c r="B1044" s="1" t="s">
        <v>3827</v>
      </c>
      <c r="C1044" s="1" t="s">
        <v>40</v>
      </c>
      <c r="D1044" s="1" t="s">
        <v>1781</v>
      </c>
    </row>
    <row r="1045" spans="1:4">
      <c r="A1045" s="1" t="s">
        <v>3830</v>
      </c>
      <c r="B1045" s="1" t="s">
        <v>3829</v>
      </c>
      <c r="C1045" s="1" t="s">
        <v>40</v>
      </c>
      <c r="D1045" s="1" t="s">
        <v>1781</v>
      </c>
    </row>
    <row r="1046" spans="1:4">
      <c r="A1046" s="1" t="s">
        <v>3832</v>
      </c>
      <c r="B1046" s="1" t="s">
        <v>3831</v>
      </c>
      <c r="C1046" s="1" t="s">
        <v>40</v>
      </c>
      <c r="D1046" s="1" t="s">
        <v>1781</v>
      </c>
    </row>
    <row r="1047" spans="1:4">
      <c r="A1047" s="1" t="s">
        <v>3834</v>
      </c>
      <c r="B1047" s="1" t="s">
        <v>3833</v>
      </c>
      <c r="C1047" s="1" t="s">
        <v>40</v>
      </c>
      <c r="D1047" s="1" t="s">
        <v>1781</v>
      </c>
    </row>
    <row r="1048" spans="1:4">
      <c r="A1048" s="1" t="s">
        <v>3836</v>
      </c>
      <c r="B1048" s="1" t="s">
        <v>3835</v>
      </c>
      <c r="C1048" s="1" t="s">
        <v>40</v>
      </c>
      <c r="D1048" s="1" t="s">
        <v>1781</v>
      </c>
    </row>
    <row r="1049" spans="1:4">
      <c r="A1049" s="1" t="s">
        <v>3838</v>
      </c>
      <c r="B1049" s="1" t="s">
        <v>3837</v>
      </c>
      <c r="C1049" s="1" t="s">
        <v>40</v>
      </c>
      <c r="D1049" s="1" t="s">
        <v>1781</v>
      </c>
    </row>
    <row r="1050" spans="1:4">
      <c r="A1050" s="1" t="s">
        <v>1357</v>
      </c>
      <c r="B1050" s="1" t="s">
        <v>3839</v>
      </c>
      <c r="C1050" s="1" t="s">
        <v>40</v>
      </c>
      <c r="D1050" s="1" t="s">
        <v>1781</v>
      </c>
    </row>
    <row r="1051" spans="1:4">
      <c r="A1051" s="1" t="s">
        <v>3841</v>
      </c>
      <c r="B1051" s="1" t="s">
        <v>3840</v>
      </c>
      <c r="C1051" s="1" t="s">
        <v>40</v>
      </c>
      <c r="D1051" s="1" t="s">
        <v>1781</v>
      </c>
    </row>
    <row r="1052" spans="1:4">
      <c r="A1052" s="1" t="s">
        <v>3843</v>
      </c>
      <c r="B1052" s="1" t="s">
        <v>3842</v>
      </c>
      <c r="C1052" s="1" t="s">
        <v>40</v>
      </c>
      <c r="D1052" s="1" t="s">
        <v>1781</v>
      </c>
    </row>
    <row r="1053" spans="1:4">
      <c r="A1053" s="1" t="s">
        <v>3845</v>
      </c>
      <c r="B1053" s="1" t="s">
        <v>3844</v>
      </c>
      <c r="C1053" s="1" t="s">
        <v>40</v>
      </c>
      <c r="D1053" s="1" t="s">
        <v>1781</v>
      </c>
    </row>
    <row r="1054" spans="1:4">
      <c r="A1054" s="1" t="s">
        <v>3847</v>
      </c>
      <c r="B1054" s="1" t="s">
        <v>3846</v>
      </c>
      <c r="C1054" s="1" t="s">
        <v>40</v>
      </c>
      <c r="D1054" s="1" t="s">
        <v>1781</v>
      </c>
    </row>
    <row r="1055" spans="1:4">
      <c r="A1055" s="1" t="s">
        <v>3849</v>
      </c>
      <c r="B1055" s="1" t="s">
        <v>3848</v>
      </c>
      <c r="C1055" s="1" t="s">
        <v>40</v>
      </c>
      <c r="D1055" s="1" t="s">
        <v>1781</v>
      </c>
    </row>
    <row r="1056" spans="1:4">
      <c r="A1056" s="1" t="s">
        <v>3851</v>
      </c>
      <c r="B1056" s="1" t="s">
        <v>3850</v>
      </c>
      <c r="C1056" s="1" t="s">
        <v>40</v>
      </c>
      <c r="D1056" s="1" t="s">
        <v>1781</v>
      </c>
    </row>
    <row r="1057" spans="1:4">
      <c r="A1057" s="1" t="s">
        <v>3853</v>
      </c>
      <c r="B1057" s="1" t="s">
        <v>3852</v>
      </c>
      <c r="C1057" s="1" t="s">
        <v>40</v>
      </c>
      <c r="D1057" s="1" t="s">
        <v>1781</v>
      </c>
    </row>
    <row r="1058" spans="1:4">
      <c r="A1058" s="1" t="s">
        <v>3855</v>
      </c>
      <c r="B1058" s="1" t="s">
        <v>3854</v>
      </c>
      <c r="C1058" s="1" t="s">
        <v>40</v>
      </c>
      <c r="D1058" s="1" t="s">
        <v>1781</v>
      </c>
    </row>
    <row r="1059" spans="1:4">
      <c r="A1059" s="1" t="s">
        <v>1084</v>
      </c>
      <c r="B1059" s="1" t="s">
        <v>3856</v>
      </c>
      <c r="C1059" s="1" t="s">
        <v>40</v>
      </c>
      <c r="D1059" s="1" t="s">
        <v>1781</v>
      </c>
    </row>
    <row r="1060" spans="1:4">
      <c r="A1060" s="1" t="s">
        <v>3858</v>
      </c>
      <c r="B1060" s="1" t="s">
        <v>3857</v>
      </c>
      <c r="C1060" s="1" t="s">
        <v>40</v>
      </c>
      <c r="D1060" s="1" t="s">
        <v>1781</v>
      </c>
    </row>
    <row r="1061" spans="1:4">
      <c r="A1061" s="1" t="s">
        <v>3860</v>
      </c>
      <c r="B1061" s="1" t="s">
        <v>3859</v>
      </c>
      <c r="C1061" s="1" t="s">
        <v>40</v>
      </c>
      <c r="D1061" s="1" t="s">
        <v>1781</v>
      </c>
    </row>
    <row r="1062" spans="1:4">
      <c r="A1062" s="1" t="s">
        <v>3862</v>
      </c>
      <c r="B1062" s="1" t="s">
        <v>3861</v>
      </c>
      <c r="C1062" s="1" t="s">
        <v>40</v>
      </c>
      <c r="D1062" s="1" t="s">
        <v>1781</v>
      </c>
    </row>
    <row r="1063" spans="1:4">
      <c r="A1063" s="1" t="s">
        <v>3864</v>
      </c>
      <c r="B1063" s="1" t="s">
        <v>3863</v>
      </c>
      <c r="C1063" s="1" t="s">
        <v>40</v>
      </c>
      <c r="D1063" s="1" t="s">
        <v>1781</v>
      </c>
    </row>
    <row r="1064" spans="1:4">
      <c r="A1064" s="1" t="s">
        <v>3866</v>
      </c>
      <c r="B1064" s="1" t="s">
        <v>3865</v>
      </c>
      <c r="C1064" s="1" t="s">
        <v>40</v>
      </c>
      <c r="D1064" s="1" t="s">
        <v>1781</v>
      </c>
    </row>
    <row r="1065" spans="1:4">
      <c r="A1065" s="1" t="s">
        <v>3868</v>
      </c>
      <c r="B1065" s="1" t="s">
        <v>3867</v>
      </c>
      <c r="C1065" s="1" t="s">
        <v>40</v>
      </c>
      <c r="D1065" s="1" t="s">
        <v>1781</v>
      </c>
    </row>
    <row r="1066" spans="1:4">
      <c r="A1066" s="1" t="s">
        <v>3870</v>
      </c>
      <c r="B1066" s="1" t="s">
        <v>3869</v>
      </c>
      <c r="C1066" s="1" t="s">
        <v>40</v>
      </c>
      <c r="D1066" s="1" t="s">
        <v>1781</v>
      </c>
    </row>
    <row r="1067" spans="1:4">
      <c r="A1067" s="1" t="s">
        <v>3872</v>
      </c>
      <c r="B1067" s="1" t="s">
        <v>3871</v>
      </c>
      <c r="C1067" s="1" t="s">
        <v>40</v>
      </c>
      <c r="D1067" s="1" t="s">
        <v>1781</v>
      </c>
    </row>
    <row r="1068" spans="1:4">
      <c r="A1068" s="1" t="s">
        <v>3874</v>
      </c>
      <c r="B1068" s="1" t="s">
        <v>3873</v>
      </c>
      <c r="C1068" s="1" t="s">
        <v>40</v>
      </c>
      <c r="D1068" s="1" t="s">
        <v>1781</v>
      </c>
    </row>
    <row r="1069" spans="1:4">
      <c r="A1069" s="1" t="s">
        <v>3876</v>
      </c>
      <c r="B1069" s="1" t="s">
        <v>3875</v>
      </c>
      <c r="C1069" s="1" t="s">
        <v>40</v>
      </c>
      <c r="D1069" s="1" t="s">
        <v>1781</v>
      </c>
    </row>
    <row r="1070" spans="1:4">
      <c r="A1070" s="1" t="s">
        <v>793</v>
      </c>
      <c r="B1070" s="1" t="s">
        <v>3877</v>
      </c>
      <c r="C1070" s="1" t="s">
        <v>40</v>
      </c>
      <c r="D1070" s="1" t="s">
        <v>1781</v>
      </c>
    </row>
    <row r="1071" spans="1:4">
      <c r="A1071" s="1" t="s">
        <v>3879</v>
      </c>
      <c r="B1071" s="1" t="s">
        <v>3878</v>
      </c>
      <c r="C1071" s="1" t="s">
        <v>40</v>
      </c>
      <c r="D1071" s="1" t="s">
        <v>1781</v>
      </c>
    </row>
    <row r="1072" spans="1:4">
      <c r="A1072" s="1" t="s">
        <v>3881</v>
      </c>
      <c r="B1072" s="1" t="s">
        <v>3880</v>
      </c>
      <c r="C1072" s="1" t="s">
        <v>40</v>
      </c>
      <c r="D1072" s="1" t="s">
        <v>1781</v>
      </c>
    </row>
    <row r="1073" spans="1:4">
      <c r="A1073" s="1" t="s">
        <v>3883</v>
      </c>
      <c r="B1073" s="1" t="s">
        <v>3882</v>
      </c>
      <c r="C1073" s="1" t="s">
        <v>40</v>
      </c>
      <c r="D1073" s="1" t="s">
        <v>1781</v>
      </c>
    </row>
    <row r="1074" spans="1:4">
      <c r="A1074" s="1" t="s">
        <v>3885</v>
      </c>
      <c r="B1074" s="1" t="s">
        <v>3884</v>
      </c>
      <c r="C1074" s="1" t="s">
        <v>40</v>
      </c>
      <c r="D1074" s="1" t="s">
        <v>1781</v>
      </c>
    </row>
    <row r="1075" spans="1:4">
      <c r="A1075" s="1" t="s">
        <v>3887</v>
      </c>
      <c r="B1075" s="1" t="s">
        <v>3886</v>
      </c>
      <c r="C1075" s="1" t="s">
        <v>40</v>
      </c>
      <c r="D1075" s="1" t="s">
        <v>1781</v>
      </c>
    </row>
    <row r="1076" spans="1:4">
      <c r="A1076" s="1" t="s">
        <v>1382</v>
      </c>
      <c r="B1076" s="1" t="s">
        <v>3888</v>
      </c>
      <c r="C1076" s="1" t="s">
        <v>40</v>
      </c>
      <c r="D1076" s="1" t="s">
        <v>1781</v>
      </c>
    </row>
    <row r="1077" spans="1:4">
      <c r="A1077" s="1" t="s">
        <v>3890</v>
      </c>
      <c r="B1077" s="1" t="s">
        <v>3889</v>
      </c>
      <c r="C1077" s="1" t="s">
        <v>40</v>
      </c>
      <c r="D1077" s="1" t="s">
        <v>1781</v>
      </c>
    </row>
    <row r="1078" spans="1:4">
      <c r="A1078" s="1" t="s">
        <v>3892</v>
      </c>
      <c r="B1078" s="1" t="s">
        <v>3891</v>
      </c>
      <c r="C1078" s="1" t="s">
        <v>40</v>
      </c>
      <c r="D1078" s="1" t="s">
        <v>1781</v>
      </c>
    </row>
    <row r="1079" spans="1:4">
      <c r="A1079" s="1" t="s">
        <v>3894</v>
      </c>
      <c r="B1079" s="1" t="s">
        <v>3893</v>
      </c>
      <c r="C1079" s="1" t="s">
        <v>40</v>
      </c>
      <c r="D1079" s="1" t="s">
        <v>1781</v>
      </c>
    </row>
    <row r="1080" spans="1:4">
      <c r="A1080" s="1" t="s">
        <v>3896</v>
      </c>
      <c r="B1080" s="1" t="s">
        <v>3895</v>
      </c>
      <c r="C1080" s="1" t="s">
        <v>40</v>
      </c>
      <c r="D1080" s="1" t="s">
        <v>1781</v>
      </c>
    </row>
    <row r="1081" spans="1:4">
      <c r="A1081" s="1" t="s">
        <v>3898</v>
      </c>
      <c r="B1081" s="1" t="s">
        <v>3897</v>
      </c>
      <c r="C1081" s="1" t="s">
        <v>40</v>
      </c>
      <c r="D1081" s="1" t="s">
        <v>1781</v>
      </c>
    </row>
    <row r="1082" spans="1:4">
      <c r="A1082" s="1" t="s">
        <v>3900</v>
      </c>
      <c r="B1082" s="1" t="s">
        <v>3899</v>
      </c>
      <c r="C1082" s="1" t="s">
        <v>40</v>
      </c>
      <c r="D1082" s="1" t="s">
        <v>1781</v>
      </c>
    </row>
    <row r="1083" spans="1:4">
      <c r="A1083" s="1" t="s">
        <v>3902</v>
      </c>
      <c r="B1083" s="1" t="s">
        <v>3901</v>
      </c>
      <c r="C1083" s="1" t="s">
        <v>40</v>
      </c>
      <c r="D1083" s="1" t="s">
        <v>1781</v>
      </c>
    </row>
    <row r="1084" spans="1:4">
      <c r="A1084" s="1" t="s">
        <v>3904</v>
      </c>
      <c r="B1084" s="1" t="s">
        <v>3903</v>
      </c>
      <c r="C1084" s="1" t="s">
        <v>40</v>
      </c>
      <c r="D1084" s="1" t="s">
        <v>1781</v>
      </c>
    </row>
    <row r="1085" spans="1:4">
      <c r="A1085" s="1" t="s">
        <v>747</v>
      </c>
      <c r="B1085" s="1" t="s">
        <v>3905</v>
      </c>
      <c r="C1085" s="1" t="s">
        <v>40</v>
      </c>
      <c r="D1085" s="1" t="s">
        <v>1781</v>
      </c>
    </row>
    <row r="1086" spans="1:4">
      <c r="A1086" s="1" t="s">
        <v>3907</v>
      </c>
      <c r="B1086" s="1" t="s">
        <v>3906</v>
      </c>
      <c r="C1086" s="1" t="s">
        <v>40</v>
      </c>
      <c r="D1086" s="1" t="s">
        <v>1781</v>
      </c>
    </row>
    <row r="1087" spans="1:4">
      <c r="A1087" s="1" t="s">
        <v>3909</v>
      </c>
      <c r="B1087" s="1" t="s">
        <v>3908</v>
      </c>
      <c r="C1087" s="1" t="s">
        <v>40</v>
      </c>
      <c r="D1087" s="1" t="s">
        <v>1781</v>
      </c>
    </row>
    <row r="1088" spans="1:4">
      <c r="A1088" s="1" t="s">
        <v>3911</v>
      </c>
      <c r="B1088" s="1" t="s">
        <v>3910</v>
      </c>
      <c r="C1088" s="1" t="s">
        <v>40</v>
      </c>
      <c r="D1088" s="1" t="s">
        <v>1781</v>
      </c>
    </row>
    <row r="1089" spans="1:4">
      <c r="A1089" s="1" t="s">
        <v>3913</v>
      </c>
      <c r="B1089" s="1" t="s">
        <v>3912</v>
      </c>
      <c r="C1089" s="1" t="s">
        <v>40</v>
      </c>
      <c r="D1089" s="1" t="s">
        <v>1781</v>
      </c>
    </row>
    <row r="1090" spans="1:4">
      <c r="A1090" s="1" t="s">
        <v>3915</v>
      </c>
      <c r="B1090" s="1" t="s">
        <v>3914</v>
      </c>
      <c r="C1090" s="1" t="s">
        <v>40</v>
      </c>
      <c r="D1090" s="1" t="s">
        <v>1781</v>
      </c>
    </row>
    <row r="1091" spans="1:4">
      <c r="A1091" s="1" t="s">
        <v>3917</v>
      </c>
      <c r="B1091" s="1" t="s">
        <v>3916</v>
      </c>
      <c r="C1091" s="1" t="s">
        <v>40</v>
      </c>
      <c r="D1091" s="1" t="s">
        <v>1781</v>
      </c>
    </row>
    <row r="1092" spans="1:4">
      <c r="A1092" s="1" t="s">
        <v>3919</v>
      </c>
      <c r="B1092" s="1" t="s">
        <v>3918</v>
      </c>
      <c r="C1092" s="1" t="s">
        <v>40</v>
      </c>
      <c r="D1092" s="1" t="s">
        <v>1781</v>
      </c>
    </row>
    <row r="1093" spans="1:4">
      <c r="A1093" s="1" t="s">
        <v>3921</v>
      </c>
      <c r="B1093" s="1" t="s">
        <v>3920</v>
      </c>
      <c r="C1093" s="1" t="s">
        <v>40</v>
      </c>
      <c r="D1093" s="1" t="s">
        <v>1781</v>
      </c>
    </row>
    <row r="1094" spans="1:4">
      <c r="A1094" s="1" t="s">
        <v>3923</v>
      </c>
      <c r="B1094" s="1" t="s">
        <v>3922</v>
      </c>
      <c r="C1094" s="1" t="s">
        <v>40</v>
      </c>
      <c r="D1094" s="1" t="s">
        <v>1781</v>
      </c>
    </row>
    <row r="1095" spans="1:4">
      <c r="A1095" s="1" t="s">
        <v>3925</v>
      </c>
      <c r="B1095" s="1" t="s">
        <v>3924</v>
      </c>
      <c r="C1095" s="1" t="s">
        <v>40</v>
      </c>
      <c r="D1095" s="1" t="s">
        <v>1781</v>
      </c>
    </row>
    <row r="1096" spans="1:4">
      <c r="A1096" s="1" t="s">
        <v>3927</v>
      </c>
      <c r="B1096" s="1" t="s">
        <v>3926</v>
      </c>
      <c r="C1096" s="1" t="s">
        <v>40</v>
      </c>
      <c r="D1096" s="1" t="s">
        <v>1781</v>
      </c>
    </row>
    <row r="1097" spans="1:4">
      <c r="A1097" s="1" t="s">
        <v>873</v>
      </c>
      <c r="B1097" s="1" t="s">
        <v>3928</v>
      </c>
      <c r="C1097" s="1" t="s">
        <v>40</v>
      </c>
      <c r="D1097" s="1" t="s">
        <v>1781</v>
      </c>
    </row>
    <row r="1098" spans="1:4">
      <c r="A1098" s="1" t="s">
        <v>3930</v>
      </c>
      <c r="B1098" s="1" t="s">
        <v>3929</v>
      </c>
      <c r="C1098" s="1" t="s">
        <v>40</v>
      </c>
      <c r="D1098" s="1" t="s">
        <v>1781</v>
      </c>
    </row>
    <row r="1099" spans="1:4">
      <c r="A1099" s="1" t="s">
        <v>1550</v>
      </c>
      <c r="B1099" s="1" t="s">
        <v>3931</v>
      </c>
      <c r="C1099" s="1" t="s">
        <v>40</v>
      </c>
      <c r="D1099" s="1" t="s">
        <v>1781</v>
      </c>
    </row>
    <row r="1100" spans="1:4">
      <c r="A1100" s="1" t="s">
        <v>3933</v>
      </c>
      <c r="B1100" s="1" t="s">
        <v>3932</v>
      </c>
      <c r="C1100" s="1" t="s">
        <v>40</v>
      </c>
      <c r="D1100" s="1" t="s">
        <v>1781</v>
      </c>
    </row>
    <row r="1101" spans="1:4">
      <c r="A1101" s="1" t="s">
        <v>3935</v>
      </c>
      <c r="B1101" s="1" t="s">
        <v>3934</v>
      </c>
      <c r="C1101" s="1" t="s">
        <v>40</v>
      </c>
      <c r="D1101" s="1" t="s">
        <v>1781</v>
      </c>
    </row>
    <row r="1102" spans="1:4">
      <c r="A1102" s="1" t="s">
        <v>1628</v>
      </c>
      <c r="B1102" s="1" t="s">
        <v>3936</v>
      </c>
      <c r="C1102" s="1" t="s">
        <v>40</v>
      </c>
      <c r="D1102" s="1" t="s">
        <v>1781</v>
      </c>
    </row>
    <row r="1103" spans="1:4">
      <c r="A1103" s="1" t="s">
        <v>3938</v>
      </c>
      <c r="B1103" s="1" t="s">
        <v>3937</v>
      </c>
      <c r="C1103" s="1" t="s">
        <v>40</v>
      </c>
      <c r="D1103" s="1" t="s">
        <v>1781</v>
      </c>
    </row>
    <row r="1104" spans="1:4">
      <c r="A1104" s="1" t="s">
        <v>3940</v>
      </c>
      <c r="B1104" s="1" t="s">
        <v>3939</v>
      </c>
      <c r="C1104" s="1" t="s">
        <v>40</v>
      </c>
      <c r="D1104" s="1" t="s">
        <v>1781</v>
      </c>
    </row>
    <row r="1105" spans="1:4">
      <c r="A1105" s="1" t="s">
        <v>3942</v>
      </c>
      <c r="B1105" s="1" t="s">
        <v>3941</v>
      </c>
      <c r="C1105" s="1" t="s">
        <v>40</v>
      </c>
      <c r="D1105" s="1" t="s">
        <v>1781</v>
      </c>
    </row>
    <row r="1106" spans="1:4">
      <c r="A1106" s="1" t="s">
        <v>3944</v>
      </c>
      <c r="B1106" s="1" t="s">
        <v>3943</v>
      </c>
      <c r="C1106" s="1" t="s">
        <v>40</v>
      </c>
      <c r="D1106" s="1" t="s">
        <v>1781</v>
      </c>
    </row>
    <row r="1107" spans="1:4">
      <c r="A1107" s="1" t="s">
        <v>3946</v>
      </c>
      <c r="B1107" s="1" t="s">
        <v>3945</v>
      </c>
      <c r="C1107" s="1" t="s">
        <v>40</v>
      </c>
      <c r="D1107" s="1" t="s">
        <v>1781</v>
      </c>
    </row>
    <row r="1108" spans="1:4">
      <c r="A1108" s="1" t="s">
        <v>3948</v>
      </c>
      <c r="B1108" s="1" t="s">
        <v>3947</v>
      </c>
      <c r="C1108" s="1" t="s">
        <v>40</v>
      </c>
      <c r="D1108" s="1" t="s">
        <v>1781</v>
      </c>
    </row>
    <row r="1109" spans="1:4">
      <c r="A1109" s="1" t="s">
        <v>3950</v>
      </c>
      <c r="B1109" s="1" t="s">
        <v>3949</v>
      </c>
      <c r="C1109" s="1" t="s">
        <v>40</v>
      </c>
      <c r="D1109" s="1" t="s">
        <v>1781</v>
      </c>
    </row>
    <row r="1110" spans="1:4">
      <c r="A1110" s="1" t="s">
        <v>3952</v>
      </c>
      <c r="B1110" s="1" t="s">
        <v>3951</v>
      </c>
      <c r="C1110" s="1" t="s">
        <v>40</v>
      </c>
      <c r="D1110" s="1" t="s">
        <v>1781</v>
      </c>
    </row>
    <row r="1111" spans="1:4">
      <c r="A1111" s="1" t="s">
        <v>3954</v>
      </c>
      <c r="B1111" s="1" t="s">
        <v>3953</v>
      </c>
      <c r="C1111" s="1" t="s">
        <v>40</v>
      </c>
      <c r="D1111" s="1" t="s">
        <v>1781</v>
      </c>
    </row>
    <row r="1112" spans="1:4">
      <c r="A1112" s="1" t="s">
        <v>3956</v>
      </c>
      <c r="B1112" s="1" t="s">
        <v>3955</v>
      </c>
      <c r="C1112" s="1" t="s">
        <v>40</v>
      </c>
      <c r="D1112" s="1" t="s">
        <v>1781</v>
      </c>
    </row>
    <row r="1113" spans="1:4">
      <c r="A1113" s="1" t="s">
        <v>3958</v>
      </c>
      <c r="B1113" s="1" t="s">
        <v>3957</v>
      </c>
      <c r="C1113" s="1" t="s">
        <v>40</v>
      </c>
      <c r="D1113" s="1" t="s">
        <v>1781</v>
      </c>
    </row>
    <row r="1114" spans="1:4">
      <c r="A1114" s="1" t="s">
        <v>3960</v>
      </c>
      <c r="B1114" s="1" t="s">
        <v>3959</v>
      </c>
      <c r="C1114" s="1" t="s">
        <v>40</v>
      </c>
      <c r="D1114" s="1" t="s">
        <v>1781</v>
      </c>
    </row>
    <row r="1115" spans="1:4">
      <c r="A1115" s="1" t="s">
        <v>3962</v>
      </c>
      <c r="B1115" s="1" t="s">
        <v>3961</v>
      </c>
      <c r="C1115" s="1" t="s">
        <v>40</v>
      </c>
      <c r="D1115" s="1" t="s">
        <v>1781</v>
      </c>
    </row>
    <row r="1116" spans="1:4">
      <c r="A1116" s="1" t="s">
        <v>3964</v>
      </c>
      <c r="B1116" s="1" t="s">
        <v>3963</v>
      </c>
      <c r="C1116" s="1" t="s">
        <v>40</v>
      </c>
      <c r="D1116" s="1" t="s">
        <v>1781</v>
      </c>
    </row>
    <row r="1117" spans="1:4">
      <c r="A1117" s="1" t="s">
        <v>3966</v>
      </c>
      <c r="B1117" s="1" t="s">
        <v>3965</v>
      </c>
      <c r="C1117" s="1"/>
      <c r="D1117" s="1" t="s">
        <v>1781</v>
      </c>
    </row>
    <row r="1118" spans="1:4">
      <c r="A1118" s="1" t="s">
        <v>3968</v>
      </c>
      <c r="B1118" s="1" t="s">
        <v>3967</v>
      </c>
      <c r="C1118" s="1" t="s">
        <v>40</v>
      </c>
      <c r="D1118" s="1" t="s">
        <v>1781</v>
      </c>
    </row>
    <row r="1119" spans="1:4">
      <c r="A1119" s="1" t="s">
        <v>1222</v>
      </c>
      <c r="B1119" s="1" t="s">
        <v>3969</v>
      </c>
      <c r="C1119" s="1" t="s">
        <v>40</v>
      </c>
      <c r="D1119" s="1" t="s">
        <v>1781</v>
      </c>
    </row>
    <row r="1120" spans="1:4">
      <c r="A1120" s="1" t="s">
        <v>1230</v>
      </c>
      <c r="B1120" s="1" t="s">
        <v>3970</v>
      </c>
      <c r="C1120" s="1" t="s">
        <v>40</v>
      </c>
      <c r="D1120" s="1" t="s">
        <v>1781</v>
      </c>
    </row>
    <row r="1121" spans="1:4">
      <c r="A1121" s="1" t="s">
        <v>3972</v>
      </c>
      <c r="B1121" s="1" t="s">
        <v>3971</v>
      </c>
      <c r="C1121" s="1" t="s">
        <v>40</v>
      </c>
      <c r="D1121" s="1" t="s">
        <v>1781</v>
      </c>
    </row>
    <row r="1122" spans="1:4">
      <c r="A1122" s="1" t="s">
        <v>3974</v>
      </c>
      <c r="B1122" s="1" t="s">
        <v>3973</v>
      </c>
      <c r="C1122" s="1" t="s">
        <v>40</v>
      </c>
      <c r="D1122" s="1" t="s">
        <v>1781</v>
      </c>
    </row>
    <row r="1123" spans="1:4">
      <c r="A1123" s="1" t="s">
        <v>3976</v>
      </c>
      <c r="B1123" s="1" t="s">
        <v>3975</v>
      </c>
      <c r="C1123" s="1" t="s">
        <v>40</v>
      </c>
      <c r="D1123" s="1" t="s">
        <v>1781</v>
      </c>
    </row>
    <row r="1124" spans="1:4">
      <c r="A1124" s="1" t="s">
        <v>3978</v>
      </c>
      <c r="B1124" s="1" t="s">
        <v>3977</v>
      </c>
      <c r="C1124" s="1" t="s">
        <v>40</v>
      </c>
      <c r="D1124" s="1" t="s">
        <v>1781</v>
      </c>
    </row>
    <row r="1125" spans="1:4">
      <c r="A1125" s="1" t="s">
        <v>3980</v>
      </c>
      <c r="B1125" s="1" t="s">
        <v>3979</v>
      </c>
      <c r="C1125" s="1" t="s">
        <v>40</v>
      </c>
      <c r="D1125" s="1" t="s">
        <v>1781</v>
      </c>
    </row>
    <row r="1126" spans="1:4">
      <c r="A1126" s="1" t="s">
        <v>3982</v>
      </c>
      <c r="B1126" s="1" t="s">
        <v>3981</v>
      </c>
      <c r="C1126" s="1" t="s">
        <v>40</v>
      </c>
      <c r="D1126" s="1" t="s">
        <v>1781</v>
      </c>
    </row>
    <row r="1127" spans="1:4">
      <c r="A1127" s="1" t="s">
        <v>3984</v>
      </c>
      <c r="B1127" s="1" t="s">
        <v>3983</v>
      </c>
      <c r="C1127" s="1" t="s">
        <v>40</v>
      </c>
      <c r="D1127" s="1" t="s">
        <v>1781</v>
      </c>
    </row>
    <row r="1128" spans="1:4">
      <c r="A1128" s="1" t="s">
        <v>3986</v>
      </c>
      <c r="B1128" s="1" t="s">
        <v>3985</v>
      </c>
      <c r="C1128" s="1" t="s">
        <v>40</v>
      </c>
      <c r="D1128" s="1" t="s">
        <v>1781</v>
      </c>
    </row>
    <row r="1129" spans="1:4">
      <c r="A1129" s="1" t="s">
        <v>3988</v>
      </c>
      <c r="B1129" s="1" t="s">
        <v>3987</v>
      </c>
      <c r="C1129" s="1" t="s">
        <v>40</v>
      </c>
      <c r="D1129" s="1" t="s">
        <v>1781</v>
      </c>
    </row>
    <row r="1130" spans="1:4">
      <c r="A1130" s="1" t="s">
        <v>1581</v>
      </c>
      <c r="B1130" s="1" t="s">
        <v>3989</v>
      </c>
      <c r="C1130" s="1" t="s">
        <v>40</v>
      </c>
      <c r="D1130" s="1" t="s">
        <v>1781</v>
      </c>
    </row>
    <row r="1131" spans="1:4">
      <c r="A1131" s="1" t="s">
        <v>3991</v>
      </c>
      <c r="B1131" s="1" t="s">
        <v>3990</v>
      </c>
      <c r="C1131" s="1" t="s">
        <v>40</v>
      </c>
      <c r="D1131" s="1" t="s">
        <v>1781</v>
      </c>
    </row>
    <row r="1132" spans="1:4">
      <c r="A1132" s="1" t="s">
        <v>3993</v>
      </c>
      <c r="B1132" s="1" t="s">
        <v>3992</v>
      </c>
      <c r="C1132" s="1" t="s">
        <v>40</v>
      </c>
      <c r="D1132" s="1" t="s">
        <v>1781</v>
      </c>
    </row>
    <row r="1133" spans="1:4">
      <c r="A1133" s="1" t="s">
        <v>3995</v>
      </c>
      <c r="B1133" s="1" t="s">
        <v>3994</v>
      </c>
      <c r="C1133" s="1" t="s">
        <v>40</v>
      </c>
      <c r="D1133" s="1" t="s">
        <v>1781</v>
      </c>
    </row>
    <row r="1134" spans="1:4">
      <c r="A1134" s="1" t="s">
        <v>3997</v>
      </c>
      <c r="B1134" s="1" t="s">
        <v>3996</v>
      </c>
      <c r="C1134" s="1" t="s">
        <v>40</v>
      </c>
      <c r="D1134" s="1" t="s">
        <v>1781</v>
      </c>
    </row>
    <row r="1135" spans="1:4">
      <c r="A1135" s="1" t="s">
        <v>918</v>
      </c>
      <c r="B1135" s="1" t="s">
        <v>3998</v>
      </c>
      <c r="C1135" s="1" t="s">
        <v>40</v>
      </c>
      <c r="D1135" s="1" t="s">
        <v>1781</v>
      </c>
    </row>
    <row r="1136" spans="1:4">
      <c r="A1136" s="1" t="s">
        <v>4000</v>
      </c>
      <c r="B1136" s="1" t="s">
        <v>3999</v>
      </c>
      <c r="C1136" s="1" t="s">
        <v>40</v>
      </c>
      <c r="D1136" s="1" t="s">
        <v>1781</v>
      </c>
    </row>
    <row r="1137" spans="1:4">
      <c r="A1137" s="1" t="s">
        <v>4002</v>
      </c>
      <c r="B1137" s="1" t="s">
        <v>4001</v>
      </c>
      <c r="C1137" s="1" t="s">
        <v>40</v>
      </c>
      <c r="D1137" s="1" t="s">
        <v>1781</v>
      </c>
    </row>
    <row r="1138" spans="1:4">
      <c r="A1138" s="1" t="s">
        <v>730</v>
      </c>
      <c r="B1138" s="1" t="s">
        <v>4003</v>
      </c>
      <c r="C1138" s="1" t="s">
        <v>40</v>
      </c>
      <c r="D1138" s="1" t="s">
        <v>1781</v>
      </c>
    </row>
    <row r="1139" spans="1:4">
      <c r="A1139" s="1" t="s">
        <v>4005</v>
      </c>
      <c r="B1139" s="1" t="s">
        <v>4004</v>
      </c>
      <c r="C1139" s="1" t="s">
        <v>40</v>
      </c>
      <c r="D1139" s="1" t="s">
        <v>1781</v>
      </c>
    </row>
    <row r="1140" spans="1:4">
      <c r="A1140" s="1" t="s">
        <v>4007</v>
      </c>
      <c r="B1140" s="1" t="s">
        <v>4006</v>
      </c>
      <c r="C1140" s="1" t="s">
        <v>40</v>
      </c>
      <c r="D1140" s="1" t="s">
        <v>1781</v>
      </c>
    </row>
    <row r="1141" spans="1:4">
      <c r="A1141" s="1" t="s">
        <v>4009</v>
      </c>
      <c r="B1141" s="1" t="s">
        <v>4008</v>
      </c>
      <c r="C1141" s="1" t="s">
        <v>40</v>
      </c>
      <c r="D1141" s="1" t="s">
        <v>1781</v>
      </c>
    </row>
    <row r="1142" spans="1:4">
      <c r="A1142" s="1" t="s">
        <v>4011</v>
      </c>
      <c r="B1142" s="1" t="s">
        <v>4010</v>
      </c>
      <c r="C1142" s="1" t="s">
        <v>40</v>
      </c>
      <c r="D1142" s="1" t="s">
        <v>1781</v>
      </c>
    </row>
    <row r="1143" spans="1:4">
      <c r="A1143" s="1" t="s">
        <v>4013</v>
      </c>
      <c r="B1143" s="1" t="s">
        <v>4012</v>
      </c>
      <c r="C1143" s="1" t="s">
        <v>40</v>
      </c>
      <c r="D1143" s="1" t="s">
        <v>1781</v>
      </c>
    </row>
    <row r="1144" spans="1:4">
      <c r="A1144" s="1" t="s">
        <v>4015</v>
      </c>
      <c r="B1144" s="1" t="s">
        <v>4014</v>
      </c>
      <c r="C1144" s="1" t="s">
        <v>40</v>
      </c>
      <c r="D1144" s="1" t="s">
        <v>1781</v>
      </c>
    </row>
    <row r="1145" spans="1:4">
      <c r="A1145" s="1" t="s">
        <v>4017</v>
      </c>
      <c r="B1145" s="1" t="s">
        <v>4016</v>
      </c>
      <c r="C1145" s="1" t="s">
        <v>40</v>
      </c>
      <c r="D1145" s="1" t="s">
        <v>1781</v>
      </c>
    </row>
    <row r="1146" spans="1:4">
      <c r="A1146" s="1" t="s">
        <v>4019</v>
      </c>
      <c r="B1146" s="1" t="s">
        <v>4018</v>
      </c>
      <c r="C1146" s="1" t="s">
        <v>40</v>
      </c>
      <c r="D1146" s="1" t="s">
        <v>1781</v>
      </c>
    </row>
    <row r="1147" spans="1:4">
      <c r="A1147" s="1" t="s">
        <v>4021</v>
      </c>
      <c r="B1147" s="1" t="s">
        <v>4020</v>
      </c>
      <c r="C1147" s="1" t="s">
        <v>40</v>
      </c>
      <c r="D1147" s="1" t="s">
        <v>1781</v>
      </c>
    </row>
    <row r="1148" spans="1:4">
      <c r="A1148" s="1" t="s">
        <v>1674</v>
      </c>
      <c r="B1148" s="1" t="s">
        <v>4022</v>
      </c>
      <c r="C1148" s="1" t="s">
        <v>40</v>
      </c>
      <c r="D1148" s="1" t="s">
        <v>1781</v>
      </c>
    </row>
    <row r="1149" spans="1:4">
      <c r="A1149" s="1" t="s">
        <v>4024</v>
      </c>
      <c r="B1149" s="1" t="s">
        <v>4023</v>
      </c>
      <c r="C1149" s="1" t="s">
        <v>40</v>
      </c>
      <c r="D1149" s="1" t="s">
        <v>1781</v>
      </c>
    </row>
    <row r="1150" spans="1:4">
      <c r="A1150" s="1" t="s">
        <v>4026</v>
      </c>
      <c r="B1150" s="1" t="s">
        <v>4025</v>
      </c>
      <c r="C1150" s="1"/>
      <c r="D1150" s="1" t="s">
        <v>1781</v>
      </c>
    </row>
    <row r="1151" spans="1:4">
      <c r="A1151" s="1" t="s">
        <v>4028</v>
      </c>
      <c r="B1151" s="1" t="s">
        <v>4027</v>
      </c>
      <c r="C1151" s="1" t="s">
        <v>40</v>
      </c>
      <c r="D1151" s="1" t="s">
        <v>1781</v>
      </c>
    </row>
    <row r="1152" spans="1:4">
      <c r="A1152" s="1" t="s">
        <v>4030</v>
      </c>
      <c r="B1152" s="1" t="s">
        <v>4029</v>
      </c>
      <c r="C1152" s="1" t="s">
        <v>40</v>
      </c>
      <c r="D1152" s="1" t="s">
        <v>1781</v>
      </c>
    </row>
    <row r="1153" spans="1:4">
      <c r="A1153" s="1" t="s">
        <v>4032</v>
      </c>
      <c r="B1153" s="1" t="s">
        <v>4031</v>
      </c>
      <c r="C1153" s="1" t="s">
        <v>40</v>
      </c>
      <c r="D1153" s="1" t="s">
        <v>1781</v>
      </c>
    </row>
    <row r="1154" spans="1:4">
      <c r="A1154" s="1" t="s">
        <v>4034</v>
      </c>
      <c r="B1154" s="1" t="s">
        <v>4033</v>
      </c>
      <c r="C1154" s="1" t="s">
        <v>40</v>
      </c>
      <c r="D1154" s="1" t="s">
        <v>1781</v>
      </c>
    </row>
    <row r="1155" spans="1:4">
      <c r="A1155" s="1" t="s">
        <v>4036</v>
      </c>
      <c r="B1155" s="1" t="s">
        <v>4035</v>
      </c>
      <c r="C1155" s="1" t="s">
        <v>40</v>
      </c>
      <c r="D1155" s="1" t="s">
        <v>1781</v>
      </c>
    </row>
    <row r="1156" spans="1:4">
      <c r="A1156" s="1" t="s">
        <v>4038</v>
      </c>
      <c r="B1156" s="1" t="s">
        <v>4037</v>
      </c>
      <c r="C1156" s="1" t="s">
        <v>40</v>
      </c>
      <c r="D1156" s="1" t="s">
        <v>1781</v>
      </c>
    </row>
    <row r="1157" spans="1:4">
      <c r="A1157" s="1" t="s">
        <v>4040</v>
      </c>
      <c r="B1157" s="1" t="s">
        <v>4039</v>
      </c>
      <c r="C1157" s="1" t="s">
        <v>40</v>
      </c>
      <c r="D1157" s="1" t="s">
        <v>1781</v>
      </c>
    </row>
    <row r="1158" spans="1:4">
      <c r="A1158" s="1" t="s">
        <v>4042</v>
      </c>
      <c r="B1158" s="1" t="s">
        <v>4041</v>
      </c>
      <c r="C1158" s="1" t="s">
        <v>40</v>
      </c>
      <c r="D1158" s="1" t="s">
        <v>1781</v>
      </c>
    </row>
    <row r="1159" spans="1:4">
      <c r="A1159" s="1" t="s">
        <v>4044</v>
      </c>
      <c r="B1159" s="1" t="s">
        <v>4043</v>
      </c>
      <c r="C1159" s="1" t="s">
        <v>40</v>
      </c>
      <c r="D1159" s="1" t="s">
        <v>1781</v>
      </c>
    </row>
    <row r="1160" spans="1:4">
      <c r="A1160" s="1" t="s">
        <v>4046</v>
      </c>
      <c r="B1160" s="1" t="s">
        <v>4045</v>
      </c>
      <c r="C1160" s="1" t="s">
        <v>40</v>
      </c>
      <c r="D1160" s="1" t="s">
        <v>1781</v>
      </c>
    </row>
    <row r="1161" spans="1:4">
      <c r="A1161" s="1" t="s">
        <v>4048</v>
      </c>
      <c r="B1161" s="1" t="s">
        <v>4047</v>
      </c>
      <c r="C1161" s="1" t="s">
        <v>40</v>
      </c>
      <c r="D1161" s="1" t="s">
        <v>1781</v>
      </c>
    </row>
    <row r="1162" spans="1:4">
      <c r="A1162" s="1" t="s">
        <v>4050</v>
      </c>
      <c r="B1162" s="1" t="s">
        <v>4049</v>
      </c>
      <c r="C1162" s="1" t="s">
        <v>40</v>
      </c>
      <c r="D1162" s="1" t="s">
        <v>1781</v>
      </c>
    </row>
    <row r="1163" spans="1:4">
      <c r="A1163" s="1" t="s">
        <v>4052</v>
      </c>
      <c r="B1163" s="1" t="s">
        <v>4051</v>
      </c>
      <c r="C1163" s="1" t="s">
        <v>40</v>
      </c>
      <c r="D1163" s="1" t="s">
        <v>1781</v>
      </c>
    </row>
    <row r="1164" spans="1:4">
      <c r="A1164" s="1" t="s">
        <v>4054</v>
      </c>
      <c r="B1164" s="1" t="s">
        <v>4053</v>
      </c>
      <c r="C1164" s="1"/>
      <c r="D1164" s="1" t="s">
        <v>1781</v>
      </c>
    </row>
    <row r="1165" spans="1:4">
      <c r="A1165" s="1" t="s">
        <v>4056</v>
      </c>
      <c r="B1165" s="1" t="s">
        <v>4055</v>
      </c>
      <c r="C1165" s="1" t="s">
        <v>40</v>
      </c>
      <c r="D1165" s="1" t="s">
        <v>1781</v>
      </c>
    </row>
    <row r="1166" spans="1:4">
      <c r="A1166" s="1" t="s">
        <v>4058</v>
      </c>
      <c r="B1166" s="1" t="s">
        <v>4057</v>
      </c>
      <c r="C1166" s="1" t="s">
        <v>40</v>
      </c>
      <c r="D1166" s="1" t="s">
        <v>1781</v>
      </c>
    </row>
    <row r="1167" spans="1:4">
      <c r="A1167" s="1" t="s">
        <v>4060</v>
      </c>
      <c r="B1167" s="1" t="s">
        <v>4059</v>
      </c>
      <c r="C1167" s="1" t="s">
        <v>40</v>
      </c>
      <c r="D1167" s="1" t="s">
        <v>1781</v>
      </c>
    </row>
    <row r="1168" spans="1:4">
      <c r="A1168" s="1" t="s">
        <v>4062</v>
      </c>
      <c r="B1168" s="1" t="s">
        <v>4061</v>
      </c>
      <c r="C1168" s="1" t="s">
        <v>40</v>
      </c>
      <c r="D1168" s="1" t="s">
        <v>1781</v>
      </c>
    </row>
    <row r="1169" spans="1:4">
      <c r="A1169" s="1" t="s">
        <v>4064</v>
      </c>
      <c r="B1169" s="1" t="s">
        <v>4063</v>
      </c>
      <c r="C1169" s="1" t="s">
        <v>40</v>
      </c>
      <c r="D1169" s="1" t="s">
        <v>1781</v>
      </c>
    </row>
    <row r="1170" spans="1:4">
      <c r="A1170" s="1" t="s">
        <v>4066</v>
      </c>
      <c r="B1170" s="1" t="s">
        <v>4065</v>
      </c>
      <c r="C1170" s="1" t="s">
        <v>40</v>
      </c>
      <c r="D1170" s="1" t="s">
        <v>1781</v>
      </c>
    </row>
    <row r="1171" spans="1:4">
      <c r="A1171" s="1" t="s">
        <v>4068</v>
      </c>
      <c r="B1171" s="1" t="s">
        <v>4067</v>
      </c>
      <c r="C1171" s="1" t="s">
        <v>40</v>
      </c>
      <c r="D1171" s="1" t="s">
        <v>1781</v>
      </c>
    </row>
    <row r="1172" spans="1:4">
      <c r="A1172" s="1" t="s">
        <v>4070</v>
      </c>
      <c r="B1172" s="1" t="s">
        <v>4069</v>
      </c>
      <c r="C1172" s="1" t="s">
        <v>40</v>
      </c>
      <c r="D1172" s="1" t="s">
        <v>1781</v>
      </c>
    </row>
    <row r="1173" spans="1:4">
      <c r="A1173" s="1" t="s">
        <v>4072</v>
      </c>
      <c r="B1173" s="1" t="s">
        <v>4071</v>
      </c>
      <c r="C1173" s="1" t="s">
        <v>40</v>
      </c>
      <c r="D1173" s="1" t="s">
        <v>1781</v>
      </c>
    </row>
    <row r="1174" spans="1:4">
      <c r="A1174" s="1" t="s">
        <v>4074</v>
      </c>
      <c r="B1174" s="1" t="s">
        <v>4073</v>
      </c>
      <c r="C1174" s="1" t="s">
        <v>40</v>
      </c>
      <c r="D1174" s="1" t="s">
        <v>1781</v>
      </c>
    </row>
    <row r="1175" spans="1:4">
      <c r="A1175" s="1" t="s">
        <v>4076</v>
      </c>
      <c r="B1175" s="1" t="s">
        <v>4075</v>
      </c>
      <c r="C1175" s="1" t="s">
        <v>40</v>
      </c>
      <c r="D1175" s="1" t="s">
        <v>1781</v>
      </c>
    </row>
    <row r="1176" spans="1:4">
      <c r="A1176" s="1" t="s">
        <v>4078</v>
      </c>
      <c r="B1176" s="1" t="s">
        <v>4077</v>
      </c>
      <c r="C1176" s="1" t="s">
        <v>40</v>
      </c>
      <c r="D1176" s="1" t="s">
        <v>1781</v>
      </c>
    </row>
    <row r="1177" spans="1:4">
      <c r="A1177" s="1" t="s">
        <v>4080</v>
      </c>
      <c r="B1177" s="1" t="s">
        <v>4079</v>
      </c>
      <c r="C1177" s="1" t="s">
        <v>40</v>
      </c>
      <c r="D1177" s="1" t="s">
        <v>1781</v>
      </c>
    </row>
    <row r="1178" spans="1:4">
      <c r="A1178" s="1" t="s">
        <v>4082</v>
      </c>
      <c r="B1178" s="1" t="s">
        <v>4081</v>
      </c>
      <c r="C1178" s="1" t="s">
        <v>40</v>
      </c>
      <c r="D1178" s="1" t="s">
        <v>1781</v>
      </c>
    </row>
    <row r="1179" spans="1:4">
      <c r="A1179" s="1" t="s">
        <v>4084</v>
      </c>
      <c r="B1179" s="1" t="s">
        <v>4083</v>
      </c>
      <c r="C1179" s="1" t="s">
        <v>40</v>
      </c>
      <c r="D1179" s="1" t="s">
        <v>1781</v>
      </c>
    </row>
    <row r="1180" spans="1:4">
      <c r="A1180" s="1" t="s">
        <v>4086</v>
      </c>
      <c r="B1180" s="1" t="s">
        <v>4085</v>
      </c>
      <c r="C1180" s="1" t="s">
        <v>40</v>
      </c>
      <c r="D1180" s="1" t="s">
        <v>1781</v>
      </c>
    </row>
    <row r="1181" spans="1:4">
      <c r="A1181" s="1" t="s">
        <v>4088</v>
      </c>
      <c r="B1181" s="1" t="s">
        <v>4087</v>
      </c>
      <c r="C1181" s="1" t="s">
        <v>40</v>
      </c>
      <c r="D1181" s="1" t="s">
        <v>1781</v>
      </c>
    </row>
    <row r="1182" spans="1:4">
      <c r="A1182" s="1" t="s">
        <v>4090</v>
      </c>
      <c r="B1182" s="1" t="s">
        <v>4089</v>
      </c>
      <c r="C1182" s="1" t="s">
        <v>40</v>
      </c>
      <c r="D1182" s="1" t="s">
        <v>1781</v>
      </c>
    </row>
    <row r="1183" spans="1:4">
      <c r="A1183" s="1" t="s">
        <v>4092</v>
      </c>
      <c r="B1183" s="1" t="s">
        <v>4091</v>
      </c>
      <c r="C1183" s="1" t="s">
        <v>40</v>
      </c>
      <c r="D1183" s="1" t="s">
        <v>1781</v>
      </c>
    </row>
    <row r="1184" spans="1:4">
      <c r="A1184" s="1" t="s">
        <v>4094</v>
      </c>
      <c r="B1184" s="1" t="s">
        <v>4093</v>
      </c>
      <c r="C1184" s="1" t="s">
        <v>40</v>
      </c>
      <c r="D1184" s="1" t="s">
        <v>1781</v>
      </c>
    </row>
    <row r="1185" spans="1:4">
      <c r="A1185" s="1" t="s">
        <v>4096</v>
      </c>
      <c r="B1185" s="1" t="s">
        <v>4095</v>
      </c>
      <c r="C1185" s="1" t="s">
        <v>40</v>
      </c>
      <c r="D1185" s="1" t="s">
        <v>1781</v>
      </c>
    </row>
    <row r="1186" spans="1:4">
      <c r="A1186" s="1" t="s">
        <v>4098</v>
      </c>
      <c r="B1186" s="1" t="s">
        <v>4097</v>
      </c>
      <c r="C1186" s="1" t="s">
        <v>40</v>
      </c>
      <c r="D1186" s="1" t="s">
        <v>1781</v>
      </c>
    </row>
    <row r="1187" spans="1:4">
      <c r="A1187" s="1" t="s">
        <v>4100</v>
      </c>
      <c r="B1187" s="1" t="s">
        <v>4099</v>
      </c>
      <c r="C1187" s="1" t="s">
        <v>40</v>
      </c>
      <c r="D1187" s="1" t="s">
        <v>1781</v>
      </c>
    </row>
    <row r="1188" spans="1:4">
      <c r="A1188" s="1" t="s">
        <v>4102</v>
      </c>
      <c r="B1188" s="1" t="s">
        <v>4101</v>
      </c>
      <c r="C1188" s="1" t="s">
        <v>40</v>
      </c>
      <c r="D1188" s="1" t="s">
        <v>1781</v>
      </c>
    </row>
    <row r="1189" spans="1:4">
      <c r="A1189" s="1" t="s">
        <v>4104</v>
      </c>
      <c r="B1189" s="1" t="s">
        <v>4103</v>
      </c>
      <c r="C1189" s="1" t="s">
        <v>40</v>
      </c>
      <c r="D1189" s="1" t="s">
        <v>1781</v>
      </c>
    </row>
    <row r="1190" spans="1:4">
      <c r="A1190" s="1" t="s">
        <v>4106</v>
      </c>
      <c r="B1190" s="1" t="s">
        <v>4105</v>
      </c>
      <c r="C1190" s="1" t="s">
        <v>40</v>
      </c>
      <c r="D1190" s="1" t="s">
        <v>1781</v>
      </c>
    </row>
    <row r="1191" spans="1:4">
      <c r="A1191" s="1" t="s">
        <v>4108</v>
      </c>
      <c r="B1191" s="1" t="s">
        <v>4107</v>
      </c>
      <c r="C1191" s="1" t="s">
        <v>40</v>
      </c>
      <c r="D1191" s="1" t="s">
        <v>1781</v>
      </c>
    </row>
    <row r="1192" spans="1:4">
      <c r="A1192" s="1" t="s">
        <v>4110</v>
      </c>
      <c r="B1192" s="1" t="s">
        <v>4109</v>
      </c>
      <c r="C1192" s="1" t="s">
        <v>40</v>
      </c>
      <c r="D1192" s="1" t="s">
        <v>1781</v>
      </c>
    </row>
    <row r="1193" spans="1:4">
      <c r="A1193" s="1" t="s">
        <v>4112</v>
      </c>
      <c r="B1193" s="1" t="s">
        <v>4111</v>
      </c>
      <c r="C1193" s="1" t="s">
        <v>40</v>
      </c>
      <c r="D1193" s="1" t="s">
        <v>1781</v>
      </c>
    </row>
    <row r="1194" spans="1:4">
      <c r="A1194" s="1" t="s">
        <v>4114</v>
      </c>
      <c r="B1194" s="1" t="s">
        <v>4113</v>
      </c>
      <c r="C1194" s="1" t="s">
        <v>40</v>
      </c>
      <c r="D1194" s="1" t="s">
        <v>1781</v>
      </c>
    </row>
    <row r="1195" spans="1:4">
      <c r="A1195" s="1" t="s">
        <v>4116</v>
      </c>
      <c r="B1195" s="1" t="s">
        <v>4115</v>
      </c>
      <c r="C1195" s="1" t="s">
        <v>40</v>
      </c>
      <c r="D1195" s="1" t="s">
        <v>1781</v>
      </c>
    </row>
    <row r="1196" spans="1:4">
      <c r="A1196" s="1" t="s">
        <v>4118</v>
      </c>
      <c r="B1196" s="1" t="s">
        <v>4117</v>
      </c>
      <c r="C1196" s="1" t="s">
        <v>40</v>
      </c>
      <c r="D1196" s="1" t="s">
        <v>1781</v>
      </c>
    </row>
    <row r="1197" spans="1:4">
      <c r="A1197" s="1" t="s">
        <v>4120</v>
      </c>
      <c r="B1197" s="1" t="s">
        <v>4119</v>
      </c>
      <c r="C1197" s="1" t="s">
        <v>40</v>
      </c>
      <c r="D1197" s="1" t="s">
        <v>1781</v>
      </c>
    </row>
    <row r="1198" spans="1:4">
      <c r="A1198" s="1" t="s">
        <v>4122</v>
      </c>
      <c r="B1198" s="1" t="s">
        <v>4121</v>
      </c>
      <c r="C1198" s="1" t="s">
        <v>40</v>
      </c>
      <c r="D1198" s="1" t="s">
        <v>1781</v>
      </c>
    </row>
    <row r="1199" spans="1:4">
      <c r="A1199" s="1" t="s">
        <v>4124</v>
      </c>
      <c r="B1199" s="1" t="s">
        <v>4123</v>
      </c>
      <c r="C1199" s="1" t="s">
        <v>40</v>
      </c>
      <c r="D1199" s="1" t="s">
        <v>1781</v>
      </c>
    </row>
    <row r="1200" spans="1:4">
      <c r="A1200" s="1" t="s">
        <v>4126</v>
      </c>
      <c r="B1200" s="1" t="s">
        <v>4125</v>
      </c>
      <c r="C1200" s="1" t="s">
        <v>40</v>
      </c>
      <c r="D1200" s="1" t="s">
        <v>1781</v>
      </c>
    </row>
    <row r="1201" spans="1:4">
      <c r="A1201" s="1" t="s">
        <v>4128</v>
      </c>
      <c r="B1201" s="1" t="s">
        <v>4127</v>
      </c>
      <c r="C1201" s="1" t="s">
        <v>40</v>
      </c>
      <c r="D1201" s="1" t="s">
        <v>1781</v>
      </c>
    </row>
    <row r="1202" spans="1:4">
      <c r="A1202" s="1" t="s">
        <v>4130</v>
      </c>
      <c r="B1202" s="1" t="s">
        <v>4129</v>
      </c>
      <c r="C1202" s="1" t="s">
        <v>40</v>
      </c>
      <c r="D1202" s="1" t="s">
        <v>1781</v>
      </c>
    </row>
    <row r="1203" spans="1:4">
      <c r="A1203" s="1" t="s">
        <v>4132</v>
      </c>
      <c r="B1203" s="1" t="s">
        <v>4131</v>
      </c>
      <c r="C1203" s="1" t="s">
        <v>40</v>
      </c>
      <c r="D1203" s="1" t="s">
        <v>1781</v>
      </c>
    </row>
    <row r="1204" spans="1:4">
      <c r="A1204" s="1" t="s">
        <v>4134</v>
      </c>
      <c r="B1204" s="1" t="s">
        <v>4133</v>
      </c>
      <c r="C1204" s="1" t="s">
        <v>40</v>
      </c>
      <c r="D1204" s="1" t="s">
        <v>1781</v>
      </c>
    </row>
    <row r="1205" spans="1:4">
      <c r="A1205" s="1" t="s">
        <v>4136</v>
      </c>
      <c r="B1205" s="1" t="s">
        <v>4135</v>
      </c>
      <c r="C1205" s="1" t="s">
        <v>40</v>
      </c>
      <c r="D1205" s="1" t="s">
        <v>1781</v>
      </c>
    </row>
    <row r="1206" spans="1:4">
      <c r="A1206" s="1" t="s">
        <v>4138</v>
      </c>
      <c r="B1206" s="1" t="s">
        <v>4137</v>
      </c>
      <c r="C1206" s="1" t="s">
        <v>40</v>
      </c>
      <c r="D1206" s="1" t="s">
        <v>1781</v>
      </c>
    </row>
    <row r="1207" spans="1:4">
      <c r="A1207" s="1" t="s">
        <v>1203</v>
      </c>
      <c r="B1207" s="1" t="s">
        <v>4139</v>
      </c>
      <c r="C1207" s="1" t="s">
        <v>40</v>
      </c>
      <c r="D1207" s="1" t="s">
        <v>1781</v>
      </c>
    </row>
    <row r="1208" spans="1:4">
      <c r="A1208" s="1" t="s">
        <v>4141</v>
      </c>
      <c r="B1208" s="1" t="s">
        <v>4140</v>
      </c>
      <c r="C1208" s="1" t="s">
        <v>40</v>
      </c>
      <c r="D1208" s="1" t="s">
        <v>1781</v>
      </c>
    </row>
    <row r="1209" spans="1:4">
      <c r="A1209" s="1" t="s">
        <v>4143</v>
      </c>
      <c r="B1209" s="1" t="s">
        <v>4142</v>
      </c>
      <c r="C1209" s="1" t="s">
        <v>40</v>
      </c>
      <c r="D1209" s="1" t="s">
        <v>1781</v>
      </c>
    </row>
    <row r="1210" spans="1:4">
      <c r="A1210" s="1" t="s">
        <v>4145</v>
      </c>
      <c r="B1210" s="1" t="s">
        <v>4144</v>
      </c>
      <c r="C1210" s="1" t="s">
        <v>40</v>
      </c>
      <c r="D1210" s="1" t="s">
        <v>1781</v>
      </c>
    </row>
    <row r="1211" spans="1:4">
      <c r="A1211" s="1" t="s">
        <v>4147</v>
      </c>
      <c r="B1211" s="1" t="s">
        <v>4146</v>
      </c>
      <c r="C1211" s="1" t="s">
        <v>40</v>
      </c>
      <c r="D1211" s="1" t="s">
        <v>1781</v>
      </c>
    </row>
    <row r="1212" spans="1:4">
      <c r="A1212" s="1" t="s">
        <v>4149</v>
      </c>
      <c r="B1212" s="1" t="s">
        <v>4148</v>
      </c>
      <c r="C1212" s="1" t="s">
        <v>40</v>
      </c>
      <c r="D1212" s="1" t="s">
        <v>1781</v>
      </c>
    </row>
    <row r="1213" spans="1:4">
      <c r="A1213" s="1" t="s">
        <v>4151</v>
      </c>
      <c r="B1213" s="1" t="s">
        <v>4150</v>
      </c>
      <c r="C1213" s="1" t="s">
        <v>40</v>
      </c>
      <c r="D1213" s="1" t="s">
        <v>1781</v>
      </c>
    </row>
    <row r="1214" spans="1:4">
      <c r="A1214" s="1" t="s">
        <v>4153</v>
      </c>
      <c r="B1214" s="1" t="s">
        <v>4152</v>
      </c>
      <c r="C1214" s="1" t="s">
        <v>40</v>
      </c>
      <c r="D1214" s="1" t="s">
        <v>1781</v>
      </c>
    </row>
    <row r="1215" spans="1:4">
      <c r="A1215" s="1" t="s">
        <v>4155</v>
      </c>
      <c r="B1215" s="1" t="s">
        <v>4154</v>
      </c>
      <c r="C1215" s="1" t="s">
        <v>40</v>
      </c>
      <c r="D1215" s="1" t="s">
        <v>1781</v>
      </c>
    </row>
    <row r="1216" spans="1:4">
      <c r="A1216" s="1" t="s">
        <v>4157</v>
      </c>
      <c r="B1216" s="1" t="s">
        <v>4156</v>
      </c>
      <c r="C1216" s="1" t="s">
        <v>40</v>
      </c>
      <c r="D1216" s="1" t="s">
        <v>1781</v>
      </c>
    </row>
    <row r="1217" spans="1:4">
      <c r="A1217" s="1" t="s">
        <v>4159</v>
      </c>
      <c r="B1217" s="1" t="s">
        <v>4158</v>
      </c>
      <c r="C1217" s="1" t="s">
        <v>40</v>
      </c>
      <c r="D1217" s="1" t="s">
        <v>1781</v>
      </c>
    </row>
    <row r="1218" spans="1:4">
      <c r="A1218" s="1" t="s">
        <v>4161</v>
      </c>
      <c r="B1218" s="1" t="s">
        <v>4160</v>
      </c>
      <c r="C1218" s="1" t="s">
        <v>40</v>
      </c>
      <c r="D1218" s="1" t="s">
        <v>1781</v>
      </c>
    </row>
    <row r="1219" spans="1:4">
      <c r="A1219" s="1" t="s">
        <v>4163</v>
      </c>
      <c r="B1219" s="1" t="s">
        <v>4162</v>
      </c>
      <c r="C1219" s="1" t="s">
        <v>40</v>
      </c>
      <c r="D1219" s="1" t="s">
        <v>1781</v>
      </c>
    </row>
    <row r="1220" spans="1:4">
      <c r="A1220" s="1" t="s">
        <v>4165</v>
      </c>
      <c r="B1220" s="1" t="s">
        <v>4164</v>
      </c>
      <c r="C1220" s="1" t="s">
        <v>40</v>
      </c>
      <c r="D1220" s="1" t="s">
        <v>1781</v>
      </c>
    </row>
    <row r="1221" spans="1:4">
      <c r="A1221" s="1" t="s">
        <v>4167</v>
      </c>
      <c r="B1221" s="1" t="s">
        <v>4166</v>
      </c>
      <c r="C1221" s="1" t="s">
        <v>40</v>
      </c>
      <c r="D1221" s="1" t="s">
        <v>1781</v>
      </c>
    </row>
    <row r="1222" spans="1:4">
      <c r="A1222" s="1" t="s">
        <v>4169</v>
      </c>
      <c r="B1222" s="1" t="s">
        <v>4168</v>
      </c>
      <c r="C1222" s="1" t="s">
        <v>40</v>
      </c>
      <c r="D1222" s="1" t="s">
        <v>1781</v>
      </c>
    </row>
    <row r="1223" spans="1:4">
      <c r="A1223" s="1" t="s">
        <v>4171</v>
      </c>
      <c r="B1223" s="1" t="s">
        <v>4170</v>
      </c>
      <c r="C1223" s="1" t="s">
        <v>40</v>
      </c>
      <c r="D1223" s="1" t="s">
        <v>1781</v>
      </c>
    </row>
    <row r="1224" spans="1:4">
      <c r="A1224" s="1" t="s">
        <v>4173</v>
      </c>
      <c r="B1224" s="1" t="s">
        <v>4172</v>
      </c>
      <c r="C1224" s="1" t="s">
        <v>40</v>
      </c>
      <c r="D1224" s="1" t="s">
        <v>1781</v>
      </c>
    </row>
    <row r="1225" spans="1:4">
      <c r="A1225" s="1" t="s">
        <v>4175</v>
      </c>
      <c r="B1225" s="1" t="s">
        <v>4174</v>
      </c>
      <c r="C1225" s="1" t="s">
        <v>40</v>
      </c>
      <c r="D1225" s="1" t="s">
        <v>1781</v>
      </c>
    </row>
    <row r="1226" spans="1:4">
      <c r="A1226" s="1" t="s">
        <v>4177</v>
      </c>
      <c r="B1226" s="1" t="s">
        <v>4176</v>
      </c>
      <c r="C1226" s="1" t="s">
        <v>40</v>
      </c>
      <c r="D1226" s="1" t="s">
        <v>1781</v>
      </c>
    </row>
    <row r="1227" spans="1:4">
      <c r="A1227" s="1" t="s">
        <v>4179</v>
      </c>
      <c r="B1227" s="1" t="s">
        <v>4178</v>
      </c>
      <c r="C1227" s="1" t="s">
        <v>40</v>
      </c>
      <c r="D1227" s="1" t="s">
        <v>1781</v>
      </c>
    </row>
    <row r="1228" spans="1:4">
      <c r="A1228" s="1" t="s">
        <v>778</v>
      </c>
      <c r="B1228" s="1" t="s">
        <v>4180</v>
      </c>
      <c r="C1228" s="1" t="s">
        <v>40</v>
      </c>
      <c r="D1228" s="1" t="s">
        <v>1781</v>
      </c>
    </row>
    <row r="1229" spans="1:4">
      <c r="A1229" s="1" t="s">
        <v>4182</v>
      </c>
      <c r="B1229" s="1" t="s">
        <v>4181</v>
      </c>
      <c r="C1229" s="1" t="s">
        <v>40</v>
      </c>
      <c r="D1229" s="1" t="s">
        <v>1781</v>
      </c>
    </row>
    <row r="1230" spans="1:4">
      <c r="A1230" s="1" t="s">
        <v>4184</v>
      </c>
      <c r="B1230" s="1" t="s">
        <v>4183</v>
      </c>
      <c r="C1230" s="1" t="s">
        <v>40</v>
      </c>
      <c r="D1230" s="1" t="s">
        <v>1781</v>
      </c>
    </row>
    <row r="1231" spans="1:4">
      <c r="A1231" s="1" t="s">
        <v>4186</v>
      </c>
      <c r="B1231" s="1" t="s">
        <v>4185</v>
      </c>
      <c r="C1231" s="1" t="s">
        <v>40</v>
      </c>
      <c r="D1231" s="1" t="s">
        <v>1781</v>
      </c>
    </row>
    <row r="1232" spans="1:4">
      <c r="A1232" s="1" t="s">
        <v>4188</v>
      </c>
      <c r="B1232" s="1" t="s">
        <v>4187</v>
      </c>
      <c r="C1232" s="1" t="s">
        <v>40</v>
      </c>
      <c r="D1232" s="1" t="s">
        <v>1781</v>
      </c>
    </row>
    <row r="1233" spans="1:4">
      <c r="A1233" s="1" t="s">
        <v>4190</v>
      </c>
      <c r="B1233" s="1" t="s">
        <v>4189</v>
      </c>
      <c r="C1233" s="1" t="s">
        <v>40</v>
      </c>
      <c r="D1233" s="1" t="s">
        <v>1781</v>
      </c>
    </row>
    <row r="1234" spans="1:4">
      <c r="A1234" s="1" t="s">
        <v>4192</v>
      </c>
      <c r="B1234" s="1" t="s">
        <v>4191</v>
      </c>
      <c r="C1234" s="1" t="s">
        <v>40</v>
      </c>
      <c r="D1234" s="1" t="s">
        <v>1781</v>
      </c>
    </row>
    <row r="1235" spans="1:4">
      <c r="A1235" s="1" t="s">
        <v>4194</v>
      </c>
      <c r="B1235" s="1" t="s">
        <v>4193</v>
      </c>
      <c r="C1235" s="1" t="s">
        <v>40</v>
      </c>
      <c r="D1235" s="1" t="s">
        <v>1781</v>
      </c>
    </row>
    <row r="1236" spans="1:4">
      <c r="A1236" s="1" t="s">
        <v>4196</v>
      </c>
      <c r="B1236" s="1" t="s">
        <v>4195</v>
      </c>
      <c r="C1236" s="1" t="s">
        <v>40</v>
      </c>
      <c r="D1236" s="1" t="s">
        <v>1781</v>
      </c>
    </row>
    <row r="1237" spans="1:4">
      <c r="A1237" s="1" t="s">
        <v>4198</v>
      </c>
      <c r="B1237" s="1" t="s">
        <v>4197</v>
      </c>
      <c r="C1237" s="1" t="s">
        <v>40</v>
      </c>
      <c r="D1237" s="1" t="s">
        <v>1781</v>
      </c>
    </row>
    <row r="1238" spans="1:4">
      <c r="A1238" s="1" t="s">
        <v>4200</v>
      </c>
      <c r="B1238" s="1" t="s">
        <v>4199</v>
      </c>
      <c r="C1238" s="1" t="s">
        <v>40</v>
      </c>
      <c r="D1238" s="1" t="s">
        <v>1781</v>
      </c>
    </row>
    <row r="1239" spans="1:4">
      <c r="A1239" s="1" t="s">
        <v>4202</v>
      </c>
      <c r="B1239" s="1" t="s">
        <v>4201</v>
      </c>
      <c r="C1239" s="1" t="s">
        <v>40</v>
      </c>
      <c r="D1239" s="1" t="s">
        <v>1781</v>
      </c>
    </row>
    <row r="1240" spans="1:4">
      <c r="A1240" s="1" t="s">
        <v>4204</v>
      </c>
      <c r="B1240" s="1" t="s">
        <v>4203</v>
      </c>
      <c r="C1240" s="1" t="s">
        <v>40</v>
      </c>
      <c r="D1240" s="1" t="s">
        <v>1781</v>
      </c>
    </row>
    <row r="1241" spans="1:4">
      <c r="A1241" s="1" t="s">
        <v>4206</v>
      </c>
      <c r="B1241" s="1" t="s">
        <v>4205</v>
      </c>
      <c r="C1241" s="1" t="s">
        <v>40</v>
      </c>
      <c r="D1241" s="1" t="s">
        <v>1781</v>
      </c>
    </row>
    <row r="1242" spans="1:4">
      <c r="A1242" s="1" t="s">
        <v>4208</v>
      </c>
      <c r="B1242" s="1" t="s">
        <v>4207</v>
      </c>
      <c r="C1242" s="1" t="s">
        <v>40</v>
      </c>
      <c r="D1242" s="1" t="s">
        <v>1781</v>
      </c>
    </row>
    <row r="1243" spans="1:4">
      <c r="A1243" s="1" t="s">
        <v>4210</v>
      </c>
      <c r="B1243" s="1" t="s">
        <v>4209</v>
      </c>
      <c r="C1243" s="1" t="s">
        <v>40</v>
      </c>
      <c r="D1243" s="1" t="s">
        <v>1781</v>
      </c>
    </row>
    <row r="1244" spans="1:4">
      <c r="A1244" s="1" t="s">
        <v>4212</v>
      </c>
      <c r="B1244" s="1" t="s">
        <v>4211</v>
      </c>
      <c r="C1244" s="1" t="s">
        <v>40</v>
      </c>
      <c r="D1244" s="1" t="s">
        <v>1781</v>
      </c>
    </row>
    <row r="1245" spans="1:4">
      <c r="A1245" s="1" t="s">
        <v>4214</v>
      </c>
      <c r="B1245" s="1" t="s">
        <v>4213</v>
      </c>
      <c r="C1245" s="1" t="s">
        <v>40</v>
      </c>
      <c r="D1245" s="1" t="s">
        <v>1781</v>
      </c>
    </row>
    <row r="1246" spans="1:4">
      <c r="A1246" s="1" t="s">
        <v>4216</v>
      </c>
      <c r="B1246" s="1" t="s">
        <v>4215</v>
      </c>
      <c r="C1246" s="1"/>
      <c r="D1246" s="1" t="s">
        <v>1781</v>
      </c>
    </row>
    <row r="1247" spans="1:4">
      <c r="A1247" s="1" t="s">
        <v>4218</v>
      </c>
      <c r="B1247" s="1" t="s">
        <v>4217</v>
      </c>
      <c r="C1247" s="1" t="s">
        <v>40</v>
      </c>
      <c r="D1247" s="1" t="s">
        <v>1781</v>
      </c>
    </row>
    <row r="1248" spans="1:4">
      <c r="A1248" s="1" t="s">
        <v>1401</v>
      </c>
      <c r="B1248" s="1" t="s">
        <v>4219</v>
      </c>
      <c r="C1248" s="1" t="s">
        <v>40</v>
      </c>
      <c r="D1248" s="1" t="s">
        <v>1781</v>
      </c>
    </row>
    <row r="1249" spans="1:4">
      <c r="A1249" s="1" t="s">
        <v>4221</v>
      </c>
      <c r="B1249" s="1" t="s">
        <v>4220</v>
      </c>
      <c r="C1249" s="1" t="s">
        <v>40</v>
      </c>
      <c r="D1249" s="1" t="s">
        <v>1781</v>
      </c>
    </row>
    <row r="1250" spans="1:4">
      <c r="A1250" s="1" t="s">
        <v>4223</v>
      </c>
      <c r="B1250" s="1" t="s">
        <v>4222</v>
      </c>
      <c r="C1250" s="1" t="s">
        <v>40</v>
      </c>
      <c r="D1250" s="1" t="s">
        <v>1781</v>
      </c>
    </row>
    <row r="1251" spans="1:4">
      <c r="A1251" s="1" t="s">
        <v>4225</v>
      </c>
      <c r="B1251" s="1" t="s">
        <v>4224</v>
      </c>
      <c r="C1251" s="1" t="s">
        <v>40</v>
      </c>
      <c r="D1251" s="1" t="s">
        <v>1781</v>
      </c>
    </row>
    <row r="1252" spans="1:4">
      <c r="A1252" s="1" t="s">
        <v>4227</v>
      </c>
      <c r="B1252" s="1" t="s">
        <v>4226</v>
      </c>
      <c r="C1252" s="1" t="s">
        <v>40</v>
      </c>
      <c r="D1252" s="1" t="s">
        <v>1781</v>
      </c>
    </row>
    <row r="1253" spans="1:4">
      <c r="A1253" s="1" t="s">
        <v>4229</v>
      </c>
      <c r="B1253" s="1" t="s">
        <v>4228</v>
      </c>
      <c r="C1253" s="1" t="s">
        <v>40</v>
      </c>
      <c r="D1253" s="1" t="s">
        <v>1781</v>
      </c>
    </row>
    <row r="1254" spans="1:4">
      <c r="A1254" s="1" t="s">
        <v>4231</v>
      </c>
      <c r="B1254" s="1" t="s">
        <v>4230</v>
      </c>
      <c r="C1254" s="1" t="s">
        <v>40</v>
      </c>
      <c r="D1254" s="1" t="s">
        <v>1781</v>
      </c>
    </row>
    <row r="1255" spans="1:4">
      <c r="A1255" s="1" t="s">
        <v>4233</v>
      </c>
      <c r="B1255" s="1" t="s">
        <v>4232</v>
      </c>
      <c r="C1255" s="1" t="s">
        <v>40</v>
      </c>
      <c r="D1255" s="1" t="s">
        <v>1781</v>
      </c>
    </row>
    <row r="1256" spans="1:4">
      <c r="A1256" s="1" t="s">
        <v>4235</v>
      </c>
      <c r="B1256" s="1" t="s">
        <v>4234</v>
      </c>
      <c r="C1256" s="1" t="s">
        <v>40</v>
      </c>
      <c r="D1256" s="1" t="s">
        <v>1781</v>
      </c>
    </row>
    <row r="1257" spans="1:4">
      <c r="A1257" s="1" t="s">
        <v>4237</v>
      </c>
      <c r="B1257" s="1" t="s">
        <v>4236</v>
      </c>
      <c r="C1257" s="1" t="s">
        <v>40</v>
      </c>
      <c r="D1257" s="1" t="s">
        <v>1781</v>
      </c>
    </row>
    <row r="1258" spans="1:4">
      <c r="A1258" s="1" t="s">
        <v>4239</v>
      </c>
      <c r="B1258" s="1" t="s">
        <v>4238</v>
      </c>
      <c r="C1258" s="1" t="s">
        <v>40</v>
      </c>
      <c r="D1258" s="1" t="s">
        <v>1781</v>
      </c>
    </row>
    <row r="1259" spans="1:4">
      <c r="A1259" s="1" t="s">
        <v>4241</v>
      </c>
      <c r="B1259" s="1" t="s">
        <v>4240</v>
      </c>
      <c r="C1259" s="1" t="s">
        <v>40</v>
      </c>
      <c r="D1259" s="1" t="s">
        <v>1781</v>
      </c>
    </row>
    <row r="1260" spans="1:4">
      <c r="A1260" s="1" t="s">
        <v>4243</v>
      </c>
      <c r="B1260" s="1" t="s">
        <v>4242</v>
      </c>
      <c r="C1260" s="1" t="s">
        <v>40</v>
      </c>
      <c r="D1260" s="1" t="s">
        <v>1781</v>
      </c>
    </row>
    <row r="1261" spans="1:4">
      <c r="A1261" s="1" t="s">
        <v>4245</v>
      </c>
      <c r="B1261" s="1" t="s">
        <v>4244</v>
      </c>
      <c r="C1261" s="1" t="s">
        <v>40</v>
      </c>
      <c r="D1261" s="1" t="s">
        <v>1781</v>
      </c>
    </row>
    <row r="1262" spans="1:4">
      <c r="A1262" s="1" t="s">
        <v>4247</v>
      </c>
      <c r="B1262" s="1" t="s">
        <v>4246</v>
      </c>
      <c r="C1262" s="1" t="s">
        <v>40</v>
      </c>
      <c r="D1262" s="1" t="s">
        <v>1781</v>
      </c>
    </row>
    <row r="1263" spans="1:4">
      <c r="A1263" s="1" t="s">
        <v>4249</v>
      </c>
      <c r="B1263" s="1" t="s">
        <v>4248</v>
      </c>
      <c r="C1263" s="1" t="s">
        <v>38</v>
      </c>
      <c r="D1263" s="1" t="s">
        <v>1781</v>
      </c>
    </row>
    <row r="1264" spans="1:4">
      <c r="A1264" s="1" t="s">
        <v>4251</v>
      </c>
      <c r="B1264" s="1" t="s">
        <v>4250</v>
      </c>
      <c r="C1264" s="1" t="s">
        <v>38</v>
      </c>
      <c r="D1264" s="1" t="s">
        <v>1781</v>
      </c>
    </row>
    <row r="1265" spans="1:4">
      <c r="A1265" s="1" t="s">
        <v>4253</v>
      </c>
      <c r="B1265" s="1" t="s">
        <v>4252</v>
      </c>
      <c r="C1265" s="1" t="s">
        <v>38</v>
      </c>
      <c r="D1265" s="1" t="s">
        <v>1781</v>
      </c>
    </row>
    <row r="1266" spans="1:4">
      <c r="A1266" s="1" t="s">
        <v>4255</v>
      </c>
      <c r="B1266" s="1" t="s">
        <v>4254</v>
      </c>
      <c r="C1266" s="1" t="s">
        <v>38</v>
      </c>
      <c r="D1266" s="1" t="s">
        <v>1781</v>
      </c>
    </row>
    <row r="1267" spans="1:4">
      <c r="A1267" s="1" t="s">
        <v>4257</v>
      </c>
      <c r="B1267" s="1" t="s">
        <v>4256</v>
      </c>
      <c r="C1267" s="1" t="s">
        <v>38</v>
      </c>
      <c r="D1267" s="1" t="s">
        <v>1781</v>
      </c>
    </row>
    <row r="1268" spans="1:4">
      <c r="A1268" s="1" t="s">
        <v>4259</v>
      </c>
      <c r="B1268" s="1" t="s">
        <v>4258</v>
      </c>
      <c r="C1268" s="1" t="s">
        <v>38</v>
      </c>
      <c r="D1268" s="1" t="s">
        <v>1781</v>
      </c>
    </row>
    <row r="1269" spans="1:4">
      <c r="A1269" s="1" t="s">
        <v>4261</v>
      </c>
      <c r="B1269" s="1" t="s">
        <v>4260</v>
      </c>
      <c r="C1269" s="1" t="s">
        <v>35</v>
      </c>
      <c r="D1269" s="1" t="s">
        <v>1781</v>
      </c>
    </row>
    <row r="1270" spans="1:4">
      <c r="A1270" s="1" t="s">
        <v>1484</v>
      </c>
      <c r="B1270" s="1" t="s">
        <v>4262</v>
      </c>
      <c r="C1270" s="1" t="s">
        <v>35</v>
      </c>
      <c r="D1270" s="1" t="s">
        <v>1781</v>
      </c>
    </row>
    <row r="1271" spans="1:4">
      <c r="A1271" s="1" t="s">
        <v>4264</v>
      </c>
      <c r="B1271" s="1" t="s">
        <v>4263</v>
      </c>
      <c r="C1271" s="1" t="s">
        <v>35</v>
      </c>
      <c r="D1271" s="1" t="s">
        <v>1781</v>
      </c>
    </row>
    <row r="1272" spans="1:4">
      <c r="A1272" s="1" t="s">
        <v>4266</v>
      </c>
      <c r="B1272" s="1" t="s">
        <v>4265</v>
      </c>
      <c r="C1272" s="1" t="s">
        <v>35</v>
      </c>
      <c r="D1272" s="1" t="s">
        <v>1781</v>
      </c>
    </row>
    <row r="1273" spans="1:4">
      <c r="A1273" s="1" t="s">
        <v>4268</v>
      </c>
      <c r="B1273" s="1" t="s">
        <v>4267</v>
      </c>
      <c r="C1273" s="1" t="s">
        <v>35</v>
      </c>
      <c r="D1273" s="1" t="s">
        <v>1781</v>
      </c>
    </row>
    <row r="1274" spans="1:4">
      <c r="A1274" s="1" t="s">
        <v>4270</v>
      </c>
      <c r="B1274" s="1" t="s">
        <v>4269</v>
      </c>
      <c r="C1274" s="1" t="s">
        <v>35</v>
      </c>
      <c r="D1274" s="1" t="s">
        <v>1781</v>
      </c>
    </row>
    <row r="1275" spans="1:4">
      <c r="A1275" s="1" t="s">
        <v>4272</v>
      </c>
      <c r="B1275" s="1" t="s">
        <v>4271</v>
      </c>
      <c r="C1275" s="1" t="s">
        <v>35</v>
      </c>
      <c r="D1275" s="1" t="s">
        <v>1781</v>
      </c>
    </row>
    <row r="1276" spans="1:4">
      <c r="A1276" s="1" t="s">
        <v>4274</v>
      </c>
      <c r="B1276" s="1" t="s">
        <v>4273</v>
      </c>
      <c r="C1276" s="1" t="s">
        <v>35</v>
      </c>
      <c r="D1276" s="1" t="s">
        <v>1781</v>
      </c>
    </row>
    <row r="1277" spans="1:4">
      <c r="A1277" s="1" t="s">
        <v>1219</v>
      </c>
      <c r="B1277" s="1" t="s">
        <v>1220</v>
      </c>
      <c r="C1277" s="1" t="s">
        <v>35</v>
      </c>
      <c r="D1277" s="1" t="s">
        <v>1781</v>
      </c>
    </row>
    <row r="1278" spans="1:4">
      <c r="A1278" s="1" t="s">
        <v>4276</v>
      </c>
      <c r="B1278" s="1" t="s">
        <v>4275</v>
      </c>
      <c r="C1278" s="1" t="s">
        <v>40</v>
      </c>
      <c r="D1278" s="1" t="s">
        <v>1781</v>
      </c>
    </row>
    <row r="1279" spans="1:4">
      <c r="A1279" s="1" t="s">
        <v>4278</v>
      </c>
      <c r="B1279" s="1" t="s">
        <v>4277</v>
      </c>
      <c r="C1279" s="1"/>
      <c r="D1279" s="1" t="s">
        <v>1781</v>
      </c>
    </row>
    <row r="1280" spans="1:4">
      <c r="A1280" s="1" t="s">
        <v>4280</v>
      </c>
      <c r="B1280" s="1" t="s">
        <v>4279</v>
      </c>
      <c r="C1280" s="1"/>
      <c r="D1280" s="1" t="s">
        <v>1781</v>
      </c>
    </row>
    <row r="1281" spans="1:4">
      <c r="A1281" s="1" t="s">
        <v>4282</v>
      </c>
      <c r="B1281" s="1" t="s">
        <v>4281</v>
      </c>
      <c r="C1281" s="1"/>
      <c r="D1281" s="1" t="s">
        <v>1781</v>
      </c>
    </row>
    <row r="1282" spans="1:4">
      <c r="A1282" s="1" t="s">
        <v>4284</v>
      </c>
      <c r="B1282" s="1" t="s">
        <v>4283</v>
      </c>
      <c r="C1282" s="1"/>
      <c r="D1282" s="1" t="s">
        <v>1781</v>
      </c>
    </row>
    <row r="1283" spans="1:4">
      <c r="A1283" s="1" t="s">
        <v>4288</v>
      </c>
      <c r="B1283" s="1" t="s">
        <v>4287</v>
      </c>
      <c r="C1283" s="1"/>
      <c r="D1283" s="1" t="s">
        <v>1781</v>
      </c>
    </row>
    <row r="1284" spans="1:4">
      <c r="A1284" s="1" t="s">
        <v>4291</v>
      </c>
      <c r="B1284" s="1" t="s">
        <v>4290</v>
      </c>
      <c r="C1284" s="1" t="s">
        <v>38</v>
      </c>
      <c r="D1284" s="1" t="s">
        <v>1781</v>
      </c>
    </row>
    <row r="1285" spans="1:4">
      <c r="A1285" s="1" t="s">
        <v>4293</v>
      </c>
      <c r="B1285" s="1" t="s">
        <v>4292</v>
      </c>
      <c r="C1285" s="1" t="s">
        <v>38</v>
      </c>
      <c r="D1285" s="1" t="s">
        <v>1781</v>
      </c>
    </row>
    <row r="1286" spans="1:4">
      <c r="A1286" s="1" t="s">
        <v>4295</v>
      </c>
      <c r="B1286" s="1" t="s">
        <v>4294</v>
      </c>
      <c r="C1286" s="1" t="s">
        <v>38</v>
      </c>
      <c r="D1286" s="1" t="s">
        <v>1781</v>
      </c>
    </row>
    <row r="1287" spans="1:4">
      <c r="A1287" s="1" t="s">
        <v>4297</v>
      </c>
      <c r="B1287" s="1" t="s">
        <v>4296</v>
      </c>
      <c r="C1287" s="1" t="s">
        <v>38</v>
      </c>
      <c r="D1287" s="1" t="s">
        <v>1781</v>
      </c>
    </row>
    <row r="1288" spans="1:4">
      <c r="A1288" s="1" t="s">
        <v>4299</v>
      </c>
      <c r="B1288" s="1" t="s">
        <v>4298</v>
      </c>
      <c r="C1288" s="1" t="s">
        <v>38</v>
      </c>
      <c r="D1288" s="1" t="s">
        <v>1781</v>
      </c>
    </row>
    <row r="1289" spans="1:4">
      <c r="A1289" s="1" t="s">
        <v>4301</v>
      </c>
      <c r="B1289" s="1" t="s">
        <v>4300</v>
      </c>
      <c r="C1289" s="1" t="s">
        <v>38</v>
      </c>
      <c r="D1289" s="1" t="s">
        <v>1781</v>
      </c>
    </row>
    <row r="1290" spans="1:4">
      <c r="A1290" s="1" t="s">
        <v>4303</v>
      </c>
      <c r="B1290" s="1" t="s">
        <v>4302</v>
      </c>
      <c r="C1290" s="1" t="s">
        <v>38</v>
      </c>
      <c r="D1290" s="1" t="s">
        <v>1781</v>
      </c>
    </row>
    <row r="1291" spans="1:4">
      <c r="A1291" s="1" t="s">
        <v>209</v>
      </c>
      <c r="B1291" s="1" t="s">
        <v>4304</v>
      </c>
      <c r="C1291" s="1" t="s">
        <v>38</v>
      </c>
      <c r="D1291" s="1" t="s">
        <v>1781</v>
      </c>
    </row>
    <row r="1292" spans="1:4">
      <c r="A1292" s="1" t="s">
        <v>4306</v>
      </c>
      <c r="B1292" s="1" t="s">
        <v>4305</v>
      </c>
      <c r="C1292" s="1" t="s">
        <v>38</v>
      </c>
      <c r="D1292" s="1" t="s">
        <v>1781</v>
      </c>
    </row>
    <row r="1293" spans="1:4">
      <c r="A1293" s="1" t="s">
        <v>673</v>
      </c>
      <c r="B1293" s="1" t="s">
        <v>4307</v>
      </c>
      <c r="C1293" s="1" t="s">
        <v>38</v>
      </c>
      <c r="D1293" s="1" t="s">
        <v>1781</v>
      </c>
    </row>
    <row r="1294" spans="1:4">
      <c r="A1294" s="1" t="s">
        <v>4309</v>
      </c>
      <c r="B1294" s="1" t="s">
        <v>4308</v>
      </c>
      <c r="C1294" s="1" t="s">
        <v>38</v>
      </c>
      <c r="D1294" s="1" t="s">
        <v>1781</v>
      </c>
    </row>
    <row r="1295" spans="1:4">
      <c r="A1295" s="1" t="s">
        <v>4311</v>
      </c>
      <c r="B1295" s="1" t="s">
        <v>4310</v>
      </c>
      <c r="C1295" s="1" t="s">
        <v>38</v>
      </c>
      <c r="D1295" s="1" t="s">
        <v>1781</v>
      </c>
    </row>
    <row r="1296" spans="1:4">
      <c r="A1296" s="1" t="s">
        <v>4313</v>
      </c>
      <c r="B1296" s="1" t="s">
        <v>4312</v>
      </c>
      <c r="C1296" s="1" t="s">
        <v>38</v>
      </c>
      <c r="D1296" s="1" t="s">
        <v>1781</v>
      </c>
    </row>
    <row r="1297" spans="1:4">
      <c r="A1297" s="1" t="s">
        <v>4315</v>
      </c>
      <c r="B1297" s="1" t="s">
        <v>4314</v>
      </c>
      <c r="C1297" s="1" t="s">
        <v>38</v>
      </c>
      <c r="D1297" s="1" t="s">
        <v>1781</v>
      </c>
    </row>
    <row r="1298" spans="1:4">
      <c r="A1298" s="1" t="s">
        <v>4317</v>
      </c>
      <c r="B1298" s="1" t="s">
        <v>4316</v>
      </c>
      <c r="C1298" s="1" t="s">
        <v>38</v>
      </c>
      <c r="D1298" s="1" t="s">
        <v>1781</v>
      </c>
    </row>
    <row r="1299" spans="1:4">
      <c r="A1299" s="1" t="s">
        <v>4319</v>
      </c>
      <c r="B1299" s="1" t="s">
        <v>4318</v>
      </c>
      <c r="C1299" s="1" t="s">
        <v>38</v>
      </c>
      <c r="D1299" s="1" t="s">
        <v>1781</v>
      </c>
    </row>
    <row r="1300" spans="1:4">
      <c r="A1300" s="1" t="s">
        <v>4321</v>
      </c>
      <c r="B1300" s="1" t="s">
        <v>4320</v>
      </c>
      <c r="C1300" s="1" t="s">
        <v>38</v>
      </c>
      <c r="D1300" s="1" t="s">
        <v>1781</v>
      </c>
    </row>
    <row r="1301" spans="1:4">
      <c r="A1301" s="1" t="s">
        <v>4323</v>
      </c>
      <c r="B1301" s="1" t="s">
        <v>4322</v>
      </c>
      <c r="C1301" s="1" t="s">
        <v>38</v>
      </c>
      <c r="D1301" s="1" t="s">
        <v>1781</v>
      </c>
    </row>
    <row r="1302" spans="1:4">
      <c r="A1302" s="1" t="s">
        <v>4325</v>
      </c>
      <c r="B1302" s="1" t="s">
        <v>4324</v>
      </c>
      <c r="C1302" s="1" t="s">
        <v>38</v>
      </c>
      <c r="D1302" s="1" t="s">
        <v>1781</v>
      </c>
    </row>
    <row r="1303" spans="1:4">
      <c r="A1303" s="1" t="s">
        <v>4327</v>
      </c>
      <c r="B1303" s="1" t="s">
        <v>4326</v>
      </c>
      <c r="C1303" s="1" t="s">
        <v>38</v>
      </c>
      <c r="D1303" s="1" t="s">
        <v>1781</v>
      </c>
    </row>
    <row r="1304" spans="1:4">
      <c r="A1304" s="1" t="s">
        <v>617</v>
      </c>
      <c r="B1304" s="1" t="s">
        <v>4328</v>
      </c>
      <c r="C1304" s="1" t="s">
        <v>38</v>
      </c>
      <c r="D1304" s="1" t="s">
        <v>1781</v>
      </c>
    </row>
    <row r="1305" spans="1:4">
      <c r="A1305" s="1" t="s">
        <v>4330</v>
      </c>
      <c r="B1305" s="1" t="s">
        <v>4329</v>
      </c>
      <c r="C1305" s="1" t="s">
        <v>38</v>
      </c>
      <c r="D1305" s="1" t="s">
        <v>1781</v>
      </c>
    </row>
    <row r="1306" spans="1:4">
      <c r="A1306" s="1" t="s">
        <v>4332</v>
      </c>
      <c r="B1306" s="1" t="s">
        <v>4331</v>
      </c>
      <c r="C1306" s="1" t="s">
        <v>38</v>
      </c>
      <c r="D1306" s="1" t="s">
        <v>1781</v>
      </c>
    </row>
    <row r="1307" spans="1:4">
      <c r="A1307" s="1" t="s">
        <v>4334</v>
      </c>
      <c r="B1307" s="1" t="s">
        <v>4333</v>
      </c>
      <c r="C1307" s="1" t="s">
        <v>38</v>
      </c>
      <c r="D1307" s="1" t="s">
        <v>1781</v>
      </c>
    </row>
    <row r="1308" spans="1:4">
      <c r="A1308" s="1" t="s">
        <v>4336</v>
      </c>
      <c r="B1308" s="1" t="s">
        <v>4335</v>
      </c>
      <c r="C1308" s="1" t="s">
        <v>38</v>
      </c>
      <c r="D1308" s="1" t="s">
        <v>1781</v>
      </c>
    </row>
    <row r="1309" spans="1:4">
      <c r="A1309" s="1" t="s">
        <v>4338</v>
      </c>
      <c r="B1309" s="1" t="s">
        <v>4337</v>
      </c>
      <c r="C1309" s="1" t="s">
        <v>38</v>
      </c>
      <c r="D1309" s="1" t="s">
        <v>1781</v>
      </c>
    </row>
    <row r="1310" spans="1:4">
      <c r="A1310" s="1" t="s">
        <v>4340</v>
      </c>
      <c r="B1310" s="1" t="s">
        <v>4339</v>
      </c>
      <c r="C1310" s="1" t="s">
        <v>38</v>
      </c>
      <c r="D1310" s="1" t="s">
        <v>1781</v>
      </c>
    </row>
    <row r="1311" spans="1:4">
      <c r="A1311" s="1" t="s">
        <v>4342</v>
      </c>
      <c r="B1311" s="1" t="s">
        <v>4341</v>
      </c>
      <c r="C1311" s="1" t="s">
        <v>38</v>
      </c>
      <c r="D1311" s="1" t="s">
        <v>1781</v>
      </c>
    </row>
    <row r="1312" spans="1:4">
      <c r="A1312" s="1" t="s">
        <v>4344</v>
      </c>
      <c r="B1312" s="1" t="s">
        <v>4343</v>
      </c>
      <c r="C1312" s="1" t="s">
        <v>38</v>
      </c>
      <c r="D1312" s="1" t="s">
        <v>1781</v>
      </c>
    </row>
    <row r="1313" spans="1:4">
      <c r="A1313" s="1" t="s">
        <v>4346</v>
      </c>
      <c r="B1313" s="1" t="s">
        <v>4345</v>
      </c>
      <c r="C1313" s="1" t="s">
        <v>38</v>
      </c>
      <c r="D1313" s="1" t="s">
        <v>1781</v>
      </c>
    </row>
    <row r="1314" spans="1:4">
      <c r="A1314" s="1" t="s">
        <v>4348</v>
      </c>
      <c r="B1314" s="1" t="s">
        <v>4347</v>
      </c>
      <c r="C1314" s="1" t="s">
        <v>38</v>
      </c>
      <c r="D1314" s="1" t="s">
        <v>1781</v>
      </c>
    </row>
    <row r="1315" spans="1:4">
      <c r="A1315" s="1" t="s">
        <v>4350</v>
      </c>
      <c r="B1315" s="1" t="s">
        <v>4349</v>
      </c>
      <c r="C1315" s="1" t="s">
        <v>38</v>
      </c>
      <c r="D1315" s="1" t="s">
        <v>1781</v>
      </c>
    </row>
    <row r="1316" spans="1:4">
      <c r="A1316" s="1" t="s">
        <v>4352</v>
      </c>
      <c r="B1316" s="1" t="s">
        <v>4351</v>
      </c>
      <c r="C1316" s="1" t="s">
        <v>38</v>
      </c>
      <c r="D1316" s="1" t="s">
        <v>1781</v>
      </c>
    </row>
    <row r="1317" spans="1:4">
      <c r="A1317" s="1" t="s">
        <v>4354</v>
      </c>
      <c r="B1317" s="1" t="s">
        <v>4353</v>
      </c>
      <c r="C1317" s="1" t="s">
        <v>38</v>
      </c>
      <c r="D1317" s="1" t="s">
        <v>1781</v>
      </c>
    </row>
    <row r="1318" spans="1:4">
      <c r="A1318" s="1" t="s">
        <v>4356</v>
      </c>
      <c r="B1318" s="1" t="s">
        <v>4355</v>
      </c>
      <c r="C1318" s="1" t="s">
        <v>38</v>
      </c>
      <c r="D1318" s="1" t="s">
        <v>1781</v>
      </c>
    </row>
    <row r="1319" spans="1:4">
      <c r="A1319" s="1" t="s">
        <v>4358</v>
      </c>
      <c r="B1319" s="1" t="s">
        <v>4357</v>
      </c>
      <c r="C1319" s="1" t="s">
        <v>38</v>
      </c>
      <c r="D1319" s="1" t="s">
        <v>1781</v>
      </c>
    </row>
    <row r="1320" spans="1:4">
      <c r="A1320" s="1" t="s">
        <v>4360</v>
      </c>
      <c r="B1320" s="1" t="s">
        <v>4359</v>
      </c>
      <c r="C1320" s="1" t="s">
        <v>38</v>
      </c>
      <c r="D1320" s="1" t="s">
        <v>1781</v>
      </c>
    </row>
    <row r="1321" spans="1:4">
      <c r="A1321" s="1" t="s">
        <v>4362</v>
      </c>
      <c r="B1321" s="1" t="s">
        <v>4361</v>
      </c>
      <c r="C1321" s="1" t="s">
        <v>38</v>
      </c>
      <c r="D1321" s="1" t="s">
        <v>1781</v>
      </c>
    </row>
    <row r="1322" spans="1:4">
      <c r="A1322" s="1" t="s">
        <v>4364</v>
      </c>
      <c r="B1322" s="1" t="s">
        <v>4363</v>
      </c>
      <c r="C1322" s="1" t="s">
        <v>38</v>
      </c>
      <c r="D1322" s="1" t="s">
        <v>1781</v>
      </c>
    </row>
    <row r="1323" spans="1:4">
      <c r="A1323" s="1" t="s">
        <v>4366</v>
      </c>
      <c r="B1323" s="1" t="s">
        <v>4365</v>
      </c>
      <c r="C1323" s="1" t="s">
        <v>38</v>
      </c>
      <c r="D1323" s="1" t="s">
        <v>1781</v>
      </c>
    </row>
    <row r="1324" spans="1:4">
      <c r="A1324" s="1" t="s">
        <v>4368</v>
      </c>
      <c r="B1324" s="1" t="s">
        <v>4367</v>
      </c>
      <c r="C1324" s="1" t="s">
        <v>38</v>
      </c>
      <c r="D1324" s="1" t="s">
        <v>1781</v>
      </c>
    </row>
    <row r="1325" spans="1:4">
      <c r="A1325" s="1" t="s">
        <v>4370</v>
      </c>
      <c r="B1325" s="1" t="s">
        <v>4369</v>
      </c>
      <c r="C1325" s="1" t="s">
        <v>38</v>
      </c>
      <c r="D1325" s="1" t="s">
        <v>1781</v>
      </c>
    </row>
    <row r="1326" spans="1:4">
      <c r="A1326" s="1" t="s">
        <v>4372</v>
      </c>
      <c r="B1326" s="1" t="s">
        <v>4371</v>
      </c>
      <c r="C1326" s="1" t="s">
        <v>38</v>
      </c>
      <c r="D1326" s="1" t="s">
        <v>1781</v>
      </c>
    </row>
    <row r="1327" spans="1:4">
      <c r="A1327" s="1" t="s">
        <v>4374</v>
      </c>
      <c r="B1327" s="1" t="s">
        <v>4373</v>
      </c>
      <c r="C1327" s="1" t="s">
        <v>38</v>
      </c>
      <c r="D1327" s="1" t="s">
        <v>1781</v>
      </c>
    </row>
    <row r="1328" spans="1:4">
      <c r="A1328" s="1" t="s">
        <v>4376</v>
      </c>
      <c r="B1328" s="1" t="s">
        <v>4375</v>
      </c>
      <c r="C1328" s="1" t="s">
        <v>38</v>
      </c>
      <c r="D1328" s="1" t="s">
        <v>1781</v>
      </c>
    </row>
    <row r="1329" spans="1:4">
      <c r="A1329" s="1" t="s">
        <v>4378</v>
      </c>
      <c r="B1329" s="1" t="s">
        <v>4377</v>
      </c>
      <c r="C1329" s="1" t="s">
        <v>38</v>
      </c>
      <c r="D1329" s="1" t="s">
        <v>1781</v>
      </c>
    </row>
    <row r="1330" spans="1:4">
      <c r="A1330" s="1" t="s">
        <v>4380</v>
      </c>
      <c r="B1330" s="1" t="s">
        <v>4379</v>
      </c>
      <c r="C1330" s="1" t="s">
        <v>38</v>
      </c>
      <c r="D1330" s="1" t="s">
        <v>1781</v>
      </c>
    </row>
    <row r="1331" spans="1:4">
      <c r="A1331" s="1" t="s">
        <v>4382</v>
      </c>
      <c r="B1331" s="1" t="s">
        <v>4381</v>
      </c>
      <c r="C1331" s="1" t="s">
        <v>38</v>
      </c>
      <c r="D1331" s="1" t="s">
        <v>1781</v>
      </c>
    </row>
    <row r="1332" spans="1:4">
      <c r="A1332" s="1" t="s">
        <v>4384</v>
      </c>
      <c r="B1332" s="1" t="s">
        <v>4383</v>
      </c>
      <c r="C1332" s="1" t="s">
        <v>38</v>
      </c>
      <c r="D1332" s="1" t="s">
        <v>1781</v>
      </c>
    </row>
    <row r="1333" spans="1:4">
      <c r="A1333" s="1" t="s">
        <v>4386</v>
      </c>
      <c r="B1333" s="1" t="s">
        <v>4385</v>
      </c>
      <c r="C1333" s="1" t="s">
        <v>38</v>
      </c>
      <c r="D1333" s="1" t="s">
        <v>1781</v>
      </c>
    </row>
    <row r="1334" spans="1:4">
      <c r="A1334" s="1" t="s">
        <v>4388</v>
      </c>
      <c r="B1334" s="1" t="s">
        <v>4387</v>
      </c>
      <c r="C1334" s="1" t="s">
        <v>38</v>
      </c>
      <c r="D1334" s="1" t="s">
        <v>1781</v>
      </c>
    </row>
    <row r="1335" spans="1:4">
      <c r="A1335" s="1" t="s">
        <v>4390</v>
      </c>
      <c r="B1335" s="1" t="s">
        <v>4389</v>
      </c>
      <c r="C1335" s="1" t="s">
        <v>38</v>
      </c>
      <c r="D1335" s="1" t="s">
        <v>1781</v>
      </c>
    </row>
    <row r="1336" spans="1:4">
      <c r="A1336" s="1" t="s">
        <v>4392</v>
      </c>
      <c r="B1336" s="1" t="s">
        <v>4391</v>
      </c>
      <c r="C1336" s="1" t="s">
        <v>38</v>
      </c>
      <c r="D1336" s="1" t="s">
        <v>1781</v>
      </c>
    </row>
    <row r="1337" spans="1:4">
      <c r="A1337" s="1" t="s">
        <v>4394</v>
      </c>
      <c r="B1337" s="1" t="s">
        <v>4393</v>
      </c>
      <c r="C1337" s="1" t="s">
        <v>38</v>
      </c>
      <c r="D1337" s="1" t="s">
        <v>1781</v>
      </c>
    </row>
    <row r="1338" spans="1:4">
      <c r="A1338" s="1" t="s">
        <v>4396</v>
      </c>
      <c r="B1338" s="1" t="s">
        <v>4395</v>
      </c>
      <c r="C1338" s="1" t="s">
        <v>38</v>
      </c>
      <c r="D1338" s="1" t="s">
        <v>1781</v>
      </c>
    </row>
    <row r="1339" spans="1:4">
      <c r="A1339" s="1" t="s">
        <v>4398</v>
      </c>
      <c r="B1339" s="1" t="s">
        <v>4397</v>
      </c>
      <c r="C1339" s="1" t="s">
        <v>38</v>
      </c>
      <c r="D1339" s="1" t="s">
        <v>1781</v>
      </c>
    </row>
    <row r="1340" spans="1:4">
      <c r="A1340" s="1" t="s">
        <v>4400</v>
      </c>
      <c r="B1340" s="1" t="s">
        <v>4399</v>
      </c>
      <c r="C1340" s="1" t="s">
        <v>38</v>
      </c>
      <c r="D1340" s="1" t="s">
        <v>1781</v>
      </c>
    </row>
    <row r="1341" spans="1:4">
      <c r="A1341" s="1" t="s">
        <v>4402</v>
      </c>
      <c r="B1341" s="1" t="s">
        <v>4401</v>
      </c>
      <c r="C1341" s="1" t="s">
        <v>38</v>
      </c>
      <c r="D1341" s="1" t="s">
        <v>1781</v>
      </c>
    </row>
    <row r="1342" spans="1:4">
      <c r="A1342" s="1" t="s">
        <v>4404</v>
      </c>
      <c r="B1342" s="1" t="s">
        <v>4403</v>
      </c>
      <c r="C1342" s="1" t="s">
        <v>38</v>
      </c>
      <c r="D1342" s="1" t="s">
        <v>1781</v>
      </c>
    </row>
    <row r="1343" spans="1:4">
      <c r="A1343" s="1" t="s">
        <v>4406</v>
      </c>
      <c r="B1343" s="1" t="s">
        <v>4405</v>
      </c>
      <c r="C1343" s="1" t="s">
        <v>38</v>
      </c>
      <c r="D1343" s="1" t="s">
        <v>1781</v>
      </c>
    </row>
    <row r="1344" spans="1:4">
      <c r="A1344" s="1" t="s">
        <v>4408</v>
      </c>
      <c r="B1344" s="1" t="s">
        <v>4407</v>
      </c>
      <c r="C1344" s="1" t="s">
        <v>38</v>
      </c>
      <c r="D1344" s="1" t="s">
        <v>1781</v>
      </c>
    </row>
    <row r="1345" spans="1:4">
      <c r="A1345" s="1" t="s">
        <v>4410</v>
      </c>
      <c r="B1345" s="1" t="s">
        <v>4409</v>
      </c>
      <c r="C1345" s="1" t="s">
        <v>38</v>
      </c>
      <c r="D1345" s="1" t="s">
        <v>1781</v>
      </c>
    </row>
    <row r="1346" spans="1:4">
      <c r="A1346" s="1" t="s">
        <v>4412</v>
      </c>
      <c r="B1346" s="1" t="s">
        <v>4411</v>
      </c>
      <c r="C1346" s="1" t="s">
        <v>38</v>
      </c>
      <c r="D1346" s="1" t="s">
        <v>1781</v>
      </c>
    </row>
    <row r="1347" spans="1:4">
      <c r="A1347" s="1" t="s">
        <v>4414</v>
      </c>
      <c r="B1347" s="1" t="s">
        <v>4413</v>
      </c>
      <c r="C1347" s="1" t="s">
        <v>38</v>
      </c>
      <c r="D1347" s="1" t="s">
        <v>1781</v>
      </c>
    </row>
    <row r="1348" spans="1:4">
      <c r="A1348" s="1" t="s">
        <v>4416</v>
      </c>
      <c r="B1348" s="1" t="s">
        <v>4415</v>
      </c>
      <c r="C1348" s="1" t="s">
        <v>38</v>
      </c>
      <c r="D1348" s="1" t="s">
        <v>1781</v>
      </c>
    </row>
    <row r="1349" spans="1:4">
      <c r="A1349" s="1" t="s">
        <v>4418</v>
      </c>
      <c r="B1349" s="1" t="s">
        <v>4417</v>
      </c>
      <c r="C1349" s="1" t="s">
        <v>38</v>
      </c>
      <c r="D1349" s="1" t="s">
        <v>1781</v>
      </c>
    </row>
    <row r="1350" spans="1:4">
      <c r="A1350" s="1" t="s">
        <v>4420</v>
      </c>
      <c r="B1350" s="1" t="s">
        <v>4419</v>
      </c>
      <c r="C1350" s="1" t="s">
        <v>38</v>
      </c>
      <c r="D1350" s="1" t="s">
        <v>1781</v>
      </c>
    </row>
    <row r="1351" spans="1:4">
      <c r="A1351" s="1" t="s">
        <v>4422</v>
      </c>
      <c r="B1351" s="1" t="s">
        <v>4421</v>
      </c>
      <c r="C1351" s="1" t="s">
        <v>38</v>
      </c>
      <c r="D1351" s="1" t="s">
        <v>1781</v>
      </c>
    </row>
    <row r="1352" spans="1:4">
      <c r="A1352" s="1" t="s">
        <v>4424</v>
      </c>
      <c r="B1352" s="1" t="s">
        <v>4423</v>
      </c>
      <c r="C1352" s="1" t="s">
        <v>38</v>
      </c>
      <c r="D1352" s="1" t="s">
        <v>1781</v>
      </c>
    </row>
    <row r="1353" spans="1:4">
      <c r="A1353" s="1" t="s">
        <v>4426</v>
      </c>
      <c r="B1353" s="1" t="s">
        <v>4425</v>
      </c>
      <c r="C1353" s="1" t="s">
        <v>38</v>
      </c>
      <c r="D1353" s="1" t="s">
        <v>1781</v>
      </c>
    </row>
    <row r="1354" spans="1:4">
      <c r="A1354" s="1" t="s">
        <v>4428</v>
      </c>
      <c r="B1354" s="1" t="s">
        <v>4427</v>
      </c>
      <c r="C1354" s="1" t="s">
        <v>38</v>
      </c>
      <c r="D1354" s="1" t="s">
        <v>1781</v>
      </c>
    </row>
    <row r="1355" spans="1:4">
      <c r="A1355" s="1" t="s">
        <v>4430</v>
      </c>
      <c r="B1355" s="1" t="s">
        <v>4429</v>
      </c>
      <c r="C1355" s="1" t="s">
        <v>38</v>
      </c>
      <c r="D1355" s="1" t="s">
        <v>1781</v>
      </c>
    </row>
    <row r="1356" spans="1:4">
      <c r="A1356" s="1" t="s">
        <v>4432</v>
      </c>
      <c r="B1356" s="1" t="s">
        <v>4431</v>
      </c>
      <c r="C1356" s="1" t="s">
        <v>38</v>
      </c>
      <c r="D1356" s="1" t="s">
        <v>1781</v>
      </c>
    </row>
    <row r="1357" spans="1:4">
      <c r="A1357" s="1" t="s">
        <v>4434</v>
      </c>
      <c r="B1357" s="1" t="s">
        <v>4433</v>
      </c>
      <c r="C1357" s="1" t="s">
        <v>38</v>
      </c>
      <c r="D1357" s="1" t="s">
        <v>1781</v>
      </c>
    </row>
    <row r="1358" spans="1:4">
      <c r="A1358" s="1" t="s">
        <v>500</v>
      </c>
      <c r="B1358" s="1" t="s">
        <v>4435</v>
      </c>
      <c r="C1358" s="1" t="s">
        <v>38</v>
      </c>
      <c r="D1358" s="1" t="s">
        <v>1781</v>
      </c>
    </row>
    <row r="1359" spans="1:4">
      <c r="A1359" s="1" t="s">
        <v>184</v>
      </c>
      <c r="B1359" s="1" t="s">
        <v>4436</v>
      </c>
      <c r="C1359" s="1" t="s">
        <v>38</v>
      </c>
      <c r="D1359" s="1" t="s">
        <v>1781</v>
      </c>
    </row>
    <row r="1360" spans="1:4">
      <c r="A1360" s="1" t="s">
        <v>4438</v>
      </c>
      <c r="B1360" s="1" t="s">
        <v>4437</v>
      </c>
      <c r="C1360" s="1" t="s">
        <v>38</v>
      </c>
      <c r="D1360" s="1" t="s">
        <v>1781</v>
      </c>
    </row>
    <row r="1361" spans="1:4">
      <c r="A1361" s="1" t="s">
        <v>4440</v>
      </c>
      <c r="B1361" s="1" t="s">
        <v>4439</v>
      </c>
      <c r="C1361" s="1" t="s">
        <v>38</v>
      </c>
      <c r="D1361" s="1" t="s">
        <v>1781</v>
      </c>
    </row>
    <row r="1362" spans="1:4">
      <c r="A1362" s="1" t="s">
        <v>4442</v>
      </c>
      <c r="B1362" s="1" t="s">
        <v>4441</v>
      </c>
      <c r="C1362" s="1" t="s">
        <v>38</v>
      </c>
      <c r="D1362" s="1" t="s">
        <v>1781</v>
      </c>
    </row>
    <row r="1363" spans="1:4">
      <c r="A1363" s="1" t="s">
        <v>4444</v>
      </c>
      <c r="B1363" s="1" t="s">
        <v>4443</v>
      </c>
      <c r="C1363" s="1" t="s">
        <v>38</v>
      </c>
      <c r="D1363" s="1" t="s">
        <v>1781</v>
      </c>
    </row>
    <row r="1364" spans="1:4">
      <c r="A1364" s="1" t="s">
        <v>4446</v>
      </c>
      <c r="B1364" s="1" t="s">
        <v>4445</v>
      </c>
      <c r="C1364" s="1" t="s">
        <v>38</v>
      </c>
      <c r="D1364" s="1" t="s">
        <v>1781</v>
      </c>
    </row>
    <row r="1365" spans="1:4">
      <c r="A1365" s="1" t="s">
        <v>4448</v>
      </c>
      <c r="B1365" s="1" t="s">
        <v>4447</v>
      </c>
      <c r="C1365" s="1" t="s">
        <v>38</v>
      </c>
      <c r="D1365" s="1" t="s">
        <v>1781</v>
      </c>
    </row>
    <row r="1366" spans="1:4">
      <c r="A1366" s="1" t="s">
        <v>4450</v>
      </c>
      <c r="B1366" s="1" t="s">
        <v>4449</v>
      </c>
      <c r="C1366" s="1" t="s">
        <v>38</v>
      </c>
      <c r="D1366" s="1" t="s">
        <v>1781</v>
      </c>
    </row>
    <row r="1367" spans="1:4">
      <c r="A1367" s="1" t="s">
        <v>4452</v>
      </c>
      <c r="B1367" s="1" t="s">
        <v>4451</v>
      </c>
      <c r="C1367" s="1" t="s">
        <v>38</v>
      </c>
      <c r="D1367" s="1" t="s">
        <v>1781</v>
      </c>
    </row>
    <row r="1368" spans="1:4">
      <c r="A1368" s="1" t="s">
        <v>4454</v>
      </c>
      <c r="B1368" s="1" t="s">
        <v>4453</v>
      </c>
      <c r="C1368" s="1" t="s">
        <v>38</v>
      </c>
      <c r="D1368" s="1" t="s">
        <v>1781</v>
      </c>
    </row>
    <row r="1369" spans="1:4">
      <c r="A1369" s="1" t="s">
        <v>4456</v>
      </c>
      <c r="B1369" s="1" t="s">
        <v>4455</v>
      </c>
      <c r="C1369" s="1" t="s">
        <v>38</v>
      </c>
      <c r="D1369" s="1" t="s">
        <v>1781</v>
      </c>
    </row>
    <row r="1370" spans="1:4">
      <c r="A1370" s="1" t="s">
        <v>4458</v>
      </c>
      <c r="B1370" s="1" t="s">
        <v>4457</v>
      </c>
      <c r="C1370" s="1" t="s">
        <v>38</v>
      </c>
      <c r="D1370" s="1" t="s">
        <v>1781</v>
      </c>
    </row>
    <row r="1371" spans="1:4">
      <c r="A1371" s="1" t="s">
        <v>4460</v>
      </c>
      <c r="B1371" s="1" t="s">
        <v>4459</v>
      </c>
      <c r="C1371" s="1" t="s">
        <v>38</v>
      </c>
      <c r="D1371" s="1" t="s">
        <v>1781</v>
      </c>
    </row>
    <row r="1372" spans="1:4">
      <c r="A1372" s="1" t="s">
        <v>4462</v>
      </c>
      <c r="B1372" s="1" t="s">
        <v>4461</v>
      </c>
      <c r="C1372" s="1" t="s">
        <v>38</v>
      </c>
      <c r="D1372" s="1" t="s">
        <v>1781</v>
      </c>
    </row>
    <row r="1373" spans="1:4">
      <c r="A1373" s="1" t="s">
        <v>4464</v>
      </c>
      <c r="B1373" s="1" t="s">
        <v>4463</v>
      </c>
      <c r="C1373" s="1" t="s">
        <v>38</v>
      </c>
      <c r="D1373" s="1" t="s">
        <v>1781</v>
      </c>
    </row>
    <row r="1374" spans="1:4">
      <c r="A1374" s="1" t="s">
        <v>4466</v>
      </c>
      <c r="B1374" s="1" t="s">
        <v>4465</v>
      </c>
      <c r="C1374" s="1" t="s">
        <v>38</v>
      </c>
      <c r="D1374" s="1" t="s">
        <v>1781</v>
      </c>
    </row>
    <row r="1375" spans="1:4">
      <c r="A1375" s="1" t="s">
        <v>4468</v>
      </c>
      <c r="B1375" s="1" t="s">
        <v>4467</v>
      </c>
      <c r="C1375" s="1" t="s">
        <v>38</v>
      </c>
      <c r="D1375" s="1" t="s">
        <v>1781</v>
      </c>
    </row>
    <row r="1376" spans="1:4">
      <c r="A1376" s="1" t="s">
        <v>4470</v>
      </c>
      <c r="B1376" s="1" t="s">
        <v>4469</v>
      </c>
      <c r="C1376" s="1" t="s">
        <v>38</v>
      </c>
      <c r="D1376" s="1" t="s">
        <v>1781</v>
      </c>
    </row>
    <row r="1377" spans="1:4">
      <c r="A1377" s="1" t="s">
        <v>4472</v>
      </c>
      <c r="B1377" s="1" t="s">
        <v>4471</v>
      </c>
      <c r="C1377" s="1" t="s">
        <v>38</v>
      </c>
      <c r="D1377" s="1" t="s">
        <v>1781</v>
      </c>
    </row>
    <row r="1378" spans="1:4">
      <c r="A1378" s="1" t="s">
        <v>4474</v>
      </c>
      <c r="B1378" s="1" t="s">
        <v>4473</v>
      </c>
      <c r="C1378" s="1" t="s">
        <v>38</v>
      </c>
      <c r="D1378" s="1" t="s">
        <v>1781</v>
      </c>
    </row>
    <row r="1379" spans="1:4">
      <c r="A1379" s="1" t="s">
        <v>4476</v>
      </c>
      <c r="B1379" s="1" t="s">
        <v>4475</v>
      </c>
      <c r="C1379" s="1" t="s">
        <v>38</v>
      </c>
      <c r="D1379" s="1" t="s">
        <v>1781</v>
      </c>
    </row>
    <row r="1380" spans="1:4">
      <c r="A1380" s="1" t="s">
        <v>4478</v>
      </c>
      <c r="B1380" s="1" t="s">
        <v>4477</v>
      </c>
      <c r="C1380" s="1" t="s">
        <v>38</v>
      </c>
      <c r="D1380" s="1" t="s">
        <v>1781</v>
      </c>
    </row>
    <row r="1381" spans="1:4">
      <c r="A1381" s="1" t="s">
        <v>4480</v>
      </c>
      <c r="B1381" s="1" t="s">
        <v>4479</v>
      </c>
      <c r="C1381" s="1" t="s">
        <v>38</v>
      </c>
      <c r="D1381" s="1" t="s">
        <v>1781</v>
      </c>
    </row>
    <row r="1382" spans="1:4">
      <c r="A1382" s="1" t="s">
        <v>4482</v>
      </c>
      <c r="B1382" s="1" t="s">
        <v>4481</v>
      </c>
      <c r="C1382" s="1" t="s">
        <v>38</v>
      </c>
      <c r="D1382" s="1" t="s">
        <v>1781</v>
      </c>
    </row>
    <row r="1383" spans="1:4">
      <c r="A1383" s="1" t="s">
        <v>4484</v>
      </c>
      <c r="B1383" s="1" t="s">
        <v>4483</v>
      </c>
      <c r="C1383" s="1" t="s">
        <v>38</v>
      </c>
      <c r="D1383" s="1" t="s">
        <v>1781</v>
      </c>
    </row>
    <row r="1384" spans="1:4">
      <c r="A1384" s="1" t="s">
        <v>4486</v>
      </c>
      <c r="B1384" s="1" t="s">
        <v>4485</v>
      </c>
      <c r="C1384" s="1" t="s">
        <v>38</v>
      </c>
      <c r="D1384" s="1" t="s">
        <v>1781</v>
      </c>
    </row>
    <row r="1385" spans="1:4">
      <c r="A1385" s="1" t="s">
        <v>4488</v>
      </c>
      <c r="B1385" s="1" t="s">
        <v>4487</v>
      </c>
      <c r="C1385" s="1" t="s">
        <v>38</v>
      </c>
      <c r="D1385" s="1" t="s">
        <v>1781</v>
      </c>
    </row>
    <row r="1386" spans="1:4">
      <c r="A1386" s="1" t="s">
        <v>4490</v>
      </c>
      <c r="B1386" s="1" t="s">
        <v>4489</v>
      </c>
      <c r="C1386" s="1" t="s">
        <v>38</v>
      </c>
      <c r="D1386" s="1" t="s">
        <v>1781</v>
      </c>
    </row>
    <row r="1387" spans="1:4">
      <c r="A1387" s="1" t="s">
        <v>4492</v>
      </c>
      <c r="B1387" s="1" t="s">
        <v>4491</v>
      </c>
      <c r="C1387" s="1" t="s">
        <v>38</v>
      </c>
      <c r="D1387" s="1" t="s">
        <v>1781</v>
      </c>
    </row>
    <row r="1388" spans="1:4">
      <c r="A1388" s="1" t="s">
        <v>4494</v>
      </c>
      <c r="B1388" s="1" t="s">
        <v>4493</v>
      </c>
      <c r="C1388" s="1" t="s">
        <v>38</v>
      </c>
      <c r="D1388" s="1" t="s">
        <v>1781</v>
      </c>
    </row>
    <row r="1389" spans="1:4">
      <c r="A1389" s="1" t="s">
        <v>4496</v>
      </c>
      <c r="B1389" s="1" t="s">
        <v>4495</v>
      </c>
      <c r="C1389" s="1" t="s">
        <v>38</v>
      </c>
      <c r="D1389" s="1" t="s">
        <v>1781</v>
      </c>
    </row>
    <row r="1390" spans="1:4">
      <c r="A1390" s="1" t="s">
        <v>4498</v>
      </c>
      <c r="B1390" s="1" t="s">
        <v>4497</v>
      </c>
      <c r="C1390" s="1" t="s">
        <v>38</v>
      </c>
      <c r="D1390" s="1" t="s">
        <v>1781</v>
      </c>
    </row>
    <row r="1391" spans="1:4">
      <c r="A1391" s="1" t="s">
        <v>4500</v>
      </c>
      <c r="B1391" s="1" t="s">
        <v>4499</v>
      </c>
      <c r="C1391" s="1" t="s">
        <v>38</v>
      </c>
      <c r="D1391" s="1" t="s">
        <v>1781</v>
      </c>
    </row>
    <row r="1392" spans="1:4">
      <c r="A1392" s="1" t="s">
        <v>4502</v>
      </c>
      <c r="B1392" s="1" t="s">
        <v>4501</v>
      </c>
      <c r="C1392" s="1" t="s">
        <v>38</v>
      </c>
      <c r="D1392" s="1" t="s">
        <v>1781</v>
      </c>
    </row>
    <row r="1393" spans="1:4">
      <c r="A1393" s="1" t="s">
        <v>4504</v>
      </c>
      <c r="B1393" s="1" t="s">
        <v>4503</v>
      </c>
      <c r="C1393" s="1" t="s">
        <v>38</v>
      </c>
      <c r="D1393" s="1" t="s">
        <v>1781</v>
      </c>
    </row>
    <row r="1394" spans="1:4">
      <c r="A1394" s="1" t="s">
        <v>4506</v>
      </c>
      <c r="B1394" s="1" t="s">
        <v>4505</v>
      </c>
      <c r="C1394" s="1" t="s">
        <v>38</v>
      </c>
      <c r="D1394" s="1" t="s">
        <v>1781</v>
      </c>
    </row>
    <row r="1395" spans="1:4">
      <c r="A1395" s="1" t="s">
        <v>4508</v>
      </c>
      <c r="B1395" s="1" t="s">
        <v>4507</v>
      </c>
      <c r="C1395" s="1" t="s">
        <v>38</v>
      </c>
      <c r="D1395" s="1" t="s">
        <v>1781</v>
      </c>
    </row>
    <row r="1396" spans="1:4">
      <c r="A1396" s="1" t="s">
        <v>4510</v>
      </c>
      <c r="B1396" s="1" t="s">
        <v>4509</v>
      </c>
      <c r="C1396" s="1" t="s">
        <v>38</v>
      </c>
      <c r="D1396" s="1" t="s">
        <v>1781</v>
      </c>
    </row>
    <row r="1397" spans="1:4">
      <c r="A1397" s="1" t="s">
        <v>4512</v>
      </c>
      <c r="B1397" s="1" t="s">
        <v>4511</v>
      </c>
      <c r="C1397" s="1" t="s">
        <v>38</v>
      </c>
      <c r="D1397" s="1" t="s">
        <v>1781</v>
      </c>
    </row>
    <row r="1398" spans="1:4">
      <c r="A1398" s="1" t="s">
        <v>4514</v>
      </c>
      <c r="B1398" s="1" t="s">
        <v>4513</v>
      </c>
      <c r="C1398" s="1" t="s">
        <v>38</v>
      </c>
      <c r="D1398" s="1" t="s">
        <v>1781</v>
      </c>
    </row>
    <row r="1399" spans="1:4">
      <c r="A1399" s="1" t="s">
        <v>1787</v>
      </c>
      <c r="B1399" s="1" t="s">
        <v>4515</v>
      </c>
      <c r="C1399" s="1" t="s">
        <v>38</v>
      </c>
      <c r="D1399" s="1" t="s">
        <v>1781</v>
      </c>
    </row>
    <row r="1400" spans="1:4">
      <c r="A1400" s="1" t="s">
        <v>4517</v>
      </c>
      <c r="B1400" s="1" t="s">
        <v>4516</v>
      </c>
      <c r="C1400" s="1" t="s">
        <v>38</v>
      </c>
      <c r="D1400" s="1" t="s">
        <v>1781</v>
      </c>
    </row>
    <row r="1401" spans="1:4">
      <c r="A1401" s="1" t="s">
        <v>578</v>
      </c>
      <c r="B1401" s="1" t="s">
        <v>4518</v>
      </c>
      <c r="C1401" s="1" t="s">
        <v>38</v>
      </c>
      <c r="D1401" s="1" t="s">
        <v>1781</v>
      </c>
    </row>
    <row r="1402" spans="1:4">
      <c r="A1402" s="1" t="s">
        <v>1208</v>
      </c>
      <c r="B1402" s="1" t="s">
        <v>4519</v>
      </c>
      <c r="C1402" s="1" t="s">
        <v>38</v>
      </c>
      <c r="D1402" s="1" t="s">
        <v>1781</v>
      </c>
    </row>
    <row r="1403" spans="1:4">
      <c r="A1403" s="1" t="s">
        <v>4521</v>
      </c>
      <c r="B1403" s="1" t="s">
        <v>4520</v>
      </c>
      <c r="C1403" s="1" t="s">
        <v>38</v>
      </c>
      <c r="D1403" s="1" t="s">
        <v>1781</v>
      </c>
    </row>
    <row r="1404" spans="1:4">
      <c r="A1404" s="1" t="s">
        <v>1849</v>
      </c>
      <c r="B1404" s="1" t="s">
        <v>4522</v>
      </c>
      <c r="C1404" s="1" t="s">
        <v>38</v>
      </c>
      <c r="D1404" s="1" t="s">
        <v>1781</v>
      </c>
    </row>
    <row r="1405" spans="1:4">
      <c r="A1405" s="1" t="s">
        <v>4524</v>
      </c>
      <c r="B1405" s="1" t="s">
        <v>4523</v>
      </c>
      <c r="C1405" s="1" t="s">
        <v>38</v>
      </c>
      <c r="D1405" s="1" t="s">
        <v>1781</v>
      </c>
    </row>
    <row r="1406" spans="1:4">
      <c r="A1406" s="1" t="s">
        <v>4526</v>
      </c>
      <c r="B1406" s="1" t="s">
        <v>4525</v>
      </c>
      <c r="C1406" s="1" t="s">
        <v>38</v>
      </c>
      <c r="D1406" s="1" t="s">
        <v>1781</v>
      </c>
    </row>
    <row r="1407" spans="1:4">
      <c r="A1407" s="1" t="s">
        <v>4528</v>
      </c>
      <c r="B1407" s="1" t="s">
        <v>4527</v>
      </c>
      <c r="C1407" s="1" t="s">
        <v>38</v>
      </c>
      <c r="D1407" s="1" t="s">
        <v>1781</v>
      </c>
    </row>
    <row r="1408" spans="1:4">
      <c r="A1408" s="1" t="s">
        <v>172</v>
      </c>
      <c r="B1408" s="1" t="s">
        <v>4529</v>
      </c>
      <c r="C1408" s="1" t="s">
        <v>38</v>
      </c>
      <c r="D1408" s="1" t="s">
        <v>1781</v>
      </c>
    </row>
    <row r="1409" spans="1:4">
      <c r="A1409" s="1" t="s">
        <v>601</v>
      </c>
      <c r="B1409" s="1" t="s">
        <v>4530</v>
      </c>
      <c r="C1409" s="1" t="s">
        <v>38</v>
      </c>
      <c r="D1409" s="1" t="s">
        <v>1781</v>
      </c>
    </row>
    <row r="1410" spans="1:4">
      <c r="A1410" s="1" t="s">
        <v>4532</v>
      </c>
      <c r="B1410" s="1" t="s">
        <v>4531</v>
      </c>
      <c r="C1410" s="1" t="s">
        <v>38</v>
      </c>
      <c r="D1410" s="1" t="s">
        <v>1781</v>
      </c>
    </row>
    <row r="1411" spans="1:4">
      <c r="A1411" s="1" t="s">
        <v>1797</v>
      </c>
      <c r="B1411" s="1" t="s">
        <v>4533</v>
      </c>
      <c r="C1411" s="1" t="s">
        <v>38</v>
      </c>
      <c r="D1411" s="1" t="s">
        <v>1781</v>
      </c>
    </row>
    <row r="1412" spans="1:4">
      <c r="A1412" s="1" t="s">
        <v>4535</v>
      </c>
      <c r="B1412" s="1" t="s">
        <v>4534</v>
      </c>
      <c r="C1412" s="1" t="s">
        <v>38</v>
      </c>
      <c r="D1412" s="1" t="s">
        <v>1781</v>
      </c>
    </row>
    <row r="1413" spans="1:4">
      <c r="A1413" s="1" t="s">
        <v>4537</v>
      </c>
      <c r="B1413" s="1" t="s">
        <v>4536</v>
      </c>
      <c r="C1413" s="1" t="s">
        <v>38</v>
      </c>
      <c r="D1413" s="1" t="s">
        <v>1781</v>
      </c>
    </row>
    <row r="1414" spans="1:4">
      <c r="A1414" s="1" t="s">
        <v>4539</v>
      </c>
      <c r="B1414" s="1" t="s">
        <v>4538</v>
      </c>
      <c r="C1414" s="1" t="s">
        <v>38</v>
      </c>
      <c r="D1414" s="1" t="s">
        <v>1781</v>
      </c>
    </row>
    <row r="1415" spans="1:4">
      <c r="A1415" s="1" t="s">
        <v>4541</v>
      </c>
      <c r="B1415" s="1" t="s">
        <v>4540</v>
      </c>
      <c r="C1415" s="1" t="s">
        <v>38</v>
      </c>
      <c r="D1415" s="1" t="s">
        <v>1781</v>
      </c>
    </row>
    <row r="1416" spans="1:4">
      <c r="A1416" s="1" t="s">
        <v>4543</v>
      </c>
      <c r="B1416" s="1" t="s">
        <v>4542</v>
      </c>
      <c r="C1416" s="1" t="s">
        <v>38</v>
      </c>
      <c r="D1416" s="1" t="s">
        <v>1781</v>
      </c>
    </row>
    <row r="1417" spans="1:4">
      <c r="A1417" s="1" t="s">
        <v>4545</v>
      </c>
      <c r="B1417" s="1" t="s">
        <v>4544</v>
      </c>
      <c r="C1417" s="1" t="s">
        <v>38</v>
      </c>
      <c r="D1417" s="1" t="s">
        <v>1781</v>
      </c>
    </row>
    <row r="1418" spans="1:4">
      <c r="A1418" s="1" t="s">
        <v>4547</v>
      </c>
      <c r="B1418" s="1" t="s">
        <v>4546</v>
      </c>
      <c r="C1418" s="1" t="s">
        <v>38</v>
      </c>
      <c r="D1418" s="1" t="s">
        <v>1781</v>
      </c>
    </row>
    <row r="1419" spans="1:4">
      <c r="A1419" s="1" t="s">
        <v>1805</v>
      </c>
      <c r="B1419" s="1" t="s">
        <v>4548</v>
      </c>
      <c r="C1419" s="1" t="s">
        <v>38</v>
      </c>
      <c r="D1419" s="1" t="s">
        <v>1781</v>
      </c>
    </row>
    <row r="1420" spans="1:4">
      <c r="A1420" s="1" t="s">
        <v>4550</v>
      </c>
      <c r="B1420" s="1" t="s">
        <v>4549</v>
      </c>
      <c r="C1420" s="1" t="s">
        <v>38</v>
      </c>
      <c r="D1420" s="1" t="s">
        <v>1781</v>
      </c>
    </row>
    <row r="1421" spans="1:4">
      <c r="A1421" s="1" t="s">
        <v>1531</v>
      </c>
      <c r="B1421" s="1" t="s">
        <v>4551</v>
      </c>
      <c r="C1421" s="1" t="s">
        <v>38</v>
      </c>
      <c r="D1421" s="1" t="s">
        <v>1781</v>
      </c>
    </row>
    <row r="1422" spans="1:4">
      <c r="A1422" s="1" t="s">
        <v>4553</v>
      </c>
      <c r="B1422" s="1" t="s">
        <v>4552</v>
      </c>
      <c r="C1422" s="1" t="s">
        <v>38</v>
      </c>
      <c r="D1422" s="1" t="s">
        <v>1781</v>
      </c>
    </row>
    <row r="1423" spans="1:4">
      <c r="A1423" s="1" t="s">
        <v>4555</v>
      </c>
      <c r="B1423" s="1" t="s">
        <v>4554</v>
      </c>
      <c r="C1423" s="1" t="s">
        <v>38</v>
      </c>
      <c r="D1423" s="1" t="s">
        <v>1781</v>
      </c>
    </row>
    <row r="1424" spans="1:4">
      <c r="A1424" s="1" t="s">
        <v>166</v>
      </c>
      <c r="B1424" s="1" t="s">
        <v>4556</v>
      </c>
      <c r="C1424" s="1" t="s">
        <v>38</v>
      </c>
      <c r="D1424" s="1" t="s">
        <v>1781</v>
      </c>
    </row>
    <row r="1425" spans="1:4">
      <c r="A1425" s="1" t="s">
        <v>4558</v>
      </c>
      <c r="B1425" s="1" t="s">
        <v>4557</v>
      </c>
      <c r="C1425" s="1" t="s">
        <v>38</v>
      </c>
      <c r="D1425" s="1" t="s">
        <v>1781</v>
      </c>
    </row>
    <row r="1426" spans="1:4">
      <c r="A1426" s="1" t="s">
        <v>4560</v>
      </c>
      <c r="B1426" s="1" t="s">
        <v>4559</v>
      </c>
      <c r="C1426" s="1" t="s">
        <v>38</v>
      </c>
      <c r="D1426" s="1" t="s">
        <v>1781</v>
      </c>
    </row>
    <row r="1427" spans="1:4">
      <c r="A1427" s="1" t="s">
        <v>4562</v>
      </c>
      <c r="B1427" s="1" t="s">
        <v>4561</v>
      </c>
      <c r="C1427" s="1" t="s">
        <v>38</v>
      </c>
      <c r="D1427" s="1" t="s">
        <v>1781</v>
      </c>
    </row>
    <row r="1428" spans="1:4">
      <c r="A1428" s="1" t="s">
        <v>1786</v>
      </c>
      <c r="B1428" s="1" t="s">
        <v>4563</v>
      </c>
      <c r="C1428" s="1" t="s">
        <v>38</v>
      </c>
      <c r="D1428" s="1" t="s">
        <v>1781</v>
      </c>
    </row>
    <row r="1429" spans="1:4">
      <c r="A1429" s="1" t="s">
        <v>4565</v>
      </c>
      <c r="B1429" s="1" t="s">
        <v>4564</v>
      </c>
      <c r="C1429" s="1" t="s">
        <v>38</v>
      </c>
      <c r="D1429" s="1" t="s">
        <v>1781</v>
      </c>
    </row>
    <row r="1430" spans="1:4">
      <c r="A1430" s="1" t="s">
        <v>960</v>
      </c>
      <c r="B1430" s="1" t="s">
        <v>4566</v>
      </c>
      <c r="C1430" s="1" t="s">
        <v>38</v>
      </c>
      <c r="D1430" s="1" t="s">
        <v>1781</v>
      </c>
    </row>
    <row r="1431" spans="1:4">
      <c r="A1431" s="1" t="s">
        <v>4568</v>
      </c>
      <c r="B1431" s="1" t="s">
        <v>4567</v>
      </c>
      <c r="C1431" s="1" t="s">
        <v>38</v>
      </c>
      <c r="D1431" s="1" t="s">
        <v>1781</v>
      </c>
    </row>
    <row r="1432" spans="1:4">
      <c r="A1432" s="1" t="s">
        <v>4570</v>
      </c>
      <c r="B1432" s="1" t="s">
        <v>4569</v>
      </c>
      <c r="C1432" s="1" t="s">
        <v>38</v>
      </c>
      <c r="D1432" s="1" t="s">
        <v>1781</v>
      </c>
    </row>
    <row r="1433" spans="1:4">
      <c r="A1433" s="1" t="s">
        <v>4572</v>
      </c>
      <c r="B1433" s="1" t="s">
        <v>4571</v>
      </c>
      <c r="C1433" s="1" t="s">
        <v>38</v>
      </c>
      <c r="D1433" s="1" t="s">
        <v>1781</v>
      </c>
    </row>
    <row r="1434" spans="1:4">
      <c r="A1434" s="1" t="s">
        <v>1806</v>
      </c>
      <c r="B1434" s="1" t="s">
        <v>4573</v>
      </c>
      <c r="C1434" s="1" t="s">
        <v>38</v>
      </c>
      <c r="D1434" s="1" t="s">
        <v>1781</v>
      </c>
    </row>
    <row r="1435" spans="1:4">
      <c r="A1435" s="1" t="s">
        <v>4575</v>
      </c>
      <c r="B1435" s="1" t="s">
        <v>4574</v>
      </c>
      <c r="C1435" s="1" t="s">
        <v>38</v>
      </c>
      <c r="D1435" s="1" t="s">
        <v>1781</v>
      </c>
    </row>
    <row r="1436" spans="1:4">
      <c r="A1436" s="1" t="s">
        <v>4577</v>
      </c>
      <c r="B1436" s="1" t="s">
        <v>4576</v>
      </c>
      <c r="C1436" s="1" t="s">
        <v>38</v>
      </c>
      <c r="D1436" s="1" t="s">
        <v>1781</v>
      </c>
    </row>
    <row r="1437" spans="1:4">
      <c r="A1437" s="1" t="s">
        <v>4579</v>
      </c>
      <c r="B1437" s="1" t="s">
        <v>4578</v>
      </c>
      <c r="C1437" s="1" t="s">
        <v>38</v>
      </c>
      <c r="D1437" s="1" t="s">
        <v>1781</v>
      </c>
    </row>
    <row r="1438" spans="1:4">
      <c r="A1438" s="1" t="s">
        <v>4581</v>
      </c>
      <c r="B1438" s="1" t="s">
        <v>4580</v>
      </c>
      <c r="C1438" s="1" t="s">
        <v>38</v>
      </c>
      <c r="D1438" s="1" t="s">
        <v>1781</v>
      </c>
    </row>
    <row r="1439" spans="1:4">
      <c r="A1439" s="1" t="s">
        <v>4583</v>
      </c>
      <c r="B1439" s="1" t="s">
        <v>4582</v>
      </c>
      <c r="C1439" s="1" t="s">
        <v>38</v>
      </c>
      <c r="D1439" s="1" t="s">
        <v>1781</v>
      </c>
    </row>
    <row r="1440" spans="1:4">
      <c r="A1440" s="1" t="s">
        <v>4585</v>
      </c>
      <c r="B1440" s="1" t="s">
        <v>4584</v>
      </c>
      <c r="C1440" s="1" t="s">
        <v>38</v>
      </c>
      <c r="D1440" s="1" t="s">
        <v>1781</v>
      </c>
    </row>
    <row r="1441" spans="1:4">
      <c r="A1441" s="1" t="s">
        <v>4587</v>
      </c>
      <c r="B1441" s="1" t="s">
        <v>4586</v>
      </c>
      <c r="C1441" s="1" t="s">
        <v>38</v>
      </c>
      <c r="D1441" s="1" t="s">
        <v>1781</v>
      </c>
    </row>
    <row r="1442" spans="1:4">
      <c r="A1442" s="1" t="s">
        <v>4589</v>
      </c>
      <c r="B1442" s="1" t="s">
        <v>4588</v>
      </c>
      <c r="C1442" s="1" t="s">
        <v>38</v>
      </c>
      <c r="D1442" s="1" t="s">
        <v>1781</v>
      </c>
    </row>
    <row r="1443" spans="1:4">
      <c r="A1443" s="1" t="s">
        <v>4591</v>
      </c>
      <c r="B1443" s="1" t="s">
        <v>4590</v>
      </c>
      <c r="C1443" s="1" t="s">
        <v>38</v>
      </c>
      <c r="D1443" s="1" t="s">
        <v>1781</v>
      </c>
    </row>
    <row r="1444" spans="1:4">
      <c r="A1444" s="1" t="s">
        <v>4593</v>
      </c>
      <c r="B1444" s="1" t="s">
        <v>4592</v>
      </c>
      <c r="C1444" s="1" t="s">
        <v>38</v>
      </c>
      <c r="D1444" s="1" t="s">
        <v>1781</v>
      </c>
    </row>
    <row r="1445" spans="1:4">
      <c r="A1445" s="1" t="s">
        <v>4595</v>
      </c>
      <c r="B1445" s="1" t="s">
        <v>4594</v>
      </c>
      <c r="C1445" s="1" t="s">
        <v>38</v>
      </c>
      <c r="D1445" s="1" t="s">
        <v>1781</v>
      </c>
    </row>
    <row r="1446" spans="1:4">
      <c r="A1446" s="1" t="s">
        <v>4597</v>
      </c>
      <c r="B1446" s="1" t="s">
        <v>4596</v>
      </c>
      <c r="C1446" s="1" t="s">
        <v>38</v>
      </c>
      <c r="D1446" s="1" t="s">
        <v>1781</v>
      </c>
    </row>
    <row r="1447" spans="1:4">
      <c r="A1447" s="1" t="s">
        <v>289</v>
      </c>
      <c r="B1447" s="1" t="s">
        <v>4598</v>
      </c>
      <c r="C1447" s="1" t="s">
        <v>38</v>
      </c>
      <c r="D1447" s="1" t="s">
        <v>1781</v>
      </c>
    </row>
    <row r="1448" spans="1:4">
      <c r="A1448" s="1" t="s">
        <v>4600</v>
      </c>
      <c r="B1448" s="1" t="s">
        <v>4599</v>
      </c>
      <c r="C1448" s="1" t="s">
        <v>38</v>
      </c>
      <c r="D1448" s="1" t="s">
        <v>1781</v>
      </c>
    </row>
    <row r="1449" spans="1:4">
      <c r="A1449" s="1" t="s">
        <v>4602</v>
      </c>
      <c r="B1449" s="1" t="s">
        <v>4601</v>
      </c>
      <c r="C1449" s="1" t="s">
        <v>38</v>
      </c>
      <c r="D1449" s="1" t="s">
        <v>1781</v>
      </c>
    </row>
    <row r="1450" spans="1:4">
      <c r="A1450" s="1" t="s">
        <v>4604</v>
      </c>
      <c r="B1450" s="1" t="s">
        <v>4603</v>
      </c>
      <c r="C1450" s="1" t="s">
        <v>38</v>
      </c>
      <c r="D1450" s="1" t="s">
        <v>1781</v>
      </c>
    </row>
    <row r="1451" spans="1:4">
      <c r="A1451" s="1" t="s">
        <v>4606</v>
      </c>
      <c r="B1451" s="1" t="s">
        <v>4605</v>
      </c>
      <c r="C1451" s="1" t="s">
        <v>38</v>
      </c>
      <c r="D1451" s="1" t="s">
        <v>1781</v>
      </c>
    </row>
    <row r="1452" spans="1:4">
      <c r="A1452" s="1" t="s">
        <v>4608</v>
      </c>
      <c r="B1452" s="1" t="s">
        <v>4607</v>
      </c>
      <c r="C1452" s="1" t="s">
        <v>38</v>
      </c>
      <c r="D1452" s="1" t="s">
        <v>1781</v>
      </c>
    </row>
    <row r="1453" spans="1:4">
      <c r="A1453" s="1" t="s">
        <v>1812</v>
      </c>
      <c r="B1453" s="1" t="s">
        <v>4609</v>
      </c>
      <c r="C1453" s="1" t="s">
        <v>38</v>
      </c>
      <c r="D1453" s="1" t="s">
        <v>1781</v>
      </c>
    </row>
    <row r="1454" spans="1:4">
      <c r="A1454" s="1" t="s">
        <v>4611</v>
      </c>
      <c r="B1454" s="1" t="s">
        <v>4610</v>
      </c>
      <c r="C1454" s="1" t="s">
        <v>38</v>
      </c>
      <c r="D1454" s="1" t="s">
        <v>1781</v>
      </c>
    </row>
    <row r="1455" spans="1:4">
      <c r="A1455" s="1" t="s">
        <v>1788</v>
      </c>
      <c r="B1455" s="1" t="s">
        <v>4612</v>
      </c>
      <c r="C1455" s="1" t="s">
        <v>38</v>
      </c>
      <c r="D1455" s="1" t="s">
        <v>1781</v>
      </c>
    </row>
    <row r="1456" spans="1:4">
      <c r="A1456" s="1" t="s">
        <v>4614</v>
      </c>
      <c r="B1456" s="1" t="s">
        <v>4613</v>
      </c>
      <c r="C1456" s="1" t="s">
        <v>38</v>
      </c>
      <c r="D1456" s="1" t="s">
        <v>1781</v>
      </c>
    </row>
    <row r="1457" spans="1:4">
      <c r="A1457" s="1" t="s">
        <v>502</v>
      </c>
      <c r="B1457" s="1" t="s">
        <v>4615</v>
      </c>
      <c r="C1457" s="1" t="s">
        <v>38</v>
      </c>
      <c r="D1457" s="1" t="s">
        <v>1781</v>
      </c>
    </row>
    <row r="1458" spans="1:4">
      <c r="A1458" s="1" t="s">
        <v>4617</v>
      </c>
      <c r="B1458" s="1" t="s">
        <v>4616</v>
      </c>
      <c r="C1458" s="1" t="s">
        <v>38</v>
      </c>
      <c r="D1458" s="1" t="s">
        <v>1781</v>
      </c>
    </row>
    <row r="1459" spans="1:4">
      <c r="A1459" s="1" t="s">
        <v>4619</v>
      </c>
      <c r="B1459" s="1" t="s">
        <v>4618</v>
      </c>
      <c r="C1459" s="1" t="s">
        <v>38</v>
      </c>
      <c r="D1459" s="1" t="s">
        <v>1781</v>
      </c>
    </row>
    <row r="1460" spans="1:4">
      <c r="A1460" s="1" t="s">
        <v>4621</v>
      </c>
      <c r="B1460" s="1" t="s">
        <v>4620</v>
      </c>
      <c r="C1460" s="1" t="s">
        <v>38</v>
      </c>
      <c r="D1460" s="1" t="s">
        <v>1781</v>
      </c>
    </row>
    <row r="1461" spans="1:4">
      <c r="A1461" s="1" t="s">
        <v>4623</v>
      </c>
      <c r="B1461" s="1" t="s">
        <v>4622</v>
      </c>
      <c r="C1461" s="1" t="s">
        <v>38</v>
      </c>
      <c r="D1461" s="1" t="s">
        <v>1781</v>
      </c>
    </row>
    <row r="1462" spans="1:4">
      <c r="A1462" s="1" t="s">
        <v>4625</v>
      </c>
      <c r="B1462" s="1" t="s">
        <v>4624</v>
      </c>
      <c r="C1462" s="1"/>
      <c r="D1462" s="1" t="s">
        <v>1781</v>
      </c>
    </row>
    <row r="1463" spans="1:4">
      <c r="A1463" s="1" t="s">
        <v>4627</v>
      </c>
      <c r="B1463" s="1" t="s">
        <v>4626</v>
      </c>
      <c r="C1463" s="1" t="s">
        <v>38</v>
      </c>
      <c r="D1463" s="1" t="s">
        <v>1781</v>
      </c>
    </row>
    <row r="1464" spans="1:4">
      <c r="A1464" s="1" t="s">
        <v>4629</v>
      </c>
      <c r="B1464" s="1" t="s">
        <v>4628</v>
      </c>
      <c r="C1464" s="1" t="s">
        <v>38</v>
      </c>
      <c r="D1464" s="1" t="s">
        <v>1781</v>
      </c>
    </row>
    <row r="1465" spans="1:4">
      <c r="A1465" s="1" t="s">
        <v>4631</v>
      </c>
      <c r="B1465" s="1" t="s">
        <v>4630</v>
      </c>
      <c r="C1465" s="1" t="s">
        <v>38</v>
      </c>
      <c r="D1465" s="1" t="s">
        <v>1781</v>
      </c>
    </row>
    <row r="1466" spans="1:4">
      <c r="A1466" s="1" t="s">
        <v>4633</v>
      </c>
      <c r="B1466" s="1" t="s">
        <v>4632</v>
      </c>
      <c r="C1466" s="1" t="s">
        <v>38</v>
      </c>
      <c r="D1466" s="1" t="s">
        <v>1781</v>
      </c>
    </row>
    <row r="1467" spans="1:4">
      <c r="A1467" s="1" t="s">
        <v>4635</v>
      </c>
      <c r="B1467" s="1" t="s">
        <v>4634</v>
      </c>
      <c r="C1467" s="1" t="s">
        <v>38</v>
      </c>
      <c r="D1467" s="1" t="s">
        <v>1781</v>
      </c>
    </row>
    <row r="1468" spans="1:4">
      <c r="A1468" s="1" t="s">
        <v>4637</v>
      </c>
      <c r="B1468" s="1" t="s">
        <v>4636</v>
      </c>
      <c r="C1468" s="1" t="s">
        <v>38</v>
      </c>
      <c r="D1468" s="1" t="s">
        <v>1781</v>
      </c>
    </row>
    <row r="1469" spans="1:4">
      <c r="A1469" s="1" t="s">
        <v>1795</v>
      </c>
      <c r="B1469" s="1" t="s">
        <v>4638</v>
      </c>
      <c r="C1469" s="1" t="s">
        <v>38</v>
      </c>
      <c r="D1469" s="1" t="s">
        <v>1781</v>
      </c>
    </row>
    <row r="1470" spans="1:4">
      <c r="A1470" s="1" t="s">
        <v>4640</v>
      </c>
      <c r="B1470" s="1" t="s">
        <v>4639</v>
      </c>
      <c r="C1470" s="1" t="s">
        <v>38</v>
      </c>
      <c r="D1470" s="1" t="s">
        <v>1781</v>
      </c>
    </row>
    <row r="1471" spans="1:4">
      <c r="A1471" s="1" t="s">
        <v>4642</v>
      </c>
      <c r="B1471" s="1" t="s">
        <v>4641</v>
      </c>
      <c r="C1471" s="1" t="s">
        <v>38</v>
      </c>
      <c r="D1471" s="1" t="s">
        <v>1781</v>
      </c>
    </row>
    <row r="1472" spans="1:4">
      <c r="A1472" s="1" t="s">
        <v>536</v>
      </c>
      <c r="B1472" s="1" t="s">
        <v>4643</v>
      </c>
      <c r="C1472" s="1" t="s">
        <v>38</v>
      </c>
      <c r="D1472" s="1" t="s">
        <v>1781</v>
      </c>
    </row>
    <row r="1473" spans="1:4">
      <c r="A1473" s="1" t="s">
        <v>366</v>
      </c>
      <c r="B1473" s="1" t="s">
        <v>4644</v>
      </c>
      <c r="C1473" s="1" t="s">
        <v>38</v>
      </c>
      <c r="D1473" s="1" t="s">
        <v>1781</v>
      </c>
    </row>
    <row r="1474" spans="1:4">
      <c r="A1474" s="1" t="s">
        <v>4646</v>
      </c>
      <c r="B1474" s="1" t="s">
        <v>4645</v>
      </c>
      <c r="C1474" s="1" t="s">
        <v>38</v>
      </c>
      <c r="D1474" s="1" t="s">
        <v>1781</v>
      </c>
    </row>
    <row r="1475" spans="1:4">
      <c r="A1475" s="1" t="s">
        <v>4648</v>
      </c>
      <c r="B1475" s="1" t="s">
        <v>4647</v>
      </c>
      <c r="C1475" s="1" t="s">
        <v>38</v>
      </c>
      <c r="D1475" s="1" t="s">
        <v>1781</v>
      </c>
    </row>
    <row r="1476" spans="1:4">
      <c r="A1476" s="1" t="s">
        <v>1809</v>
      </c>
      <c r="B1476" s="1" t="s">
        <v>4649</v>
      </c>
      <c r="C1476" s="1" t="s">
        <v>38</v>
      </c>
      <c r="D1476" s="1" t="s">
        <v>1781</v>
      </c>
    </row>
    <row r="1477" spans="1:4">
      <c r="A1477" s="1" t="s">
        <v>4651</v>
      </c>
      <c r="B1477" s="1" t="s">
        <v>4650</v>
      </c>
      <c r="C1477" s="1" t="s">
        <v>38</v>
      </c>
      <c r="D1477" s="1" t="s">
        <v>1781</v>
      </c>
    </row>
    <row r="1478" spans="1:4">
      <c r="A1478" s="1" t="s">
        <v>1804</v>
      </c>
      <c r="B1478" s="1" t="s">
        <v>4652</v>
      </c>
      <c r="C1478" s="1" t="s">
        <v>38</v>
      </c>
      <c r="D1478" s="1" t="s">
        <v>1781</v>
      </c>
    </row>
    <row r="1479" spans="1:4">
      <c r="A1479" s="1" t="s">
        <v>4654</v>
      </c>
      <c r="B1479" s="1" t="s">
        <v>4653</v>
      </c>
      <c r="C1479" s="1" t="s">
        <v>38</v>
      </c>
      <c r="D1479" s="1" t="s">
        <v>1781</v>
      </c>
    </row>
    <row r="1480" spans="1:4">
      <c r="A1480" s="1" t="s">
        <v>340</v>
      </c>
      <c r="B1480" s="1" t="s">
        <v>4655</v>
      </c>
      <c r="C1480" s="1" t="s">
        <v>38</v>
      </c>
      <c r="D1480" s="1" t="s">
        <v>1781</v>
      </c>
    </row>
    <row r="1481" spans="1:4">
      <c r="A1481" s="1" t="s">
        <v>4657</v>
      </c>
      <c r="B1481" s="1" t="s">
        <v>4656</v>
      </c>
      <c r="C1481" s="1" t="s">
        <v>38</v>
      </c>
      <c r="D1481" s="1" t="s">
        <v>1781</v>
      </c>
    </row>
    <row r="1482" spans="1:4">
      <c r="A1482" s="1" t="s">
        <v>4659</v>
      </c>
      <c r="B1482" s="1" t="s">
        <v>4658</v>
      </c>
      <c r="C1482" s="1" t="s">
        <v>38</v>
      </c>
      <c r="D1482" s="1" t="s">
        <v>1781</v>
      </c>
    </row>
    <row r="1483" spans="1:4">
      <c r="A1483" s="1" t="s">
        <v>4661</v>
      </c>
      <c r="B1483" s="1" t="s">
        <v>4660</v>
      </c>
      <c r="C1483" s="1" t="s">
        <v>38</v>
      </c>
      <c r="D1483" s="1" t="s">
        <v>1781</v>
      </c>
    </row>
    <row r="1484" spans="1:4">
      <c r="A1484" s="1" t="s">
        <v>4663</v>
      </c>
      <c r="B1484" s="1" t="s">
        <v>4662</v>
      </c>
      <c r="C1484" s="1" t="s">
        <v>38</v>
      </c>
      <c r="D1484" s="1" t="s">
        <v>1781</v>
      </c>
    </row>
    <row r="1485" spans="1:4">
      <c r="A1485" s="1" t="s">
        <v>317</v>
      </c>
      <c r="B1485" s="1" t="s">
        <v>4664</v>
      </c>
      <c r="C1485" s="1" t="s">
        <v>38</v>
      </c>
      <c r="D1485" s="1" t="s">
        <v>1781</v>
      </c>
    </row>
    <row r="1486" spans="1:4">
      <c r="A1486" s="1" t="s">
        <v>1798</v>
      </c>
      <c r="B1486" s="1" t="s">
        <v>4665</v>
      </c>
      <c r="C1486" s="1" t="s">
        <v>38</v>
      </c>
      <c r="D1486" s="1" t="s">
        <v>1781</v>
      </c>
    </row>
    <row r="1487" spans="1:4">
      <c r="A1487" s="1" t="s">
        <v>4667</v>
      </c>
      <c r="B1487" s="1" t="s">
        <v>4666</v>
      </c>
      <c r="C1487" s="1" t="s">
        <v>38</v>
      </c>
      <c r="D1487" s="1" t="s">
        <v>1781</v>
      </c>
    </row>
    <row r="1488" spans="1:4">
      <c r="A1488" s="1" t="s">
        <v>4669</v>
      </c>
      <c r="B1488" s="1" t="s">
        <v>4668</v>
      </c>
      <c r="C1488" s="1" t="s">
        <v>38</v>
      </c>
      <c r="D1488" s="1" t="s">
        <v>1781</v>
      </c>
    </row>
    <row r="1489" spans="1:4">
      <c r="A1489" s="1" t="s">
        <v>4671</v>
      </c>
      <c r="B1489" s="1" t="s">
        <v>4670</v>
      </c>
      <c r="C1489" s="1" t="s">
        <v>38</v>
      </c>
      <c r="D1489" s="1" t="s">
        <v>1781</v>
      </c>
    </row>
    <row r="1490" spans="1:4">
      <c r="A1490" s="1" t="s">
        <v>4673</v>
      </c>
      <c r="B1490" s="1" t="s">
        <v>4672</v>
      </c>
      <c r="C1490" s="1" t="s">
        <v>38</v>
      </c>
      <c r="D1490" s="1" t="s">
        <v>1781</v>
      </c>
    </row>
    <row r="1491" spans="1:4">
      <c r="A1491" s="1" t="s">
        <v>4675</v>
      </c>
      <c r="B1491" s="1" t="s">
        <v>4674</v>
      </c>
      <c r="C1491" s="1" t="s">
        <v>38</v>
      </c>
      <c r="D1491" s="1" t="s">
        <v>1781</v>
      </c>
    </row>
    <row r="1492" spans="1:4">
      <c r="A1492" s="1" t="s">
        <v>1794</v>
      </c>
      <c r="B1492" s="1" t="s">
        <v>4676</v>
      </c>
      <c r="C1492" s="1" t="s">
        <v>38</v>
      </c>
      <c r="D1492" s="1" t="s">
        <v>1781</v>
      </c>
    </row>
    <row r="1493" spans="1:4">
      <c r="A1493" s="1" t="s">
        <v>4678</v>
      </c>
      <c r="B1493" s="1" t="s">
        <v>4677</v>
      </c>
      <c r="C1493" s="1" t="s">
        <v>38</v>
      </c>
      <c r="D1493" s="1" t="s">
        <v>1781</v>
      </c>
    </row>
    <row r="1494" spans="1:4">
      <c r="A1494" s="1" t="s">
        <v>4680</v>
      </c>
      <c r="B1494" s="1" t="s">
        <v>4679</v>
      </c>
      <c r="C1494" s="1" t="s">
        <v>38</v>
      </c>
      <c r="D1494" s="1" t="s">
        <v>1781</v>
      </c>
    </row>
    <row r="1495" spans="1:4">
      <c r="A1495" s="1" t="s">
        <v>1513</v>
      </c>
      <c r="B1495" s="1" t="s">
        <v>4681</v>
      </c>
      <c r="C1495" s="1" t="s">
        <v>38</v>
      </c>
      <c r="D1495" s="1" t="s">
        <v>1781</v>
      </c>
    </row>
    <row r="1496" spans="1:4">
      <c r="A1496" s="1" t="s">
        <v>1813</v>
      </c>
      <c r="B1496" s="1" t="s">
        <v>4682</v>
      </c>
      <c r="C1496" s="1" t="s">
        <v>38</v>
      </c>
      <c r="D1496" s="1" t="s">
        <v>1781</v>
      </c>
    </row>
    <row r="1497" spans="1:4">
      <c r="A1497" s="1" t="s">
        <v>4684</v>
      </c>
      <c r="B1497" s="1" t="s">
        <v>4683</v>
      </c>
      <c r="C1497" s="1" t="s">
        <v>38</v>
      </c>
      <c r="D1497" s="1" t="s">
        <v>1781</v>
      </c>
    </row>
    <row r="1498" spans="1:4">
      <c r="A1498" s="1" t="s">
        <v>4686</v>
      </c>
      <c r="B1498" s="1" t="s">
        <v>4685</v>
      </c>
      <c r="C1498" s="1" t="s">
        <v>38</v>
      </c>
      <c r="D1498" s="1" t="s">
        <v>1781</v>
      </c>
    </row>
    <row r="1499" spans="1:4">
      <c r="A1499" s="1" t="s">
        <v>4688</v>
      </c>
      <c r="B1499" s="1" t="s">
        <v>4687</v>
      </c>
      <c r="C1499" s="1" t="s">
        <v>38</v>
      </c>
      <c r="D1499" s="1" t="s">
        <v>1781</v>
      </c>
    </row>
    <row r="1500" spans="1:4">
      <c r="A1500" s="1" t="s">
        <v>4690</v>
      </c>
      <c r="B1500" s="1" t="s">
        <v>4689</v>
      </c>
      <c r="C1500" s="1" t="s">
        <v>38</v>
      </c>
      <c r="D1500" s="1" t="s">
        <v>1781</v>
      </c>
    </row>
    <row r="1501" spans="1:4">
      <c r="A1501" s="1" t="s">
        <v>4692</v>
      </c>
      <c r="B1501" s="1" t="s">
        <v>4691</v>
      </c>
      <c r="C1501" s="1" t="s">
        <v>38</v>
      </c>
      <c r="D1501" s="1" t="s">
        <v>1781</v>
      </c>
    </row>
    <row r="1502" spans="1:4">
      <c r="A1502" s="1" t="s">
        <v>4694</v>
      </c>
      <c r="B1502" s="1" t="s">
        <v>4693</v>
      </c>
      <c r="C1502" s="1" t="s">
        <v>38</v>
      </c>
      <c r="D1502" s="1" t="s">
        <v>1781</v>
      </c>
    </row>
    <row r="1503" spans="1:4">
      <c r="A1503" s="1" t="s">
        <v>4696</v>
      </c>
      <c r="B1503" s="1" t="s">
        <v>4695</v>
      </c>
      <c r="C1503" s="1" t="s">
        <v>38</v>
      </c>
      <c r="D1503" s="1" t="s">
        <v>1781</v>
      </c>
    </row>
    <row r="1504" spans="1:4">
      <c r="A1504" s="1" t="s">
        <v>4698</v>
      </c>
      <c r="B1504" s="1" t="s">
        <v>4697</v>
      </c>
      <c r="C1504" s="1" t="s">
        <v>38</v>
      </c>
      <c r="D1504" s="1" t="s">
        <v>1781</v>
      </c>
    </row>
    <row r="1505" spans="1:4">
      <c r="A1505" s="1" t="s">
        <v>4700</v>
      </c>
      <c r="B1505" s="1" t="s">
        <v>4699</v>
      </c>
      <c r="C1505" s="1" t="s">
        <v>38</v>
      </c>
      <c r="D1505" s="1" t="s">
        <v>1781</v>
      </c>
    </row>
    <row r="1506" spans="1:4">
      <c r="A1506" s="1" t="s">
        <v>4702</v>
      </c>
      <c r="B1506" s="1" t="s">
        <v>4701</v>
      </c>
      <c r="C1506" s="1" t="s">
        <v>38</v>
      </c>
      <c r="D1506" s="1" t="s">
        <v>1781</v>
      </c>
    </row>
    <row r="1507" spans="1:4">
      <c r="A1507" s="1" t="s">
        <v>4704</v>
      </c>
      <c r="B1507" s="1" t="s">
        <v>4703</v>
      </c>
      <c r="C1507" s="1" t="s">
        <v>38</v>
      </c>
      <c r="D1507" s="1" t="s">
        <v>1781</v>
      </c>
    </row>
    <row r="1508" spans="1:4">
      <c r="A1508" s="1" t="s">
        <v>4706</v>
      </c>
      <c r="B1508" s="1" t="s">
        <v>4705</v>
      </c>
      <c r="C1508" s="1" t="s">
        <v>38</v>
      </c>
      <c r="D1508" s="1" t="s">
        <v>1781</v>
      </c>
    </row>
    <row r="1509" spans="1:4">
      <c r="A1509" s="1" t="s">
        <v>623</v>
      </c>
      <c r="B1509" s="1" t="s">
        <v>4707</v>
      </c>
      <c r="C1509" s="1" t="s">
        <v>38</v>
      </c>
      <c r="D1509" s="1" t="s">
        <v>1781</v>
      </c>
    </row>
    <row r="1510" spans="1:4">
      <c r="A1510" s="1" t="s">
        <v>4709</v>
      </c>
      <c r="B1510" s="1" t="s">
        <v>4708</v>
      </c>
      <c r="C1510" s="1" t="s">
        <v>38</v>
      </c>
      <c r="D1510" s="1" t="s">
        <v>1781</v>
      </c>
    </row>
    <row r="1511" spans="1:4">
      <c r="A1511" s="1" t="s">
        <v>591</v>
      </c>
      <c r="B1511" s="1" t="s">
        <v>4710</v>
      </c>
      <c r="C1511" s="1" t="s">
        <v>38</v>
      </c>
      <c r="D1511" s="1" t="s">
        <v>1781</v>
      </c>
    </row>
    <row r="1512" spans="1:4">
      <c r="A1512" s="1" t="s">
        <v>1851</v>
      </c>
      <c r="B1512" s="1" t="s">
        <v>4711</v>
      </c>
      <c r="C1512" s="1" t="s">
        <v>38</v>
      </c>
      <c r="D1512" s="1" t="s">
        <v>1781</v>
      </c>
    </row>
    <row r="1513" spans="1:4">
      <c r="A1513" s="1" t="s">
        <v>4713</v>
      </c>
      <c r="B1513" s="1" t="s">
        <v>4712</v>
      </c>
      <c r="C1513" s="1" t="s">
        <v>38</v>
      </c>
      <c r="D1513" s="1" t="s">
        <v>1781</v>
      </c>
    </row>
    <row r="1514" spans="1:4">
      <c r="A1514" s="1" t="s">
        <v>4715</v>
      </c>
      <c r="B1514" s="1" t="s">
        <v>4714</v>
      </c>
      <c r="C1514" s="1" t="s">
        <v>38</v>
      </c>
      <c r="D1514" s="1" t="s">
        <v>1781</v>
      </c>
    </row>
    <row r="1515" spans="1:4">
      <c r="A1515" s="1" t="s">
        <v>4717</v>
      </c>
      <c r="B1515" s="1" t="s">
        <v>4716</v>
      </c>
      <c r="C1515" s="1" t="s">
        <v>38</v>
      </c>
      <c r="D1515" s="1" t="s">
        <v>1781</v>
      </c>
    </row>
    <row r="1516" spans="1:4">
      <c r="A1516" s="1" t="s">
        <v>372</v>
      </c>
      <c r="B1516" s="1" t="s">
        <v>4718</v>
      </c>
      <c r="C1516" s="1" t="s">
        <v>38</v>
      </c>
      <c r="D1516" s="1" t="s">
        <v>1781</v>
      </c>
    </row>
    <row r="1517" spans="1:4">
      <c r="A1517" s="1" t="s">
        <v>4720</v>
      </c>
      <c r="B1517" s="1" t="s">
        <v>4719</v>
      </c>
      <c r="C1517" s="1" t="s">
        <v>38</v>
      </c>
      <c r="D1517" s="1" t="s">
        <v>1781</v>
      </c>
    </row>
    <row r="1518" spans="1:4">
      <c r="A1518" s="1" t="s">
        <v>4722</v>
      </c>
      <c r="B1518" s="1" t="s">
        <v>4721</v>
      </c>
      <c r="C1518" s="1" t="s">
        <v>38</v>
      </c>
      <c r="D1518" s="1" t="s">
        <v>1781</v>
      </c>
    </row>
    <row r="1519" spans="1:4">
      <c r="A1519" s="1" t="s">
        <v>4724</v>
      </c>
      <c r="B1519" s="1" t="s">
        <v>4723</v>
      </c>
      <c r="C1519" s="1" t="s">
        <v>38</v>
      </c>
      <c r="D1519" s="1" t="s">
        <v>1781</v>
      </c>
    </row>
    <row r="1520" spans="1:4">
      <c r="A1520" s="1" t="s">
        <v>4726</v>
      </c>
      <c r="B1520" s="1" t="s">
        <v>4725</v>
      </c>
      <c r="C1520" s="1" t="s">
        <v>38</v>
      </c>
      <c r="D1520" s="1" t="s">
        <v>1781</v>
      </c>
    </row>
    <row r="1521" spans="1:4">
      <c r="A1521" s="1" t="s">
        <v>4728</v>
      </c>
      <c r="B1521" s="1" t="s">
        <v>4727</v>
      </c>
      <c r="C1521" s="1" t="s">
        <v>38</v>
      </c>
      <c r="D1521" s="1" t="s">
        <v>1781</v>
      </c>
    </row>
    <row r="1522" spans="1:4">
      <c r="A1522" s="1" t="s">
        <v>4730</v>
      </c>
      <c r="B1522" s="1" t="s">
        <v>4729</v>
      </c>
      <c r="C1522" s="1" t="s">
        <v>38</v>
      </c>
      <c r="D1522" s="1" t="s">
        <v>1781</v>
      </c>
    </row>
    <row r="1523" spans="1:4">
      <c r="A1523" s="1" t="s">
        <v>4732</v>
      </c>
      <c r="B1523" s="1" t="s">
        <v>4731</v>
      </c>
      <c r="C1523" s="1" t="s">
        <v>38</v>
      </c>
      <c r="D1523" s="1" t="s">
        <v>1781</v>
      </c>
    </row>
    <row r="1524" spans="1:4">
      <c r="A1524" s="1" t="s">
        <v>332</v>
      </c>
      <c r="B1524" s="1" t="s">
        <v>4733</v>
      </c>
      <c r="C1524" s="1" t="s">
        <v>38</v>
      </c>
      <c r="D1524" s="1" t="s">
        <v>1781</v>
      </c>
    </row>
    <row r="1525" spans="1:4">
      <c r="A1525" s="1" t="s">
        <v>4735</v>
      </c>
      <c r="B1525" s="1" t="s">
        <v>4734</v>
      </c>
      <c r="C1525" s="1" t="s">
        <v>38</v>
      </c>
      <c r="D1525" s="1" t="s">
        <v>1781</v>
      </c>
    </row>
    <row r="1526" spans="1:4">
      <c r="A1526" s="1" t="s">
        <v>1807</v>
      </c>
      <c r="B1526" s="1" t="s">
        <v>4736</v>
      </c>
      <c r="C1526" s="1" t="s">
        <v>38</v>
      </c>
      <c r="D1526" s="1" t="s">
        <v>1781</v>
      </c>
    </row>
    <row r="1527" spans="1:4">
      <c r="A1527" s="1" t="s">
        <v>4738</v>
      </c>
      <c r="B1527" s="1" t="s">
        <v>4737</v>
      </c>
      <c r="C1527" s="1" t="s">
        <v>38</v>
      </c>
      <c r="D1527" s="1" t="s">
        <v>1781</v>
      </c>
    </row>
    <row r="1528" spans="1:4">
      <c r="A1528" s="1" t="s">
        <v>4740</v>
      </c>
      <c r="B1528" s="1" t="s">
        <v>4739</v>
      </c>
      <c r="C1528" s="1" t="s">
        <v>38</v>
      </c>
      <c r="D1528" s="1" t="s">
        <v>1781</v>
      </c>
    </row>
    <row r="1529" spans="1:4">
      <c r="A1529" s="1" t="s">
        <v>213</v>
      </c>
      <c r="B1529" s="1" t="s">
        <v>4741</v>
      </c>
      <c r="C1529" s="1" t="s">
        <v>38</v>
      </c>
      <c r="D1529" s="1" t="s">
        <v>1781</v>
      </c>
    </row>
    <row r="1530" spans="1:4">
      <c r="A1530" s="1" t="s">
        <v>4743</v>
      </c>
      <c r="B1530" s="1" t="s">
        <v>4742</v>
      </c>
      <c r="C1530" s="1" t="s">
        <v>38</v>
      </c>
      <c r="D1530" s="1" t="s">
        <v>1781</v>
      </c>
    </row>
    <row r="1531" spans="1:4">
      <c r="A1531" s="1" t="s">
        <v>4745</v>
      </c>
      <c r="B1531" s="1" t="s">
        <v>4744</v>
      </c>
      <c r="C1531" s="1" t="s">
        <v>38</v>
      </c>
      <c r="D1531" s="1" t="s">
        <v>1781</v>
      </c>
    </row>
    <row r="1532" spans="1:4">
      <c r="A1532" s="1" t="s">
        <v>4747</v>
      </c>
      <c r="B1532" s="1" t="s">
        <v>4746</v>
      </c>
      <c r="C1532" s="1" t="s">
        <v>38</v>
      </c>
      <c r="D1532" s="1" t="s">
        <v>1781</v>
      </c>
    </row>
    <row r="1533" spans="1:4">
      <c r="A1533" s="1" t="s">
        <v>4749</v>
      </c>
      <c r="B1533" s="1" t="s">
        <v>4748</v>
      </c>
      <c r="C1533" s="1" t="s">
        <v>38</v>
      </c>
      <c r="D1533" s="1" t="s">
        <v>1781</v>
      </c>
    </row>
    <row r="1534" spans="1:4">
      <c r="A1534" s="1" t="s">
        <v>4751</v>
      </c>
      <c r="B1534" s="1" t="s">
        <v>4750</v>
      </c>
      <c r="C1534" s="1" t="s">
        <v>38</v>
      </c>
      <c r="D1534" s="1" t="s">
        <v>1781</v>
      </c>
    </row>
    <row r="1535" spans="1:4">
      <c r="A1535" s="1" t="s">
        <v>4753</v>
      </c>
      <c r="B1535" s="1" t="s">
        <v>4752</v>
      </c>
      <c r="C1535" s="1" t="s">
        <v>38</v>
      </c>
      <c r="D1535" s="1" t="s">
        <v>1781</v>
      </c>
    </row>
    <row r="1536" spans="1:4">
      <c r="A1536" s="1" t="s">
        <v>232</v>
      </c>
      <c r="B1536" s="1" t="s">
        <v>4754</v>
      </c>
      <c r="C1536" s="1" t="s">
        <v>38</v>
      </c>
      <c r="D1536" s="1" t="s">
        <v>1781</v>
      </c>
    </row>
    <row r="1537" spans="1:4">
      <c r="A1537" s="1" t="s">
        <v>4756</v>
      </c>
      <c r="B1537" s="1" t="s">
        <v>4755</v>
      </c>
      <c r="C1537" s="1" t="s">
        <v>38</v>
      </c>
      <c r="D1537" s="1" t="s">
        <v>1781</v>
      </c>
    </row>
    <row r="1538" spans="1:4">
      <c r="A1538" s="1" t="s">
        <v>4758</v>
      </c>
      <c r="B1538" s="1" t="s">
        <v>4757</v>
      </c>
      <c r="C1538" s="1" t="s">
        <v>38</v>
      </c>
      <c r="D1538" s="1" t="s">
        <v>1781</v>
      </c>
    </row>
    <row r="1539" spans="1:4">
      <c r="A1539" s="1" t="s">
        <v>4760</v>
      </c>
      <c r="B1539" s="1" t="s">
        <v>4759</v>
      </c>
      <c r="C1539" s="1" t="s">
        <v>38</v>
      </c>
      <c r="D1539" s="1" t="s">
        <v>1781</v>
      </c>
    </row>
    <row r="1540" spans="1:4">
      <c r="A1540" s="1" t="s">
        <v>4762</v>
      </c>
      <c r="B1540" s="1" t="s">
        <v>4761</v>
      </c>
      <c r="C1540" s="1" t="s">
        <v>38</v>
      </c>
      <c r="D1540" s="1" t="s">
        <v>1781</v>
      </c>
    </row>
    <row r="1541" spans="1:4">
      <c r="A1541" s="1" t="s">
        <v>1847</v>
      </c>
      <c r="B1541" s="1" t="s">
        <v>4763</v>
      </c>
      <c r="C1541" s="1" t="s">
        <v>38</v>
      </c>
      <c r="D1541" s="1" t="s">
        <v>1781</v>
      </c>
    </row>
    <row r="1542" spans="1:4">
      <c r="A1542" s="1" t="s">
        <v>4765</v>
      </c>
      <c r="B1542" s="1" t="s">
        <v>4764</v>
      </c>
      <c r="C1542" s="1" t="s">
        <v>38</v>
      </c>
      <c r="D1542" s="1" t="s">
        <v>1781</v>
      </c>
    </row>
    <row r="1543" spans="1:4">
      <c r="A1543" s="1" t="s">
        <v>4767</v>
      </c>
      <c r="B1543" s="1" t="s">
        <v>4766</v>
      </c>
      <c r="C1543" s="1" t="s">
        <v>38</v>
      </c>
      <c r="D1543" s="1" t="s">
        <v>1781</v>
      </c>
    </row>
    <row r="1544" spans="1:4">
      <c r="A1544" s="1" t="s">
        <v>4769</v>
      </c>
      <c r="B1544" s="1" t="s">
        <v>4768</v>
      </c>
      <c r="C1544" s="1"/>
      <c r="D1544" s="1" t="s">
        <v>1781</v>
      </c>
    </row>
    <row r="1545" spans="1:4">
      <c r="A1545" s="1" t="s">
        <v>4771</v>
      </c>
      <c r="B1545" s="1" t="s">
        <v>4770</v>
      </c>
      <c r="C1545" s="1" t="s">
        <v>38</v>
      </c>
      <c r="D1545" s="1" t="s">
        <v>1781</v>
      </c>
    </row>
    <row r="1546" spans="1:4">
      <c r="A1546" s="1" t="s">
        <v>4773</v>
      </c>
      <c r="B1546" s="1" t="s">
        <v>4772</v>
      </c>
      <c r="C1546" s="1" t="s">
        <v>38</v>
      </c>
      <c r="D1546" s="1" t="s">
        <v>1781</v>
      </c>
    </row>
    <row r="1547" spans="1:4">
      <c r="A1547" s="1" t="s">
        <v>1255</v>
      </c>
      <c r="B1547" s="1" t="s">
        <v>4774</v>
      </c>
      <c r="C1547" s="1" t="s">
        <v>38</v>
      </c>
      <c r="D1547" s="1" t="s">
        <v>1781</v>
      </c>
    </row>
    <row r="1548" spans="1:4">
      <c r="A1548" s="1" t="s">
        <v>1789</v>
      </c>
      <c r="B1548" s="1" t="s">
        <v>4775</v>
      </c>
      <c r="C1548" s="1" t="s">
        <v>38</v>
      </c>
      <c r="D1548" s="1" t="s">
        <v>1781</v>
      </c>
    </row>
    <row r="1549" spans="1:4">
      <c r="A1549" s="1" t="s">
        <v>4777</v>
      </c>
      <c r="B1549" s="1" t="s">
        <v>4776</v>
      </c>
      <c r="C1549" s="1" t="s">
        <v>38</v>
      </c>
      <c r="D1549" s="1" t="s">
        <v>1781</v>
      </c>
    </row>
    <row r="1550" spans="1:4">
      <c r="A1550" s="1" t="s">
        <v>4779</v>
      </c>
      <c r="B1550" s="1" t="s">
        <v>4778</v>
      </c>
      <c r="C1550" s="1" t="s">
        <v>38</v>
      </c>
      <c r="D1550" s="1" t="s">
        <v>1781</v>
      </c>
    </row>
    <row r="1551" spans="1:4">
      <c r="A1551" s="1" t="s">
        <v>4781</v>
      </c>
      <c r="B1551" s="1" t="s">
        <v>4780</v>
      </c>
      <c r="C1551" s="1" t="s">
        <v>38</v>
      </c>
      <c r="D1551" s="1" t="s">
        <v>1781</v>
      </c>
    </row>
    <row r="1552" spans="1:4">
      <c r="A1552" s="1" t="s">
        <v>4783</v>
      </c>
      <c r="B1552" s="1" t="s">
        <v>4782</v>
      </c>
      <c r="C1552" s="1" t="s">
        <v>38</v>
      </c>
      <c r="D1552" s="1" t="s">
        <v>1781</v>
      </c>
    </row>
    <row r="1553" spans="1:4">
      <c r="A1553" s="1" t="s">
        <v>4785</v>
      </c>
      <c r="B1553" s="1" t="s">
        <v>4784</v>
      </c>
      <c r="C1553" s="1" t="s">
        <v>38</v>
      </c>
      <c r="D1553" s="1" t="s">
        <v>1781</v>
      </c>
    </row>
    <row r="1554" spans="1:4">
      <c r="A1554" s="1" t="s">
        <v>4787</v>
      </c>
      <c r="B1554" s="1" t="s">
        <v>4786</v>
      </c>
      <c r="C1554" s="1" t="s">
        <v>38</v>
      </c>
      <c r="D1554" s="1" t="s">
        <v>1781</v>
      </c>
    </row>
    <row r="1555" spans="1:4">
      <c r="A1555" s="1" t="s">
        <v>4789</v>
      </c>
      <c r="B1555" s="1" t="s">
        <v>4788</v>
      </c>
      <c r="C1555" s="1" t="s">
        <v>38</v>
      </c>
      <c r="D1555" s="1" t="s">
        <v>1781</v>
      </c>
    </row>
    <row r="1556" spans="1:4">
      <c r="A1556" s="1" t="s">
        <v>4791</v>
      </c>
      <c r="B1556" s="1" t="s">
        <v>4790</v>
      </c>
      <c r="C1556" s="1" t="s">
        <v>38</v>
      </c>
      <c r="D1556" s="1" t="s">
        <v>1781</v>
      </c>
    </row>
    <row r="1557" spans="1:4">
      <c r="A1557" s="1" t="s">
        <v>4793</v>
      </c>
      <c r="B1557" s="1" t="s">
        <v>4792</v>
      </c>
      <c r="C1557" s="1" t="s">
        <v>38</v>
      </c>
      <c r="D1557" s="1" t="s">
        <v>1781</v>
      </c>
    </row>
    <row r="1558" spans="1:4">
      <c r="A1558" s="1" t="s">
        <v>4795</v>
      </c>
      <c r="B1558" s="1" t="s">
        <v>4794</v>
      </c>
      <c r="C1558" s="1" t="s">
        <v>38</v>
      </c>
      <c r="D1558" s="1" t="s">
        <v>1781</v>
      </c>
    </row>
    <row r="1559" spans="1:4">
      <c r="A1559" s="1" t="s">
        <v>1810</v>
      </c>
      <c r="B1559" s="1" t="s">
        <v>4796</v>
      </c>
      <c r="C1559" s="1" t="s">
        <v>38</v>
      </c>
      <c r="D1559" s="1" t="s">
        <v>1781</v>
      </c>
    </row>
    <row r="1560" spans="1:4">
      <c r="A1560" s="1" t="s">
        <v>4798</v>
      </c>
      <c r="B1560" s="1" t="s">
        <v>4797</v>
      </c>
      <c r="C1560" s="1" t="s">
        <v>38</v>
      </c>
      <c r="D1560" s="1" t="s">
        <v>1781</v>
      </c>
    </row>
    <row r="1561" spans="1:4">
      <c r="A1561" s="1" t="s">
        <v>4800</v>
      </c>
      <c r="B1561" s="1" t="s">
        <v>4799</v>
      </c>
      <c r="C1561" s="1" t="s">
        <v>38</v>
      </c>
      <c r="D1561" s="1" t="s">
        <v>1781</v>
      </c>
    </row>
    <row r="1562" spans="1:4">
      <c r="A1562" s="1" t="s">
        <v>952</v>
      </c>
      <c r="B1562" s="1" t="s">
        <v>4801</v>
      </c>
      <c r="C1562" s="1" t="s">
        <v>38</v>
      </c>
      <c r="D1562" s="1" t="s">
        <v>1781</v>
      </c>
    </row>
    <row r="1563" spans="1:4">
      <c r="A1563" s="1" t="s">
        <v>4803</v>
      </c>
      <c r="B1563" s="1" t="s">
        <v>4802</v>
      </c>
      <c r="C1563" s="1" t="s">
        <v>38</v>
      </c>
      <c r="D1563" s="1" t="s">
        <v>1781</v>
      </c>
    </row>
    <row r="1564" spans="1:4">
      <c r="A1564" s="1" t="s">
        <v>4805</v>
      </c>
      <c r="B1564" s="1" t="s">
        <v>4804</v>
      </c>
      <c r="C1564" s="1" t="s">
        <v>38</v>
      </c>
      <c r="D1564" s="1" t="s">
        <v>1781</v>
      </c>
    </row>
    <row r="1565" spans="1:4">
      <c r="A1565" s="1" t="s">
        <v>4807</v>
      </c>
      <c r="B1565" s="1" t="s">
        <v>4806</v>
      </c>
      <c r="C1565" s="1" t="s">
        <v>38</v>
      </c>
      <c r="D1565" s="1" t="s">
        <v>1781</v>
      </c>
    </row>
    <row r="1566" spans="1:4">
      <c r="A1566" s="1" t="s">
        <v>4809</v>
      </c>
      <c r="B1566" s="1" t="s">
        <v>4808</v>
      </c>
      <c r="C1566" s="1" t="s">
        <v>38</v>
      </c>
      <c r="D1566" s="1" t="s">
        <v>1781</v>
      </c>
    </row>
    <row r="1567" spans="1:4">
      <c r="A1567" s="1" t="s">
        <v>4811</v>
      </c>
      <c r="B1567" s="1" t="s">
        <v>4810</v>
      </c>
      <c r="C1567" s="1" t="s">
        <v>38</v>
      </c>
      <c r="D1567" s="1" t="s">
        <v>1781</v>
      </c>
    </row>
    <row r="1568" spans="1:4">
      <c r="A1568" s="1" t="s">
        <v>4813</v>
      </c>
      <c r="B1568" s="1" t="s">
        <v>4812</v>
      </c>
      <c r="C1568" s="1" t="s">
        <v>38</v>
      </c>
      <c r="D1568" s="1" t="s">
        <v>1781</v>
      </c>
    </row>
    <row r="1569" spans="1:4">
      <c r="A1569" s="1" t="s">
        <v>4815</v>
      </c>
      <c r="B1569" s="1" t="s">
        <v>4814</v>
      </c>
      <c r="C1569" s="1" t="s">
        <v>38</v>
      </c>
      <c r="D1569" s="1" t="s">
        <v>1781</v>
      </c>
    </row>
    <row r="1570" spans="1:4">
      <c r="A1570" s="1" t="s">
        <v>342</v>
      </c>
      <c r="B1570" s="1" t="s">
        <v>4816</v>
      </c>
      <c r="C1570" s="1" t="s">
        <v>38</v>
      </c>
      <c r="D1570" s="1" t="s">
        <v>1781</v>
      </c>
    </row>
    <row r="1571" spans="1:4">
      <c r="A1571" s="1" t="s">
        <v>4818</v>
      </c>
      <c r="B1571" s="1" t="s">
        <v>4817</v>
      </c>
      <c r="C1571" s="1" t="s">
        <v>38</v>
      </c>
      <c r="D1571" s="1" t="s">
        <v>1781</v>
      </c>
    </row>
    <row r="1572" spans="1:4">
      <c r="A1572" s="1" t="s">
        <v>4820</v>
      </c>
      <c r="B1572" s="1" t="s">
        <v>4819</v>
      </c>
      <c r="C1572" s="1" t="s">
        <v>38</v>
      </c>
      <c r="D1572" s="1" t="s">
        <v>1781</v>
      </c>
    </row>
    <row r="1573" spans="1:4">
      <c r="A1573" s="1" t="s">
        <v>4822</v>
      </c>
      <c r="B1573" s="1" t="s">
        <v>4821</v>
      </c>
      <c r="C1573" s="1" t="s">
        <v>38</v>
      </c>
      <c r="D1573" s="1" t="s">
        <v>1781</v>
      </c>
    </row>
    <row r="1574" spans="1:4">
      <c r="A1574" s="1" t="s">
        <v>1811</v>
      </c>
      <c r="B1574" s="1" t="s">
        <v>4823</v>
      </c>
      <c r="C1574" s="1" t="s">
        <v>38</v>
      </c>
      <c r="D1574" s="1" t="s">
        <v>1781</v>
      </c>
    </row>
    <row r="1575" spans="1:4">
      <c r="A1575" s="1" t="s">
        <v>4825</v>
      </c>
      <c r="B1575" s="1" t="s">
        <v>4824</v>
      </c>
      <c r="C1575" s="1" t="s">
        <v>38</v>
      </c>
      <c r="D1575" s="1" t="s">
        <v>1781</v>
      </c>
    </row>
    <row r="1576" spans="1:4">
      <c r="A1576" s="1" t="s">
        <v>4827</v>
      </c>
      <c r="B1576" s="1" t="s">
        <v>4826</v>
      </c>
      <c r="C1576" s="1" t="s">
        <v>38</v>
      </c>
      <c r="D1576" s="1" t="s">
        <v>1781</v>
      </c>
    </row>
    <row r="1577" spans="1:4">
      <c r="A1577" s="1" t="s">
        <v>4829</v>
      </c>
      <c r="B1577" s="1" t="s">
        <v>4828</v>
      </c>
      <c r="C1577" s="1" t="s">
        <v>38</v>
      </c>
      <c r="D1577" s="1" t="s">
        <v>1781</v>
      </c>
    </row>
    <row r="1578" spans="1:4">
      <c r="A1578" s="1" t="s">
        <v>4831</v>
      </c>
      <c r="B1578" s="1" t="s">
        <v>4830</v>
      </c>
      <c r="C1578" s="1" t="s">
        <v>38</v>
      </c>
      <c r="D1578" s="1" t="s">
        <v>1781</v>
      </c>
    </row>
    <row r="1579" spans="1:4">
      <c r="A1579" s="1" t="s">
        <v>1796</v>
      </c>
      <c r="B1579" s="1" t="s">
        <v>4832</v>
      </c>
      <c r="C1579" s="1" t="s">
        <v>38</v>
      </c>
      <c r="D1579" s="1" t="s">
        <v>1781</v>
      </c>
    </row>
    <row r="1580" spans="1:4">
      <c r="A1580" s="1" t="s">
        <v>4834</v>
      </c>
      <c r="B1580" s="1" t="s">
        <v>4833</v>
      </c>
      <c r="C1580" s="1" t="s">
        <v>38</v>
      </c>
      <c r="D1580" s="1" t="s">
        <v>1781</v>
      </c>
    </row>
    <row r="1581" spans="1:4">
      <c r="A1581" s="1" t="s">
        <v>4836</v>
      </c>
      <c r="B1581" s="1" t="s">
        <v>4835</v>
      </c>
      <c r="C1581" s="1" t="s">
        <v>38</v>
      </c>
      <c r="D1581" s="1" t="s">
        <v>1781</v>
      </c>
    </row>
    <row r="1582" spans="1:4">
      <c r="A1582" s="1" t="s">
        <v>4838</v>
      </c>
      <c r="B1582" s="1" t="s">
        <v>4837</v>
      </c>
      <c r="C1582" s="1" t="s">
        <v>38</v>
      </c>
      <c r="D1582" s="1" t="s">
        <v>1781</v>
      </c>
    </row>
    <row r="1583" spans="1:4">
      <c r="A1583" s="1" t="s">
        <v>4840</v>
      </c>
      <c r="B1583" s="1" t="s">
        <v>4839</v>
      </c>
      <c r="C1583" s="1" t="s">
        <v>38</v>
      </c>
      <c r="D1583" s="1" t="s">
        <v>1781</v>
      </c>
    </row>
    <row r="1584" spans="1:4">
      <c r="A1584" s="1" t="s">
        <v>161</v>
      </c>
      <c r="B1584" s="1" t="s">
        <v>4841</v>
      </c>
      <c r="C1584" s="1" t="s">
        <v>38</v>
      </c>
      <c r="D1584" s="1" t="s">
        <v>1781</v>
      </c>
    </row>
    <row r="1585" spans="1:4">
      <c r="A1585" s="1" t="s">
        <v>4843</v>
      </c>
      <c r="B1585" s="1" t="s">
        <v>4842</v>
      </c>
      <c r="C1585" s="1" t="s">
        <v>38</v>
      </c>
      <c r="D1585" s="1" t="s">
        <v>1781</v>
      </c>
    </row>
    <row r="1586" spans="1:4">
      <c r="A1586" s="1" t="s">
        <v>4845</v>
      </c>
      <c r="B1586" s="1" t="s">
        <v>4844</v>
      </c>
      <c r="C1586" s="1" t="s">
        <v>38</v>
      </c>
      <c r="D1586" s="1" t="s">
        <v>1781</v>
      </c>
    </row>
    <row r="1587" spans="1:4">
      <c r="A1587" s="1" t="s">
        <v>4847</v>
      </c>
      <c r="B1587" s="1" t="s">
        <v>4846</v>
      </c>
      <c r="C1587" s="1" t="s">
        <v>38</v>
      </c>
      <c r="D1587" s="1" t="s">
        <v>1781</v>
      </c>
    </row>
    <row r="1588" spans="1:4">
      <c r="A1588" s="1" t="s">
        <v>4849</v>
      </c>
      <c r="B1588" s="1" t="s">
        <v>4848</v>
      </c>
      <c r="C1588" s="1" t="s">
        <v>38</v>
      </c>
      <c r="D1588" s="1" t="s">
        <v>1781</v>
      </c>
    </row>
    <row r="1589" spans="1:4">
      <c r="A1589" s="1" t="s">
        <v>4851</v>
      </c>
      <c r="B1589" s="1" t="s">
        <v>4850</v>
      </c>
      <c r="C1589" s="1" t="s">
        <v>38</v>
      </c>
      <c r="D1589" s="1" t="s">
        <v>1781</v>
      </c>
    </row>
    <row r="1590" spans="1:4">
      <c r="A1590" s="1" t="s">
        <v>354</v>
      </c>
      <c r="B1590" s="1" t="s">
        <v>4852</v>
      </c>
      <c r="C1590" s="1" t="s">
        <v>38</v>
      </c>
      <c r="D1590" s="1" t="s">
        <v>1781</v>
      </c>
    </row>
    <row r="1591" spans="1:4">
      <c r="A1591" s="1" t="s">
        <v>1525</v>
      </c>
      <c r="B1591" s="1" t="s">
        <v>4853</v>
      </c>
      <c r="C1591" s="1" t="s">
        <v>38</v>
      </c>
      <c r="D1591" s="1" t="s">
        <v>1781</v>
      </c>
    </row>
    <row r="1592" spans="1:4">
      <c r="A1592" s="1" t="s">
        <v>4855</v>
      </c>
      <c r="B1592" s="1" t="s">
        <v>4854</v>
      </c>
      <c r="C1592" s="1" t="s">
        <v>38</v>
      </c>
      <c r="D1592" s="1" t="s">
        <v>1781</v>
      </c>
    </row>
    <row r="1593" spans="1:4">
      <c r="A1593" s="1" t="s">
        <v>4857</v>
      </c>
      <c r="B1593" s="1" t="s">
        <v>4856</v>
      </c>
      <c r="C1593" s="1" t="s">
        <v>38</v>
      </c>
      <c r="D1593" s="1" t="s">
        <v>1781</v>
      </c>
    </row>
    <row r="1594" spans="1:4">
      <c r="A1594" s="1" t="s">
        <v>1799</v>
      </c>
      <c r="B1594" s="1" t="s">
        <v>4858</v>
      </c>
      <c r="C1594" s="1" t="s">
        <v>38</v>
      </c>
      <c r="D1594" s="1" t="s">
        <v>1781</v>
      </c>
    </row>
    <row r="1595" spans="1:4">
      <c r="A1595" s="1" t="s">
        <v>4860</v>
      </c>
      <c r="B1595" s="1" t="s">
        <v>4859</v>
      </c>
      <c r="C1595" s="1" t="s">
        <v>38</v>
      </c>
      <c r="D1595" s="1" t="s">
        <v>1781</v>
      </c>
    </row>
    <row r="1596" spans="1:4">
      <c r="A1596" s="1" t="s">
        <v>4862</v>
      </c>
      <c r="B1596" s="1" t="s">
        <v>4861</v>
      </c>
      <c r="C1596" s="1" t="s">
        <v>38</v>
      </c>
      <c r="D1596" s="1" t="s">
        <v>1781</v>
      </c>
    </row>
    <row r="1597" spans="1:4">
      <c r="A1597" s="1" t="s">
        <v>4864</v>
      </c>
      <c r="B1597" s="1" t="s">
        <v>4863</v>
      </c>
      <c r="C1597" s="1" t="s">
        <v>38</v>
      </c>
      <c r="D1597" s="1" t="s">
        <v>1781</v>
      </c>
    </row>
    <row r="1598" spans="1:4">
      <c r="A1598" s="1" t="s">
        <v>4866</v>
      </c>
      <c r="B1598" s="1" t="s">
        <v>4865</v>
      </c>
      <c r="C1598" s="1" t="s">
        <v>38</v>
      </c>
      <c r="D1598" s="1" t="s">
        <v>1781</v>
      </c>
    </row>
    <row r="1599" spans="1:4">
      <c r="A1599" s="1" t="s">
        <v>4868</v>
      </c>
      <c r="B1599" s="1" t="s">
        <v>4867</v>
      </c>
      <c r="C1599" s="1" t="s">
        <v>38</v>
      </c>
      <c r="D1599" s="1" t="s">
        <v>1781</v>
      </c>
    </row>
    <row r="1600" spans="1:4">
      <c r="A1600" s="1" t="s">
        <v>4870</v>
      </c>
      <c r="B1600" s="1" t="s">
        <v>4869</v>
      </c>
      <c r="C1600" s="1" t="s">
        <v>38</v>
      </c>
      <c r="D1600" s="1" t="s">
        <v>1781</v>
      </c>
    </row>
    <row r="1601" spans="1:4">
      <c r="A1601" s="1" t="s">
        <v>4872</v>
      </c>
      <c r="B1601" s="1" t="s">
        <v>4871</v>
      </c>
      <c r="C1601" s="1" t="s">
        <v>38</v>
      </c>
      <c r="D1601" s="1" t="s">
        <v>1781</v>
      </c>
    </row>
    <row r="1602" spans="1:4">
      <c r="A1602" s="1" t="s">
        <v>4874</v>
      </c>
      <c r="B1602" s="1" t="s">
        <v>4873</v>
      </c>
      <c r="C1602" s="1" t="s">
        <v>38</v>
      </c>
      <c r="D1602" s="1" t="s">
        <v>1781</v>
      </c>
    </row>
    <row r="1603" spans="1:4">
      <c r="A1603" s="1" t="s">
        <v>4876</v>
      </c>
      <c r="B1603" s="1" t="s">
        <v>4875</v>
      </c>
      <c r="C1603" s="1" t="s">
        <v>38</v>
      </c>
      <c r="D1603" s="1" t="s">
        <v>1781</v>
      </c>
    </row>
    <row r="1604" spans="1:4">
      <c r="A1604" s="1" t="s">
        <v>4878</v>
      </c>
      <c r="B1604" s="1" t="s">
        <v>4877</v>
      </c>
      <c r="C1604" s="1" t="s">
        <v>38</v>
      </c>
      <c r="D1604" s="1" t="s">
        <v>1781</v>
      </c>
    </row>
    <row r="1605" spans="1:4">
      <c r="A1605" s="1" t="s">
        <v>4880</v>
      </c>
      <c r="B1605" s="1" t="s">
        <v>4879</v>
      </c>
      <c r="C1605" s="1" t="s">
        <v>38</v>
      </c>
      <c r="D1605" s="1" t="s">
        <v>1781</v>
      </c>
    </row>
    <row r="1606" spans="1:4">
      <c r="A1606" s="1" t="s">
        <v>4882</v>
      </c>
      <c r="B1606" s="1" t="s">
        <v>4881</v>
      </c>
      <c r="C1606" s="1" t="s">
        <v>38</v>
      </c>
      <c r="D1606" s="1" t="s">
        <v>1781</v>
      </c>
    </row>
    <row r="1607" spans="1:4">
      <c r="A1607" s="1" t="s">
        <v>4884</v>
      </c>
      <c r="B1607" s="1" t="s">
        <v>4883</v>
      </c>
      <c r="C1607" s="1" t="s">
        <v>38</v>
      </c>
      <c r="D1607" s="1" t="s">
        <v>1781</v>
      </c>
    </row>
    <row r="1608" spans="1:4">
      <c r="A1608" s="1" t="s">
        <v>4886</v>
      </c>
      <c r="B1608" s="1" t="s">
        <v>4885</v>
      </c>
      <c r="C1608" s="1" t="s">
        <v>38</v>
      </c>
      <c r="D1608" s="1" t="s">
        <v>1781</v>
      </c>
    </row>
    <row r="1609" spans="1:4">
      <c r="A1609" s="1" t="s">
        <v>4888</v>
      </c>
      <c r="B1609" s="1" t="s">
        <v>4887</v>
      </c>
      <c r="C1609" s="1" t="s">
        <v>38</v>
      </c>
      <c r="D1609" s="1" t="s">
        <v>1781</v>
      </c>
    </row>
    <row r="1610" spans="1:4">
      <c r="A1610" s="1" t="s">
        <v>4890</v>
      </c>
      <c r="B1610" s="1" t="s">
        <v>4889</v>
      </c>
      <c r="C1610" s="1"/>
      <c r="D1610" s="1" t="s">
        <v>1781</v>
      </c>
    </row>
    <row r="1611" spans="1:4">
      <c r="A1611" s="1" t="s">
        <v>4892</v>
      </c>
      <c r="B1611" s="1" t="s">
        <v>4891</v>
      </c>
      <c r="C1611" s="1" t="s">
        <v>38</v>
      </c>
      <c r="D1611" s="1" t="s">
        <v>1781</v>
      </c>
    </row>
    <row r="1612" spans="1:4">
      <c r="A1612" s="1" t="s">
        <v>4894</v>
      </c>
      <c r="B1612" s="1" t="s">
        <v>4893</v>
      </c>
      <c r="C1612" s="1" t="s">
        <v>38</v>
      </c>
      <c r="D1612" s="1" t="s">
        <v>1781</v>
      </c>
    </row>
    <row r="1613" spans="1:4">
      <c r="A1613" s="1" t="s">
        <v>4896</v>
      </c>
      <c r="B1613" s="1" t="s">
        <v>4895</v>
      </c>
      <c r="C1613" s="1" t="s">
        <v>38</v>
      </c>
      <c r="D1613" s="1" t="s">
        <v>1781</v>
      </c>
    </row>
    <row r="1614" spans="1:4">
      <c r="A1614" s="1" t="s">
        <v>4898</v>
      </c>
      <c r="B1614" s="1" t="s">
        <v>4897</v>
      </c>
      <c r="C1614" s="1" t="s">
        <v>38</v>
      </c>
      <c r="D1614" s="1" t="s">
        <v>1781</v>
      </c>
    </row>
    <row r="1615" spans="1:4">
      <c r="A1615" s="1" t="s">
        <v>4900</v>
      </c>
      <c r="B1615" s="1" t="s">
        <v>4899</v>
      </c>
      <c r="C1615" s="1" t="s">
        <v>38</v>
      </c>
      <c r="D1615" s="1" t="s">
        <v>1781</v>
      </c>
    </row>
    <row r="1616" spans="1:4">
      <c r="A1616" s="1" t="s">
        <v>4902</v>
      </c>
      <c r="B1616" s="1" t="s">
        <v>4901</v>
      </c>
      <c r="C1616" s="1" t="s">
        <v>38</v>
      </c>
      <c r="D1616" s="1" t="s">
        <v>1781</v>
      </c>
    </row>
    <row r="1617" spans="1:4">
      <c r="A1617" s="1" t="s">
        <v>4904</v>
      </c>
      <c r="B1617" s="1" t="s">
        <v>4903</v>
      </c>
      <c r="C1617" s="1" t="s">
        <v>38</v>
      </c>
      <c r="D1617" s="1" t="s">
        <v>1781</v>
      </c>
    </row>
    <row r="1618" spans="1:4">
      <c r="A1618" s="1" t="s">
        <v>4906</v>
      </c>
      <c r="B1618" s="1" t="s">
        <v>4905</v>
      </c>
      <c r="C1618" s="1" t="s">
        <v>38</v>
      </c>
      <c r="D1618" s="1" t="s">
        <v>1781</v>
      </c>
    </row>
    <row r="1619" spans="1:4">
      <c r="A1619" s="1" t="s">
        <v>4908</v>
      </c>
      <c r="B1619" s="1" t="s">
        <v>4907</v>
      </c>
      <c r="C1619" s="1" t="s">
        <v>38</v>
      </c>
      <c r="D1619" s="1" t="s">
        <v>1781</v>
      </c>
    </row>
    <row r="1620" spans="1:4">
      <c r="A1620" s="1" t="s">
        <v>4910</v>
      </c>
      <c r="B1620" s="1" t="s">
        <v>4909</v>
      </c>
      <c r="C1620" s="1" t="s">
        <v>38</v>
      </c>
      <c r="D1620" s="1" t="s">
        <v>1781</v>
      </c>
    </row>
    <row r="1621" spans="1:4">
      <c r="A1621" s="1" t="s">
        <v>4912</v>
      </c>
      <c r="B1621" s="1" t="s">
        <v>4911</v>
      </c>
      <c r="C1621" s="1" t="s">
        <v>38</v>
      </c>
      <c r="D1621" s="1" t="s">
        <v>1781</v>
      </c>
    </row>
    <row r="1622" spans="1:4">
      <c r="A1622" s="1" t="s">
        <v>4914</v>
      </c>
      <c r="B1622" s="1" t="s">
        <v>4913</v>
      </c>
      <c r="C1622" s="1" t="s">
        <v>38</v>
      </c>
      <c r="D1622" s="1" t="s">
        <v>1781</v>
      </c>
    </row>
    <row r="1623" spans="1:4">
      <c r="A1623" s="1" t="s">
        <v>4916</v>
      </c>
      <c r="B1623" s="1" t="s">
        <v>4915</v>
      </c>
      <c r="C1623" s="1" t="s">
        <v>38</v>
      </c>
      <c r="D1623" s="1" t="s">
        <v>1781</v>
      </c>
    </row>
    <row r="1624" spans="1:4">
      <c r="A1624" s="1" t="s">
        <v>4918</v>
      </c>
      <c r="B1624" s="1" t="s">
        <v>4917</v>
      </c>
      <c r="C1624" s="1" t="s">
        <v>38</v>
      </c>
      <c r="D1624" s="1" t="s">
        <v>1781</v>
      </c>
    </row>
    <row r="1625" spans="1:4">
      <c r="A1625" s="1" t="s">
        <v>4920</v>
      </c>
      <c r="B1625" s="1" t="s">
        <v>4919</v>
      </c>
      <c r="C1625" s="1" t="s">
        <v>38</v>
      </c>
      <c r="D1625" s="1" t="s">
        <v>1781</v>
      </c>
    </row>
    <row r="1626" spans="1:4">
      <c r="A1626" s="1" t="s">
        <v>4922</v>
      </c>
      <c r="B1626" s="1" t="s">
        <v>4921</v>
      </c>
      <c r="C1626" s="1" t="s">
        <v>38</v>
      </c>
      <c r="D1626" s="1" t="s">
        <v>1781</v>
      </c>
    </row>
    <row r="1627" spans="1:4">
      <c r="A1627" s="1" t="s">
        <v>4924</v>
      </c>
      <c r="B1627" s="1" t="s">
        <v>4923</v>
      </c>
      <c r="C1627" s="1" t="s">
        <v>38</v>
      </c>
      <c r="D1627" s="1" t="s">
        <v>1781</v>
      </c>
    </row>
    <row r="1628" spans="1:4">
      <c r="A1628" s="1" t="s">
        <v>627</v>
      </c>
      <c r="B1628" s="1" t="s">
        <v>4925</v>
      </c>
      <c r="C1628" s="1" t="s">
        <v>38</v>
      </c>
      <c r="D1628" s="1" t="s">
        <v>1781</v>
      </c>
    </row>
    <row r="1629" spans="1:4">
      <c r="A1629" s="1" t="s">
        <v>4927</v>
      </c>
      <c r="B1629" s="1" t="s">
        <v>4926</v>
      </c>
      <c r="C1629" s="1" t="s">
        <v>38</v>
      </c>
      <c r="D1629" s="1" t="s">
        <v>1781</v>
      </c>
    </row>
    <row r="1630" spans="1:4">
      <c r="A1630" s="1" t="s">
        <v>4929</v>
      </c>
      <c r="B1630" s="1" t="s">
        <v>4928</v>
      </c>
      <c r="C1630" s="1" t="s">
        <v>38</v>
      </c>
      <c r="D1630" s="1" t="s">
        <v>1781</v>
      </c>
    </row>
    <row r="1631" spans="1:4">
      <c r="A1631" s="1" t="s">
        <v>4931</v>
      </c>
      <c r="B1631" s="1" t="s">
        <v>4930</v>
      </c>
      <c r="C1631" s="1" t="s">
        <v>38</v>
      </c>
      <c r="D1631" s="1" t="s">
        <v>1781</v>
      </c>
    </row>
    <row r="1632" spans="1:4">
      <c r="A1632" s="1" t="s">
        <v>1800</v>
      </c>
      <c r="B1632" s="1" t="s">
        <v>4932</v>
      </c>
      <c r="C1632" s="1" t="s">
        <v>38</v>
      </c>
      <c r="D1632" s="1" t="s">
        <v>1781</v>
      </c>
    </row>
    <row r="1633" spans="1:4">
      <c r="A1633" s="1" t="s">
        <v>4934</v>
      </c>
      <c r="B1633" s="1" t="s">
        <v>4933</v>
      </c>
      <c r="C1633" s="1" t="s">
        <v>38</v>
      </c>
      <c r="D1633" s="1" t="s">
        <v>1781</v>
      </c>
    </row>
    <row r="1634" spans="1:4">
      <c r="A1634" s="1" t="s">
        <v>4936</v>
      </c>
      <c r="B1634" s="1" t="s">
        <v>4935</v>
      </c>
      <c r="C1634" s="1" t="s">
        <v>38</v>
      </c>
      <c r="D1634" s="1" t="s">
        <v>1781</v>
      </c>
    </row>
    <row r="1635" spans="1:4">
      <c r="A1635" s="1" t="s">
        <v>181</v>
      </c>
      <c r="B1635" s="1" t="s">
        <v>4937</v>
      </c>
      <c r="C1635" s="1" t="s">
        <v>38</v>
      </c>
      <c r="D1635" s="1" t="s">
        <v>1781</v>
      </c>
    </row>
    <row r="1636" spans="1:4">
      <c r="A1636" s="1" t="s">
        <v>4939</v>
      </c>
      <c r="B1636" s="1" t="s">
        <v>4938</v>
      </c>
      <c r="C1636" s="1" t="s">
        <v>38</v>
      </c>
      <c r="D1636" s="1" t="s">
        <v>1781</v>
      </c>
    </row>
    <row r="1637" spans="1:4">
      <c r="A1637" s="1" t="s">
        <v>1844</v>
      </c>
      <c r="B1637" s="1" t="s">
        <v>4940</v>
      </c>
      <c r="C1637" s="1" t="s">
        <v>38</v>
      </c>
      <c r="D1637" s="1" t="s">
        <v>1781</v>
      </c>
    </row>
    <row r="1638" spans="1:4">
      <c r="A1638" s="1" t="s">
        <v>539</v>
      </c>
      <c r="B1638" s="1" t="s">
        <v>4941</v>
      </c>
      <c r="C1638" s="1" t="s">
        <v>38</v>
      </c>
      <c r="D1638" s="1" t="s">
        <v>1781</v>
      </c>
    </row>
    <row r="1639" spans="1:4">
      <c r="A1639" s="1" t="s">
        <v>4943</v>
      </c>
      <c r="B1639" s="1" t="s">
        <v>4942</v>
      </c>
      <c r="C1639" s="1" t="s">
        <v>38</v>
      </c>
      <c r="D1639" s="1" t="s">
        <v>1781</v>
      </c>
    </row>
    <row r="1640" spans="1:4">
      <c r="A1640" s="1" t="s">
        <v>4945</v>
      </c>
      <c r="B1640" s="1" t="s">
        <v>4944</v>
      </c>
      <c r="C1640" s="1" t="s">
        <v>38</v>
      </c>
      <c r="D1640" s="1" t="s">
        <v>1781</v>
      </c>
    </row>
    <row r="1641" spans="1:4">
      <c r="A1641" s="1" t="s">
        <v>4947</v>
      </c>
      <c r="B1641" s="1" t="s">
        <v>4946</v>
      </c>
      <c r="C1641" s="1" t="s">
        <v>38</v>
      </c>
      <c r="D1641" s="1" t="s">
        <v>1781</v>
      </c>
    </row>
    <row r="1642" spans="1:4">
      <c r="A1642" s="1" t="s">
        <v>4949</v>
      </c>
      <c r="B1642" s="1" t="s">
        <v>4948</v>
      </c>
      <c r="C1642" s="1" t="s">
        <v>38</v>
      </c>
      <c r="D1642" s="1" t="s">
        <v>1781</v>
      </c>
    </row>
    <row r="1643" spans="1:4">
      <c r="A1643" s="1" t="s">
        <v>4951</v>
      </c>
      <c r="B1643" s="1" t="s">
        <v>4950</v>
      </c>
      <c r="C1643" s="1" t="s">
        <v>38</v>
      </c>
      <c r="D1643" s="1" t="s">
        <v>1781</v>
      </c>
    </row>
    <row r="1644" spans="1:4">
      <c r="A1644" s="1" t="s">
        <v>4953</v>
      </c>
      <c r="B1644" s="1" t="s">
        <v>4952</v>
      </c>
      <c r="C1644" s="1" t="s">
        <v>38</v>
      </c>
      <c r="D1644" s="1" t="s">
        <v>1781</v>
      </c>
    </row>
    <row r="1645" spans="1:4">
      <c r="A1645" s="1" t="s">
        <v>4955</v>
      </c>
      <c r="B1645" s="1" t="s">
        <v>4954</v>
      </c>
      <c r="C1645" s="1" t="s">
        <v>38</v>
      </c>
      <c r="D1645" s="1" t="s">
        <v>1781</v>
      </c>
    </row>
    <row r="1646" spans="1:4">
      <c r="A1646" s="1" t="s">
        <v>4957</v>
      </c>
      <c r="B1646" s="1" t="s">
        <v>4956</v>
      </c>
      <c r="C1646" s="1" t="s">
        <v>38</v>
      </c>
      <c r="D1646" s="1" t="s">
        <v>1781</v>
      </c>
    </row>
    <row r="1647" spans="1:4">
      <c r="A1647" s="1" t="s">
        <v>4959</v>
      </c>
      <c r="B1647" s="1" t="s">
        <v>4958</v>
      </c>
      <c r="C1647" s="1" t="s">
        <v>38</v>
      </c>
      <c r="D1647" s="1" t="s">
        <v>1781</v>
      </c>
    </row>
    <row r="1648" spans="1:4">
      <c r="A1648" s="1" t="s">
        <v>346</v>
      </c>
      <c r="B1648" s="1" t="s">
        <v>4960</v>
      </c>
      <c r="C1648" s="1" t="s">
        <v>38</v>
      </c>
      <c r="D1648" s="1" t="s">
        <v>1781</v>
      </c>
    </row>
    <row r="1649" spans="1:4">
      <c r="A1649" s="1" t="s">
        <v>4962</v>
      </c>
      <c r="B1649" s="1" t="s">
        <v>4961</v>
      </c>
      <c r="C1649" s="1" t="s">
        <v>38</v>
      </c>
      <c r="D1649" s="1" t="s">
        <v>1781</v>
      </c>
    </row>
    <row r="1650" spans="1:4">
      <c r="A1650" s="1" t="s">
        <v>4964</v>
      </c>
      <c r="B1650" s="1" t="s">
        <v>4963</v>
      </c>
      <c r="C1650" s="1" t="s">
        <v>38</v>
      </c>
      <c r="D1650" s="1" t="s">
        <v>1781</v>
      </c>
    </row>
    <row r="1651" spans="1:4">
      <c r="A1651" s="1" t="s">
        <v>4966</v>
      </c>
      <c r="B1651" s="1" t="s">
        <v>4965</v>
      </c>
      <c r="C1651" s="1" t="s">
        <v>38</v>
      </c>
      <c r="D1651" s="1" t="s">
        <v>1781</v>
      </c>
    </row>
    <row r="1652" spans="1:4">
      <c r="A1652" s="1" t="s">
        <v>4968</v>
      </c>
      <c r="B1652" s="1" t="s">
        <v>4967</v>
      </c>
      <c r="C1652" s="1" t="s">
        <v>38</v>
      </c>
      <c r="D1652" s="1" t="s">
        <v>1781</v>
      </c>
    </row>
    <row r="1653" spans="1:4">
      <c r="A1653" s="1" t="s">
        <v>4970</v>
      </c>
      <c r="B1653" s="1" t="s">
        <v>4969</v>
      </c>
      <c r="C1653" s="1" t="s">
        <v>38</v>
      </c>
      <c r="D1653" s="1" t="s">
        <v>1781</v>
      </c>
    </row>
    <row r="1654" spans="1:4">
      <c r="A1654" s="1" t="s">
        <v>4972</v>
      </c>
      <c r="B1654" s="1" t="s">
        <v>4971</v>
      </c>
      <c r="C1654" s="1" t="s">
        <v>38</v>
      </c>
      <c r="D1654" s="1" t="s">
        <v>1781</v>
      </c>
    </row>
    <row r="1655" spans="1:4">
      <c r="A1655" s="1" t="s">
        <v>4974</v>
      </c>
      <c r="B1655" s="1" t="s">
        <v>4973</v>
      </c>
      <c r="C1655" s="1" t="s">
        <v>38</v>
      </c>
      <c r="D1655" s="1" t="s">
        <v>1781</v>
      </c>
    </row>
    <row r="1656" spans="1:4">
      <c r="A1656" s="1" t="s">
        <v>4976</v>
      </c>
      <c r="B1656" s="1" t="s">
        <v>4975</v>
      </c>
      <c r="C1656" s="1" t="s">
        <v>38</v>
      </c>
      <c r="D1656" s="1" t="s">
        <v>1781</v>
      </c>
    </row>
    <row r="1657" spans="1:4">
      <c r="A1657" s="1" t="s">
        <v>947</v>
      </c>
      <c r="B1657" s="1" t="s">
        <v>4977</v>
      </c>
      <c r="C1657" s="1" t="s">
        <v>38</v>
      </c>
      <c r="D1657" s="1" t="s">
        <v>1781</v>
      </c>
    </row>
    <row r="1658" spans="1:4">
      <c r="A1658" s="1" t="s">
        <v>4979</v>
      </c>
      <c r="B1658" s="1" t="s">
        <v>4978</v>
      </c>
      <c r="C1658" s="1" t="s">
        <v>38</v>
      </c>
      <c r="D1658" s="1" t="s">
        <v>1781</v>
      </c>
    </row>
    <row r="1659" spans="1:4">
      <c r="A1659" s="1" t="s">
        <v>4981</v>
      </c>
      <c r="B1659" s="1" t="s">
        <v>4980</v>
      </c>
      <c r="C1659" s="1" t="s">
        <v>38</v>
      </c>
      <c r="D1659" s="1" t="s">
        <v>1781</v>
      </c>
    </row>
    <row r="1660" spans="1:4">
      <c r="A1660" s="1" t="s">
        <v>4983</v>
      </c>
      <c r="B1660" s="1" t="s">
        <v>4982</v>
      </c>
      <c r="C1660" s="1" t="s">
        <v>38</v>
      </c>
      <c r="D1660" s="1" t="s">
        <v>1781</v>
      </c>
    </row>
    <row r="1661" spans="1:4">
      <c r="A1661" s="1" t="s">
        <v>587</v>
      </c>
      <c r="B1661" s="1" t="s">
        <v>4984</v>
      </c>
      <c r="C1661" s="1" t="s">
        <v>38</v>
      </c>
      <c r="D1661" s="1" t="s">
        <v>1781</v>
      </c>
    </row>
    <row r="1662" spans="1:4">
      <c r="A1662" s="1" t="s">
        <v>4986</v>
      </c>
      <c r="B1662" s="1" t="s">
        <v>4985</v>
      </c>
      <c r="C1662" s="1" t="s">
        <v>38</v>
      </c>
      <c r="D1662" s="1" t="s">
        <v>1781</v>
      </c>
    </row>
    <row r="1663" spans="1:4">
      <c r="A1663" s="1" t="s">
        <v>190</v>
      </c>
      <c r="B1663" s="1" t="s">
        <v>4987</v>
      </c>
      <c r="C1663" s="1" t="s">
        <v>38</v>
      </c>
      <c r="D1663" s="1" t="s">
        <v>1781</v>
      </c>
    </row>
    <row r="1664" spans="1:4">
      <c r="A1664" s="1" t="s">
        <v>4989</v>
      </c>
      <c r="B1664" s="1" t="s">
        <v>4988</v>
      </c>
      <c r="C1664" s="1" t="s">
        <v>38</v>
      </c>
      <c r="D1664" s="1" t="s">
        <v>1781</v>
      </c>
    </row>
    <row r="1665" spans="1:4">
      <c r="A1665" s="1" t="s">
        <v>4991</v>
      </c>
      <c r="B1665" s="1" t="s">
        <v>4990</v>
      </c>
      <c r="C1665" s="1" t="s">
        <v>38</v>
      </c>
      <c r="D1665" s="1" t="s">
        <v>1781</v>
      </c>
    </row>
    <row r="1666" spans="1:4">
      <c r="A1666" s="1" t="s">
        <v>4993</v>
      </c>
      <c r="B1666" s="1" t="s">
        <v>4992</v>
      </c>
      <c r="C1666" s="1" t="s">
        <v>38</v>
      </c>
      <c r="D1666" s="1" t="s">
        <v>1781</v>
      </c>
    </row>
    <row r="1667" spans="1:4">
      <c r="A1667" s="1" t="s">
        <v>4995</v>
      </c>
      <c r="B1667" s="1" t="s">
        <v>4994</v>
      </c>
      <c r="C1667" s="1" t="s">
        <v>38</v>
      </c>
      <c r="D1667" s="1" t="s">
        <v>1781</v>
      </c>
    </row>
    <row r="1668" spans="1:4">
      <c r="A1668" s="1" t="s">
        <v>4997</v>
      </c>
      <c r="B1668" s="1" t="s">
        <v>4996</v>
      </c>
      <c r="C1668" s="1" t="s">
        <v>38</v>
      </c>
      <c r="D1668" s="1" t="s">
        <v>1781</v>
      </c>
    </row>
    <row r="1669" spans="1:4">
      <c r="A1669" s="1" t="s">
        <v>4999</v>
      </c>
      <c r="B1669" s="1" t="s">
        <v>4998</v>
      </c>
      <c r="C1669" s="1" t="s">
        <v>38</v>
      </c>
      <c r="D1669" s="1" t="s">
        <v>1781</v>
      </c>
    </row>
    <row r="1670" spans="1:4">
      <c r="A1670" s="1" t="s">
        <v>5001</v>
      </c>
      <c r="B1670" s="1" t="s">
        <v>5000</v>
      </c>
      <c r="C1670" s="1" t="s">
        <v>38</v>
      </c>
      <c r="D1670" s="1" t="s">
        <v>1781</v>
      </c>
    </row>
    <row r="1671" spans="1:4">
      <c r="A1671" s="1" t="s">
        <v>5003</v>
      </c>
      <c r="B1671" s="1" t="s">
        <v>5002</v>
      </c>
      <c r="C1671" s="1" t="s">
        <v>38</v>
      </c>
      <c r="D1671" s="1" t="s">
        <v>1781</v>
      </c>
    </row>
    <row r="1672" spans="1:4">
      <c r="A1672" s="1" t="s">
        <v>1785</v>
      </c>
      <c r="B1672" s="1" t="s">
        <v>5004</v>
      </c>
      <c r="C1672" s="1" t="s">
        <v>38</v>
      </c>
      <c r="D1672" s="1" t="s">
        <v>1781</v>
      </c>
    </row>
    <row r="1673" spans="1:4">
      <c r="A1673" s="1" t="s">
        <v>5006</v>
      </c>
      <c r="B1673" s="1" t="s">
        <v>5005</v>
      </c>
      <c r="C1673" s="1" t="s">
        <v>38</v>
      </c>
      <c r="D1673" s="1" t="s">
        <v>1781</v>
      </c>
    </row>
    <row r="1674" spans="1:4">
      <c r="A1674" s="1" t="s">
        <v>5008</v>
      </c>
      <c r="B1674" s="1" t="s">
        <v>5007</v>
      </c>
      <c r="C1674" s="1" t="s">
        <v>38</v>
      </c>
      <c r="D1674" s="1" t="s">
        <v>1781</v>
      </c>
    </row>
    <row r="1675" spans="1:4">
      <c r="A1675" s="1" t="s">
        <v>5010</v>
      </c>
      <c r="B1675" s="1" t="s">
        <v>5009</v>
      </c>
      <c r="C1675" s="1" t="s">
        <v>38</v>
      </c>
      <c r="D1675" s="1" t="s">
        <v>1781</v>
      </c>
    </row>
    <row r="1676" spans="1:4">
      <c r="A1676" s="1" t="s">
        <v>5012</v>
      </c>
      <c r="B1676" s="1" t="s">
        <v>5011</v>
      </c>
      <c r="C1676" s="1" t="s">
        <v>38</v>
      </c>
      <c r="D1676" s="1" t="s">
        <v>1781</v>
      </c>
    </row>
    <row r="1677" spans="1:4">
      <c r="A1677" s="1" t="s">
        <v>5014</v>
      </c>
      <c r="B1677" s="1" t="s">
        <v>5013</v>
      </c>
      <c r="C1677" s="1" t="s">
        <v>38</v>
      </c>
      <c r="D1677" s="1" t="s">
        <v>1781</v>
      </c>
    </row>
    <row r="1678" spans="1:4">
      <c r="A1678" s="1" t="s">
        <v>5016</v>
      </c>
      <c r="B1678" s="1" t="s">
        <v>5015</v>
      </c>
      <c r="C1678" s="1" t="s">
        <v>38</v>
      </c>
      <c r="D1678" s="1" t="s">
        <v>1781</v>
      </c>
    </row>
    <row r="1679" spans="1:4">
      <c r="A1679" s="1" t="s">
        <v>5018</v>
      </c>
      <c r="B1679" s="1" t="s">
        <v>5017</v>
      </c>
      <c r="C1679" s="1" t="s">
        <v>38</v>
      </c>
      <c r="D1679" s="1" t="s">
        <v>1781</v>
      </c>
    </row>
    <row r="1680" spans="1:4">
      <c r="A1680" s="1" t="s">
        <v>5020</v>
      </c>
      <c r="B1680" s="1" t="s">
        <v>5019</v>
      </c>
      <c r="C1680" s="1" t="s">
        <v>38</v>
      </c>
      <c r="D1680" s="1" t="s">
        <v>1781</v>
      </c>
    </row>
    <row r="1681" spans="1:4">
      <c r="A1681" s="1" t="s">
        <v>5022</v>
      </c>
      <c r="B1681" s="1" t="s">
        <v>5021</v>
      </c>
      <c r="C1681" s="1" t="s">
        <v>38</v>
      </c>
      <c r="D1681" s="1" t="s">
        <v>1781</v>
      </c>
    </row>
    <row r="1682" spans="1:4">
      <c r="A1682" s="1" t="s">
        <v>5024</v>
      </c>
      <c r="B1682" s="1" t="s">
        <v>5023</v>
      </c>
      <c r="C1682" s="1" t="s">
        <v>38</v>
      </c>
      <c r="D1682" s="1" t="s">
        <v>1781</v>
      </c>
    </row>
    <row r="1683" spans="1:4">
      <c r="A1683" s="1" t="s">
        <v>193</v>
      </c>
      <c r="B1683" s="1" t="s">
        <v>5025</v>
      </c>
      <c r="C1683" s="1" t="s">
        <v>38</v>
      </c>
      <c r="D1683" s="1" t="s">
        <v>1781</v>
      </c>
    </row>
    <row r="1684" spans="1:4">
      <c r="A1684" s="1" t="s">
        <v>5027</v>
      </c>
      <c r="B1684" s="1" t="s">
        <v>5026</v>
      </c>
      <c r="C1684" s="1" t="s">
        <v>38</v>
      </c>
      <c r="D1684" s="1" t="s">
        <v>1781</v>
      </c>
    </row>
    <row r="1685" spans="1:4">
      <c r="A1685" s="1" t="s">
        <v>5029</v>
      </c>
      <c r="B1685" s="1" t="s">
        <v>5028</v>
      </c>
      <c r="C1685" s="1" t="s">
        <v>38</v>
      </c>
      <c r="D1685" s="1" t="s">
        <v>1781</v>
      </c>
    </row>
    <row r="1686" spans="1:4">
      <c r="A1686" s="1" t="s">
        <v>5031</v>
      </c>
      <c r="B1686" s="1" t="s">
        <v>5030</v>
      </c>
      <c r="C1686" s="1" t="s">
        <v>38</v>
      </c>
      <c r="D1686" s="1" t="s">
        <v>1781</v>
      </c>
    </row>
    <row r="1687" spans="1:4">
      <c r="A1687" s="1" t="s">
        <v>5033</v>
      </c>
      <c r="B1687" s="1" t="s">
        <v>5032</v>
      </c>
      <c r="C1687" s="1" t="s">
        <v>38</v>
      </c>
      <c r="D1687" s="1" t="s">
        <v>1781</v>
      </c>
    </row>
    <row r="1688" spans="1:4">
      <c r="A1688" s="1" t="s">
        <v>5035</v>
      </c>
      <c r="B1688" s="1" t="s">
        <v>5034</v>
      </c>
      <c r="C1688" s="1" t="s">
        <v>38</v>
      </c>
      <c r="D1688" s="1" t="s">
        <v>1781</v>
      </c>
    </row>
    <row r="1689" spans="1:4">
      <c r="A1689" s="1" t="s">
        <v>5037</v>
      </c>
      <c r="B1689" s="1" t="s">
        <v>5036</v>
      </c>
      <c r="C1689" s="1" t="s">
        <v>38</v>
      </c>
      <c r="D1689" s="1" t="s">
        <v>1781</v>
      </c>
    </row>
    <row r="1690" spans="1:4">
      <c r="A1690" s="1" t="s">
        <v>5039</v>
      </c>
      <c r="B1690" s="1" t="s">
        <v>5038</v>
      </c>
      <c r="C1690" s="1" t="s">
        <v>38</v>
      </c>
      <c r="D1690" s="1" t="s">
        <v>1781</v>
      </c>
    </row>
    <row r="1691" spans="1:4">
      <c r="A1691" s="1" t="s">
        <v>5041</v>
      </c>
      <c r="B1691" s="1" t="s">
        <v>5040</v>
      </c>
      <c r="C1691" s="1" t="s">
        <v>38</v>
      </c>
      <c r="D1691" s="1" t="s">
        <v>1781</v>
      </c>
    </row>
    <row r="1692" spans="1:4">
      <c r="A1692" s="1" t="s">
        <v>5043</v>
      </c>
      <c r="B1692" s="1" t="s">
        <v>5042</v>
      </c>
      <c r="C1692" s="1" t="s">
        <v>38</v>
      </c>
      <c r="D1692" s="1" t="s">
        <v>1781</v>
      </c>
    </row>
    <row r="1693" spans="1:4">
      <c r="A1693" s="1" t="s">
        <v>378</v>
      </c>
      <c r="B1693" s="1" t="s">
        <v>5044</v>
      </c>
      <c r="C1693" s="1" t="s">
        <v>38</v>
      </c>
      <c r="D1693" s="1" t="s">
        <v>1781</v>
      </c>
    </row>
    <row r="1694" spans="1:4">
      <c r="A1694" s="1" t="s">
        <v>5046</v>
      </c>
      <c r="B1694" s="1" t="s">
        <v>5045</v>
      </c>
      <c r="C1694" s="1" t="s">
        <v>38</v>
      </c>
      <c r="D1694" s="1" t="s">
        <v>1781</v>
      </c>
    </row>
    <row r="1695" spans="1:4">
      <c r="A1695" s="1" t="s">
        <v>314</v>
      </c>
      <c r="B1695" s="1" t="s">
        <v>5047</v>
      </c>
      <c r="C1695" s="1" t="s">
        <v>38</v>
      </c>
      <c r="D1695" s="1" t="s">
        <v>1781</v>
      </c>
    </row>
    <row r="1696" spans="1:4">
      <c r="A1696" s="1" t="s">
        <v>5049</v>
      </c>
      <c r="B1696" s="1" t="s">
        <v>5048</v>
      </c>
      <c r="C1696" s="1" t="s">
        <v>38</v>
      </c>
      <c r="D1696" s="1" t="s">
        <v>1781</v>
      </c>
    </row>
    <row r="1697" spans="1:4">
      <c r="A1697" s="1" t="s">
        <v>5051</v>
      </c>
      <c r="B1697" s="1" t="s">
        <v>5050</v>
      </c>
      <c r="C1697" s="1" t="s">
        <v>38</v>
      </c>
      <c r="D1697" s="1" t="s">
        <v>1781</v>
      </c>
    </row>
    <row r="1698" spans="1:4">
      <c r="A1698" s="1" t="s">
        <v>5053</v>
      </c>
      <c r="B1698" s="1" t="s">
        <v>5052</v>
      </c>
      <c r="C1698" s="1" t="s">
        <v>38</v>
      </c>
      <c r="D1698" s="1" t="s">
        <v>1781</v>
      </c>
    </row>
    <row r="1699" spans="1:4">
      <c r="A1699" s="1" t="s">
        <v>5055</v>
      </c>
      <c r="B1699" s="1" t="s">
        <v>5054</v>
      </c>
      <c r="C1699" s="1" t="s">
        <v>38</v>
      </c>
      <c r="D1699" s="1" t="s">
        <v>1781</v>
      </c>
    </row>
    <row r="1700" spans="1:4">
      <c r="A1700" s="1" t="s">
        <v>176</v>
      </c>
      <c r="B1700" s="1" t="s">
        <v>5056</v>
      </c>
      <c r="C1700" s="1" t="s">
        <v>38</v>
      </c>
      <c r="D1700" s="1" t="s">
        <v>1781</v>
      </c>
    </row>
    <row r="1701" spans="1:4">
      <c r="A1701" s="1" t="s">
        <v>5058</v>
      </c>
      <c r="B1701" s="1" t="s">
        <v>5057</v>
      </c>
      <c r="C1701" s="1" t="s">
        <v>38</v>
      </c>
      <c r="D1701" s="1" t="s">
        <v>1781</v>
      </c>
    </row>
    <row r="1702" spans="1:4">
      <c r="A1702" s="1" t="s">
        <v>5060</v>
      </c>
      <c r="B1702" s="1" t="s">
        <v>5059</v>
      </c>
      <c r="C1702" s="1" t="s">
        <v>38</v>
      </c>
      <c r="D1702" s="1" t="s">
        <v>1781</v>
      </c>
    </row>
    <row r="1703" spans="1:4">
      <c r="A1703" s="1" t="s">
        <v>5062</v>
      </c>
      <c r="B1703" s="1" t="s">
        <v>5061</v>
      </c>
      <c r="C1703" s="1" t="s">
        <v>38</v>
      </c>
      <c r="D1703" s="1" t="s">
        <v>1781</v>
      </c>
    </row>
    <row r="1704" spans="1:4">
      <c r="A1704" s="1" t="s">
        <v>5064</v>
      </c>
      <c r="B1704" s="1" t="s">
        <v>5063</v>
      </c>
      <c r="C1704" s="1" t="s">
        <v>38</v>
      </c>
      <c r="D1704" s="1" t="s">
        <v>1781</v>
      </c>
    </row>
    <row r="1705" spans="1:4">
      <c r="A1705" s="1" t="s">
        <v>5066</v>
      </c>
      <c r="B1705" s="1" t="s">
        <v>5065</v>
      </c>
      <c r="C1705" s="1" t="s">
        <v>38</v>
      </c>
      <c r="D1705" s="1" t="s">
        <v>1781</v>
      </c>
    </row>
    <row r="1706" spans="1:4">
      <c r="A1706" s="1" t="s">
        <v>867</v>
      </c>
      <c r="B1706" s="1" t="s">
        <v>5067</v>
      </c>
      <c r="C1706" s="1" t="s">
        <v>38</v>
      </c>
      <c r="D1706" s="1" t="s">
        <v>1781</v>
      </c>
    </row>
    <row r="1707" spans="1:4">
      <c r="A1707" s="1" t="s">
        <v>348</v>
      </c>
      <c r="B1707" s="1" t="s">
        <v>5068</v>
      </c>
      <c r="C1707" s="1" t="s">
        <v>38</v>
      </c>
      <c r="D1707" s="1" t="s">
        <v>1781</v>
      </c>
    </row>
    <row r="1708" spans="1:4">
      <c r="A1708" s="1" t="s">
        <v>957</v>
      </c>
      <c r="B1708" s="1" t="s">
        <v>5069</v>
      </c>
      <c r="C1708" s="1" t="s">
        <v>38</v>
      </c>
      <c r="D1708" s="1" t="s">
        <v>1781</v>
      </c>
    </row>
    <row r="1709" spans="1:4">
      <c r="A1709" s="1" t="s">
        <v>5071</v>
      </c>
      <c r="B1709" s="1" t="s">
        <v>5070</v>
      </c>
      <c r="C1709" s="1" t="s">
        <v>38</v>
      </c>
      <c r="D1709" s="1" t="s">
        <v>1781</v>
      </c>
    </row>
    <row r="1710" spans="1:4">
      <c r="A1710" s="1" t="s">
        <v>5073</v>
      </c>
      <c r="B1710" s="1" t="s">
        <v>5072</v>
      </c>
      <c r="C1710" s="1"/>
      <c r="D1710" s="1" t="s">
        <v>1781</v>
      </c>
    </row>
    <row r="1711" spans="1:4">
      <c r="A1711" s="1" t="s">
        <v>5075</v>
      </c>
      <c r="B1711" s="1" t="s">
        <v>5074</v>
      </c>
      <c r="C1711" s="1" t="s">
        <v>38</v>
      </c>
      <c r="D1711" s="1" t="s">
        <v>1781</v>
      </c>
    </row>
    <row r="1712" spans="1:4">
      <c r="A1712" s="1" t="s">
        <v>351</v>
      </c>
      <c r="B1712" s="1" t="s">
        <v>5076</v>
      </c>
      <c r="C1712" s="1" t="s">
        <v>38</v>
      </c>
      <c r="D1712" s="1" t="s">
        <v>1781</v>
      </c>
    </row>
    <row r="1713" spans="1:4">
      <c r="A1713" s="1" t="s">
        <v>5078</v>
      </c>
      <c r="B1713" s="1" t="s">
        <v>5077</v>
      </c>
      <c r="C1713" s="1" t="s">
        <v>38</v>
      </c>
      <c r="D1713" s="1" t="s">
        <v>1781</v>
      </c>
    </row>
    <row r="1714" spans="1:4">
      <c r="A1714" s="1" t="s">
        <v>5080</v>
      </c>
      <c r="B1714" s="1" t="s">
        <v>5079</v>
      </c>
      <c r="C1714" s="1" t="s">
        <v>38</v>
      </c>
      <c r="D1714" s="1" t="s">
        <v>1781</v>
      </c>
    </row>
    <row r="1715" spans="1:4">
      <c r="A1715" s="1" t="s">
        <v>1528</v>
      </c>
      <c r="B1715" s="1" t="s">
        <v>5081</v>
      </c>
      <c r="C1715" s="1" t="s">
        <v>38</v>
      </c>
      <c r="D1715" s="1" t="s">
        <v>1781</v>
      </c>
    </row>
    <row r="1716" spans="1:4">
      <c r="A1716" s="1" t="s">
        <v>1803</v>
      </c>
      <c r="B1716" s="1" t="s">
        <v>5082</v>
      </c>
      <c r="C1716" s="1" t="s">
        <v>38</v>
      </c>
      <c r="D1716" s="1" t="s">
        <v>1781</v>
      </c>
    </row>
    <row r="1717" spans="1:4">
      <c r="A1717" s="1" t="s">
        <v>5084</v>
      </c>
      <c r="B1717" s="1" t="s">
        <v>5083</v>
      </c>
      <c r="C1717" s="1" t="s">
        <v>38</v>
      </c>
      <c r="D1717" s="1" t="s">
        <v>1781</v>
      </c>
    </row>
    <row r="1718" spans="1:4">
      <c r="A1718" s="1" t="s">
        <v>1802</v>
      </c>
      <c r="B1718" s="1" t="s">
        <v>5085</v>
      </c>
      <c r="C1718" s="1" t="s">
        <v>38</v>
      </c>
      <c r="D1718" s="1" t="s">
        <v>1781</v>
      </c>
    </row>
    <row r="1719" spans="1:4">
      <c r="A1719" s="1" t="s">
        <v>5087</v>
      </c>
      <c r="B1719" s="1" t="s">
        <v>5086</v>
      </c>
      <c r="C1719" s="1" t="s">
        <v>38</v>
      </c>
      <c r="D1719" s="1" t="s">
        <v>1781</v>
      </c>
    </row>
    <row r="1720" spans="1:4">
      <c r="A1720" s="1" t="s">
        <v>5089</v>
      </c>
      <c r="B1720" s="1" t="s">
        <v>5088</v>
      </c>
      <c r="C1720" s="1" t="s">
        <v>38</v>
      </c>
      <c r="D1720" s="1" t="s">
        <v>1781</v>
      </c>
    </row>
    <row r="1721" spans="1:4">
      <c r="A1721" s="1" t="s">
        <v>5091</v>
      </c>
      <c r="B1721" s="1" t="s">
        <v>5090</v>
      </c>
      <c r="C1721" s="1" t="s">
        <v>38</v>
      </c>
      <c r="D1721" s="1" t="s">
        <v>1781</v>
      </c>
    </row>
    <row r="1722" spans="1:4">
      <c r="A1722" s="1" t="s">
        <v>1534</v>
      </c>
      <c r="B1722" s="1" t="s">
        <v>5092</v>
      </c>
      <c r="C1722" s="1" t="s">
        <v>38</v>
      </c>
      <c r="D1722" s="1" t="s">
        <v>1781</v>
      </c>
    </row>
    <row r="1723" spans="1:4">
      <c r="A1723" s="1" t="s">
        <v>5094</v>
      </c>
      <c r="B1723" s="1" t="s">
        <v>5093</v>
      </c>
      <c r="C1723" s="1" t="s">
        <v>38</v>
      </c>
      <c r="D1723" s="1" t="s">
        <v>1781</v>
      </c>
    </row>
    <row r="1724" spans="1:4">
      <c r="A1724" s="1" t="s">
        <v>5096</v>
      </c>
      <c r="B1724" s="1" t="s">
        <v>5095</v>
      </c>
      <c r="C1724" s="1" t="s">
        <v>38</v>
      </c>
      <c r="D1724" s="1" t="s">
        <v>1781</v>
      </c>
    </row>
    <row r="1725" spans="1:4">
      <c r="A1725" s="1" t="s">
        <v>5098</v>
      </c>
      <c r="B1725" s="1" t="s">
        <v>5097</v>
      </c>
      <c r="C1725" s="1" t="s">
        <v>38</v>
      </c>
      <c r="D1725" s="1" t="s">
        <v>1781</v>
      </c>
    </row>
    <row r="1726" spans="1:4">
      <c r="A1726" s="1" t="s">
        <v>5100</v>
      </c>
      <c r="B1726" s="1" t="s">
        <v>5099</v>
      </c>
      <c r="C1726" s="1" t="s">
        <v>38</v>
      </c>
      <c r="D1726" s="1" t="s">
        <v>1781</v>
      </c>
    </row>
    <row r="1727" spans="1:4">
      <c r="A1727" s="1" t="s">
        <v>5102</v>
      </c>
      <c r="B1727" s="1" t="s">
        <v>5101</v>
      </c>
      <c r="C1727" s="1" t="s">
        <v>38</v>
      </c>
      <c r="D1727" s="1" t="s">
        <v>1781</v>
      </c>
    </row>
    <row r="1728" spans="1:4">
      <c r="A1728" s="1" t="s">
        <v>5104</v>
      </c>
      <c r="B1728" s="1" t="s">
        <v>5103</v>
      </c>
      <c r="C1728" s="1" t="s">
        <v>38</v>
      </c>
      <c r="D1728" s="1" t="s">
        <v>1781</v>
      </c>
    </row>
    <row r="1729" spans="1:4">
      <c r="A1729" s="1" t="s">
        <v>5106</v>
      </c>
      <c r="B1729" s="1" t="s">
        <v>5105</v>
      </c>
      <c r="C1729" s="1" t="s">
        <v>38</v>
      </c>
      <c r="D1729" s="1" t="s">
        <v>1781</v>
      </c>
    </row>
    <row r="1730" spans="1:4">
      <c r="A1730" s="1" t="s">
        <v>495</v>
      </c>
      <c r="B1730" s="1" t="s">
        <v>5107</v>
      </c>
      <c r="C1730" s="1" t="s">
        <v>38</v>
      </c>
      <c r="D1730" s="1" t="s">
        <v>1781</v>
      </c>
    </row>
    <row r="1731" spans="1:4">
      <c r="A1731" s="1" t="s">
        <v>5109</v>
      </c>
      <c r="B1731" s="1" t="s">
        <v>5108</v>
      </c>
      <c r="C1731" s="1" t="s">
        <v>38</v>
      </c>
      <c r="D1731" s="1" t="s">
        <v>1781</v>
      </c>
    </row>
    <row r="1732" spans="1:4">
      <c r="A1732" s="1" t="s">
        <v>5111</v>
      </c>
      <c r="B1732" s="1" t="s">
        <v>5110</v>
      </c>
      <c r="C1732" s="1" t="s">
        <v>38</v>
      </c>
      <c r="D1732" s="1" t="s">
        <v>1781</v>
      </c>
    </row>
    <row r="1733" spans="1:4">
      <c r="A1733" s="1" t="s">
        <v>5113</v>
      </c>
      <c r="B1733" s="1" t="s">
        <v>5112</v>
      </c>
      <c r="C1733" s="1" t="s">
        <v>38</v>
      </c>
      <c r="D1733" s="1" t="s">
        <v>1781</v>
      </c>
    </row>
    <row r="1734" spans="1:4">
      <c r="A1734" s="1" t="s">
        <v>5115</v>
      </c>
      <c r="B1734" s="1" t="s">
        <v>5114</v>
      </c>
      <c r="C1734" s="1" t="s">
        <v>38</v>
      </c>
      <c r="D1734" s="1" t="s">
        <v>1781</v>
      </c>
    </row>
    <row r="1735" spans="1:4">
      <c r="A1735" s="1" t="s">
        <v>5117</v>
      </c>
      <c r="B1735" s="1" t="s">
        <v>5116</v>
      </c>
      <c r="C1735" s="1" t="s">
        <v>38</v>
      </c>
      <c r="D1735" s="1" t="s">
        <v>1781</v>
      </c>
    </row>
    <row r="1736" spans="1:4">
      <c r="A1736" s="1" t="s">
        <v>5119</v>
      </c>
      <c r="B1736" s="1" t="s">
        <v>5118</v>
      </c>
      <c r="C1736" s="1" t="s">
        <v>38</v>
      </c>
      <c r="D1736" s="1" t="s">
        <v>1781</v>
      </c>
    </row>
    <row r="1737" spans="1:4">
      <c r="A1737" s="1" t="s">
        <v>5121</v>
      </c>
      <c r="B1737" s="1" t="s">
        <v>5120</v>
      </c>
      <c r="C1737" s="1" t="s">
        <v>38</v>
      </c>
      <c r="D1737" s="1" t="s">
        <v>1781</v>
      </c>
    </row>
    <row r="1738" spans="1:4">
      <c r="A1738" s="1" t="s">
        <v>5123</v>
      </c>
      <c r="B1738" s="1" t="s">
        <v>5122</v>
      </c>
      <c r="C1738" s="1" t="s">
        <v>38</v>
      </c>
      <c r="D1738" s="1" t="s">
        <v>1781</v>
      </c>
    </row>
    <row r="1739" spans="1:4">
      <c r="A1739" s="1" t="s">
        <v>5125</v>
      </c>
      <c r="B1739" s="1" t="s">
        <v>5124</v>
      </c>
      <c r="C1739" s="1" t="s">
        <v>38</v>
      </c>
      <c r="D1739" s="1" t="s">
        <v>1781</v>
      </c>
    </row>
    <row r="1740" spans="1:4">
      <c r="A1740" s="1" t="s">
        <v>5127</v>
      </c>
      <c r="B1740" s="1" t="s">
        <v>5126</v>
      </c>
      <c r="C1740" s="1" t="s">
        <v>38</v>
      </c>
      <c r="D1740" s="1" t="s">
        <v>1781</v>
      </c>
    </row>
    <row r="1741" spans="1:4">
      <c r="A1741" s="1" t="s">
        <v>5129</v>
      </c>
      <c r="B1741" s="1" t="s">
        <v>5128</v>
      </c>
      <c r="C1741" s="1" t="s">
        <v>38</v>
      </c>
      <c r="D1741" s="1" t="s">
        <v>1781</v>
      </c>
    </row>
    <row r="1742" spans="1:4">
      <c r="A1742" s="1" t="s">
        <v>5131</v>
      </c>
      <c r="B1742" s="1" t="s">
        <v>5130</v>
      </c>
      <c r="C1742" s="1" t="s">
        <v>38</v>
      </c>
      <c r="D1742" s="1" t="s">
        <v>1781</v>
      </c>
    </row>
    <row r="1743" spans="1:4">
      <c r="A1743" s="1" t="s">
        <v>5133</v>
      </c>
      <c r="B1743" s="1" t="s">
        <v>5132</v>
      </c>
      <c r="C1743" s="1" t="s">
        <v>38</v>
      </c>
      <c r="D1743" s="1" t="s">
        <v>1781</v>
      </c>
    </row>
    <row r="1744" spans="1:4">
      <c r="A1744" s="1" t="s">
        <v>5135</v>
      </c>
      <c r="B1744" s="1" t="s">
        <v>5134</v>
      </c>
      <c r="C1744" s="1" t="s">
        <v>38</v>
      </c>
      <c r="D1744" s="1" t="s">
        <v>1781</v>
      </c>
    </row>
    <row r="1745" spans="1:4">
      <c r="A1745" s="1" t="s">
        <v>5137</v>
      </c>
      <c r="B1745" s="1" t="s">
        <v>5136</v>
      </c>
      <c r="C1745" s="1" t="s">
        <v>38</v>
      </c>
      <c r="D1745" s="1" t="s">
        <v>1781</v>
      </c>
    </row>
    <row r="1746" spans="1:4">
      <c r="A1746" s="1" t="s">
        <v>5139</v>
      </c>
      <c r="B1746" s="1" t="s">
        <v>5138</v>
      </c>
      <c r="C1746" s="1" t="s">
        <v>38</v>
      </c>
      <c r="D1746" s="1" t="s">
        <v>1781</v>
      </c>
    </row>
    <row r="1747" spans="1:4">
      <c r="A1747" s="1" t="s">
        <v>5141</v>
      </c>
      <c r="B1747" s="1" t="s">
        <v>5140</v>
      </c>
      <c r="C1747" s="1" t="s">
        <v>38</v>
      </c>
      <c r="D1747" s="1" t="s">
        <v>1781</v>
      </c>
    </row>
    <row r="1748" spans="1:4">
      <c r="A1748" s="1" t="s">
        <v>5143</v>
      </c>
      <c r="B1748" s="1" t="s">
        <v>5142</v>
      </c>
      <c r="C1748" s="1" t="s">
        <v>38</v>
      </c>
      <c r="D1748" s="1" t="s">
        <v>1781</v>
      </c>
    </row>
    <row r="1749" spans="1:4">
      <c r="A1749" s="1" t="s">
        <v>5145</v>
      </c>
      <c r="B1749" s="1" t="s">
        <v>5144</v>
      </c>
      <c r="C1749" s="1" t="s">
        <v>38</v>
      </c>
      <c r="D1749" s="1" t="s">
        <v>1781</v>
      </c>
    </row>
    <row r="1750" spans="1:4">
      <c r="A1750" s="1" t="s">
        <v>5147</v>
      </c>
      <c r="B1750" s="1" t="s">
        <v>5146</v>
      </c>
      <c r="C1750" s="1" t="s">
        <v>38</v>
      </c>
      <c r="D1750" s="1" t="s">
        <v>1781</v>
      </c>
    </row>
    <row r="1751" spans="1:4">
      <c r="A1751" s="1" t="s">
        <v>5149</v>
      </c>
      <c r="B1751" s="1" t="s">
        <v>5148</v>
      </c>
      <c r="C1751" s="1" t="s">
        <v>38</v>
      </c>
      <c r="D1751" s="1" t="s">
        <v>1781</v>
      </c>
    </row>
    <row r="1752" spans="1:4">
      <c r="A1752" s="1" t="s">
        <v>5151</v>
      </c>
      <c r="B1752" s="1" t="s">
        <v>5150</v>
      </c>
      <c r="C1752" s="1" t="s">
        <v>38</v>
      </c>
      <c r="D1752" s="1" t="s">
        <v>1781</v>
      </c>
    </row>
    <row r="1753" spans="1:4">
      <c r="A1753" s="1" t="s">
        <v>5153</v>
      </c>
      <c r="B1753" s="1" t="s">
        <v>5152</v>
      </c>
      <c r="C1753" s="1" t="s">
        <v>38</v>
      </c>
      <c r="D1753" s="1" t="s">
        <v>1781</v>
      </c>
    </row>
    <row r="1754" spans="1:4">
      <c r="A1754" s="1" t="s">
        <v>504</v>
      </c>
      <c r="B1754" s="1" t="s">
        <v>5154</v>
      </c>
      <c r="C1754" s="1" t="s">
        <v>38</v>
      </c>
      <c r="D1754" s="1" t="s">
        <v>1781</v>
      </c>
    </row>
    <row r="1755" spans="1:4">
      <c r="A1755" s="1" t="s">
        <v>497</v>
      </c>
      <c r="B1755" s="1" t="s">
        <v>5155</v>
      </c>
      <c r="C1755" s="1" t="s">
        <v>38</v>
      </c>
      <c r="D1755" s="1" t="s">
        <v>1781</v>
      </c>
    </row>
    <row r="1756" spans="1:4">
      <c r="A1756" s="1" t="s">
        <v>5157</v>
      </c>
      <c r="B1756" s="1" t="s">
        <v>5156</v>
      </c>
      <c r="C1756" s="1" t="s">
        <v>38</v>
      </c>
      <c r="D1756" s="1" t="s">
        <v>1781</v>
      </c>
    </row>
    <row r="1757" spans="1:4">
      <c r="A1757" s="1" t="s">
        <v>5159</v>
      </c>
      <c r="B1757" s="1" t="s">
        <v>5158</v>
      </c>
      <c r="C1757" s="1" t="s">
        <v>38</v>
      </c>
      <c r="D1757" s="1" t="s">
        <v>1781</v>
      </c>
    </row>
    <row r="1758" spans="1:4">
      <c r="A1758" s="1" t="s">
        <v>5161</v>
      </c>
      <c r="B1758" s="1" t="s">
        <v>5160</v>
      </c>
      <c r="C1758" s="1" t="s">
        <v>38</v>
      </c>
      <c r="D1758" s="1" t="s">
        <v>1781</v>
      </c>
    </row>
    <row r="1759" spans="1:4">
      <c r="A1759" s="1" t="s">
        <v>5163</v>
      </c>
      <c r="B1759" s="1" t="s">
        <v>5162</v>
      </c>
      <c r="C1759" s="1" t="s">
        <v>38</v>
      </c>
      <c r="D1759" s="1" t="s">
        <v>1781</v>
      </c>
    </row>
    <row r="1760" spans="1:4">
      <c r="A1760" s="1" t="s">
        <v>5165</v>
      </c>
      <c r="B1760" s="1" t="s">
        <v>5164</v>
      </c>
      <c r="C1760" s="1" t="s">
        <v>38</v>
      </c>
      <c r="D1760" s="1" t="s">
        <v>1781</v>
      </c>
    </row>
    <row r="1761" spans="1:4">
      <c r="A1761" s="1" t="s">
        <v>5177</v>
      </c>
      <c r="B1761" s="1" t="s">
        <v>5181</v>
      </c>
      <c r="C1761" s="1" t="s">
        <v>38</v>
      </c>
      <c r="D1761" s="1" t="s">
        <v>1781</v>
      </c>
    </row>
    <row r="1762" spans="1:4">
      <c r="A1762" s="1" t="s">
        <v>5174</v>
      </c>
      <c r="B1762" s="1" t="s">
        <v>5182</v>
      </c>
      <c r="C1762" s="1"/>
      <c r="D1762" s="1" t="s">
        <v>1781</v>
      </c>
    </row>
    <row r="1763" spans="1:4">
      <c r="A1763" s="1" t="s">
        <v>5168</v>
      </c>
      <c r="B1763" s="1" t="s">
        <v>5183</v>
      </c>
      <c r="C1763" s="1" t="s">
        <v>38</v>
      </c>
      <c r="D1763" s="1" t="s">
        <v>1781</v>
      </c>
    </row>
    <row r="1764" spans="1:4">
      <c r="A1764" s="1" t="s">
        <v>478</v>
      </c>
      <c r="B1764" s="1" t="s">
        <v>5184</v>
      </c>
      <c r="C1764" s="1" t="s">
        <v>38</v>
      </c>
      <c r="D1764" s="1" t="s">
        <v>1781</v>
      </c>
    </row>
    <row r="1765" spans="1:4">
      <c r="A1765" s="1" t="s">
        <v>5186</v>
      </c>
      <c r="B1765" s="1" t="s">
        <v>5185</v>
      </c>
      <c r="C1765" s="1" t="s">
        <v>38</v>
      </c>
      <c r="D1765" s="1" t="s">
        <v>1781</v>
      </c>
    </row>
    <row r="1766" spans="1:4">
      <c r="A1766" s="1" t="s">
        <v>5188</v>
      </c>
      <c r="B1766" s="1" t="s">
        <v>5187</v>
      </c>
      <c r="C1766" s="1"/>
      <c r="D1766" s="1" t="s">
        <v>1781</v>
      </c>
    </row>
    <row r="1767" spans="1:4">
      <c r="A1767" s="1" t="s">
        <v>5170</v>
      </c>
      <c r="B1767" s="1" t="s">
        <v>5189</v>
      </c>
      <c r="C1767" s="1" t="s">
        <v>38</v>
      </c>
      <c r="D1767" s="1" t="s">
        <v>1781</v>
      </c>
    </row>
    <row r="1768" spans="1:4">
      <c r="A1768" s="1" t="s">
        <v>5191</v>
      </c>
      <c r="B1768" s="1" t="s">
        <v>5190</v>
      </c>
      <c r="C1768" s="1" t="s">
        <v>38</v>
      </c>
      <c r="D1768" s="1" t="s">
        <v>1781</v>
      </c>
    </row>
    <row r="1769" spans="1:4">
      <c r="A1769" s="1" t="s">
        <v>481</v>
      </c>
      <c r="B1769" s="1" t="s">
        <v>5192</v>
      </c>
      <c r="C1769" s="1" t="s">
        <v>38</v>
      </c>
      <c r="D1769" s="1" t="s">
        <v>1781</v>
      </c>
    </row>
    <row r="1770" spans="1:4">
      <c r="A1770" s="1" t="s">
        <v>5194</v>
      </c>
      <c r="B1770" s="1" t="s">
        <v>5193</v>
      </c>
      <c r="C1770" s="1" t="s">
        <v>38</v>
      </c>
      <c r="D1770" s="1" t="s">
        <v>1781</v>
      </c>
    </row>
    <row r="1771" spans="1:4">
      <c r="A1771" s="1" t="s">
        <v>5173</v>
      </c>
      <c r="B1771" s="1" t="s">
        <v>5195</v>
      </c>
      <c r="C1771" s="1" t="s">
        <v>38</v>
      </c>
      <c r="D1771" s="1" t="s">
        <v>1781</v>
      </c>
    </row>
    <row r="1772" spans="1:4">
      <c r="A1772" s="1" t="s">
        <v>5197</v>
      </c>
      <c r="B1772" s="1" t="s">
        <v>5196</v>
      </c>
      <c r="C1772" s="1" t="s">
        <v>38</v>
      </c>
      <c r="D1772" s="1" t="s">
        <v>1781</v>
      </c>
    </row>
    <row r="1773" spans="1:4">
      <c r="A1773" s="1" t="s">
        <v>5171</v>
      </c>
      <c r="B1773" s="1" t="s">
        <v>5198</v>
      </c>
      <c r="C1773" s="1" t="s">
        <v>38</v>
      </c>
      <c r="D1773" s="1" t="s">
        <v>1781</v>
      </c>
    </row>
    <row r="1774" spans="1:4">
      <c r="A1774" s="1" t="s">
        <v>5172</v>
      </c>
      <c r="B1774" s="1" t="s">
        <v>5199</v>
      </c>
      <c r="C1774" s="1" t="s">
        <v>38</v>
      </c>
      <c r="D1774" s="1" t="s">
        <v>1781</v>
      </c>
    </row>
    <row r="1775" spans="1:4">
      <c r="A1775" s="1" t="s">
        <v>5201</v>
      </c>
      <c r="B1775" s="1" t="s">
        <v>5200</v>
      </c>
      <c r="C1775" s="1" t="s">
        <v>38</v>
      </c>
      <c r="D1775" s="1" t="s">
        <v>1781</v>
      </c>
    </row>
    <row r="1776" spans="1:4">
      <c r="A1776" s="1" t="s">
        <v>5167</v>
      </c>
      <c r="B1776" s="1" t="s">
        <v>5202</v>
      </c>
      <c r="C1776" s="1" t="s">
        <v>38</v>
      </c>
      <c r="D1776" s="1" t="s">
        <v>1781</v>
      </c>
    </row>
    <row r="1777" spans="1:4">
      <c r="A1777" s="1" t="s">
        <v>5204</v>
      </c>
      <c r="B1777" s="1" t="s">
        <v>5203</v>
      </c>
      <c r="C1777" s="1" t="s">
        <v>38</v>
      </c>
      <c r="D1777" s="1" t="s">
        <v>1781</v>
      </c>
    </row>
    <row r="1778" spans="1:4">
      <c r="A1778" s="1" t="s">
        <v>5206</v>
      </c>
      <c r="B1778" s="1" t="s">
        <v>5205</v>
      </c>
      <c r="C1778" s="1" t="s">
        <v>38</v>
      </c>
      <c r="D1778" s="1" t="s">
        <v>1781</v>
      </c>
    </row>
    <row r="1779" spans="1:4">
      <c r="A1779" s="1" t="s">
        <v>5208</v>
      </c>
      <c r="B1779" s="1" t="s">
        <v>5207</v>
      </c>
      <c r="C1779" s="1" t="s">
        <v>38</v>
      </c>
      <c r="D1779" s="1" t="s">
        <v>1781</v>
      </c>
    </row>
    <row r="1780" spans="1:4">
      <c r="A1780" s="1" t="s">
        <v>1376</v>
      </c>
      <c r="B1780" s="1" t="s">
        <v>5209</v>
      </c>
      <c r="C1780" s="1" t="s">
        <v>38</v>
      </c>
      <c r="D1780" s="1" t="s">
        <v>1781</v>
      </c>
    </row>
    <row r="1781" spans="1:4">
      <c r="A1781" s="1" t="s">
        <v>5175</v>
      </c>
      <c r="B1781" s="1" t="s">
        <v>5210</v>
      </c>
      <c r="C1781" s="1" t="s">
        <v>38</v>
      </c>
      <c r="D1781" s="1" t="s">
        <v>1781</v>
      </c>
    </row>
    <row r="1782" spans="1:4">
      <c r="A1782" s="1" t="s">
        <v>5169</v>
      </c>
      <c r="B1782" s="1" t="s">
        <v>5211</v>
      </c>
      <c r="C1782" s="1" t="s">
        <v>38</v>
      </c>
      <c r="D1782" s="1" t="s">
        <v>1781</v>
      </c>
    </row>
    <row r="1783" spans="1:4">
      <c r="A1783" s="1" t="s">
        <v>5178</v>
      </c>
      <c r="B1783" s="1" t="s">
        <v>5212</v>
      </c>
      <c r="C1783" s="1" t="s">
        <v>38</v>
      </c>
      <c r="D1783" s="1" t="s">
        <v>1781</v>
      </c>
    </row>
    <row r="1784" spans="1:4">
      <c r="A1784" s="1" t="s">
        <v>5179</v>
      </c>
      <c r="B1784" s="1" t="s">
        <v>5213</v>
      </c>
      <c r="C1784" s="1" t="s">
        <v>38</v>
      </c>
      <c r="D1784" s="1" t="s">
        <v>1781</v>
      </c>
    </row>
    <row r="1785" spans="1:4">
      <c r="A1785" s="1" t="s">
        <v>5215</v>
      </c>
      <c r="B1785" s="1" t="s">
        <v>5214</v>
      </c>
      <c r="C1785" s="1" t="s">
        <v>38</v>
      </c>
      <c r="D1785" s="1" t="s">
        <v>1781</v>
      </c>
    </row>
    <row r="1786" spans="1:4">
      <c r="A1786" s="1" t="s">
        <v>5180</v>
      </c>
      <c r="B1786" s="1" t="s">
        <v>5216</v>
      </c>
      <c r="C1786" s="1" t="s">
        <v>38</v>
      </c>
      <c r="D1786" s="1" t="s">
        <v>1781</v>
      </c>
    </row>
    <row r="1787" spans="1:4">
      <c r="A1787" s="1" t="s">
        <v>5218</v>
      </c>
      <c r="B1787" s="1" t="s">
        <v>5217</v>
      </c>
      <c r="C1787" s="1" t="s">
        <v>38</v>
      </c>
      <c r="D1787" s="1" t="s">
        <v>1781</v>
      </c>
    </row>
    <row r="1788" spans="1:4">
      <c r="A1788" s="1" t="s">
        <v>5220</v>
      </c>
      <c r="B1788" s="1" t="s">
        <v>5219</v>
      </c>
      <c r="C1788" s="1" t="s">
        <v>38</v>
      </c>
      <c r="D1788" s="1" t="s">
        <v>1781</v>
      </c>
    </row>
    <row r="1789" spans="1:4">
      <c r="A1789" s="1" t="s">
        <v>5222</v>
      </c>
      <c r="B1789" s="1" t="s">
        <v>5221</v>
      </c>
      <c r="C1789" s="1" t="s">
        <v>38</v>
      </c>
      <c r="D1789" s="1" t="s">
        <v>1781</v>
      </c>
    </row>
    <row r="1790" spans="1:4">
      <c r="A1790" s="1" t="s">
        <v>5176</v>
      </c>
      <c r="B1790" s="1" t="s">
        <v>5223</v>
      </c>
      <c r="C1790" s="1" t="s">
        <v>38</v>
      </c>
      <c r="D1790" s="1" t="s">
        <v>1781</v>
      </c>
    </row>
    <row r="1791" spans="1:4">
      <c r="A1791" s="1" t="s">
        <v>5225</v>
      </c>
      <c r="B1791" s="1" t="s">
        <v>5224</v>
      </c>
      <c r="C1791" s="1" t="s">
        <v>38</v>
      </c>
      <c r="D1791" s="1" t="s">
        <v>1781</v>
      </c>
    </row>
    <row r="1792" spans="1:4">
      <c r="A1792" s="1" t="s">
        <v>5227</v>
      </c>
      <c r="B1792" s="1" t="s">
        <v>5226</v>
      </c>
      <c r="C1792" s="1" t="s">
        <v>38</v>
      </c>
      <c r="D1792" s="1" t="s">
        <v>1781</v>
      </c>
    </row>
    <row r="1793" spans="1:4">
      <c r="A1793" s="1" t="s">
        <v>5229</v>
      </c>
      <c r="B1793" s="1" t="s">
        <v>5228</v>
      </c>
      <c r="C1793" s="1" t="s">
        <v>38</v>
      </c>
      <c r="D1793" s="1" t="s">
        <v>1781</v>
      </c>
    </row>
    <row r="1794" spans="1:4">
      <c r="A1794" s="1" t="s">
        <v>5231</v>
      </c>
      <c r="B1794" s="1" t="s">
        <v>5230</v>
      </c>
      <c r="C1794" s="1" t="s">
        <v>38</v>
      </c>
      <c r="D1794" s="1" t="s">
        <v>1781</v>
      </c>
    </row>
    <row r="1795" spans="1:4">
      <c r="A1795" s="1" t="s">
        <v>5248</v>
      </c>
      <c r="B1795" s="1" t="s">
        <v>5249</v>
      </c>
      <c r="C1795" s="1" t="s">
        <v>38</v>
      </c>
      <c r="D1795" s="1" t="s">
        <v>1781</v>
      </c>
    </row>
    <row r="1796" spans="1:4">
      <c r="A1796" s="1" t="s">
        <v>5251</v>
      </c>
      <c r="B1796" s="1" t="s">
        <v>5250</v>
      </c>
      <c r="C1796" s="1" t="s">
        <v>38</v>
      </c>
      <c r="D1796" s="1" t="s">
        <v>1781</v>
      </c>
    </row>
    <row r="1797" spans="1:4">
      <c r="A1797" s="1" t="s">
        <v>5234</v>
      </c>
      <c r="B1797" s="1" t="s">
        <v>5252</v>
      </c>
      <c r="C1797" s="1" t="s">
        <v>38</v>
      </c>
      <c r="D1797" s="1" t="s">
        <v>1781</v>
      </c>
    </row>
    <row r="1798" spans="1:4">
      <c r="A1798" s="1" t="s">
        <v>5239</v>
      </c>
      <c r="B1798" s="1" t="s">
        <v>5253</v>
      </c>
      <c r="C1798" s="1" t="s">
        <v>38</v>
      </c>
      <c r="D1798" s="1" t="s">
        <v>1781</v>
      </c>
    </row>
    <row r="1799" spans="1:4">
      <c r="A1799" s="1" t="s">
        <v>5236</v>
      </c>
      <c r="B1799" s="1" t="s">
        <v>5254</v>
      </c>
      <c r="C1799" s="1" t="s">
        <v>38</v>
      </c>
      <c r="D1799" s="1" t="s">
        <v>1781</v>
      </c>
    </row>
    <row r="1800" spans="1:4">
      <c r="A1800" s="1" t="s">
        <v>252</v>
      </c>
      <c r="B1800" s="1" t="s">
        <v>5255</v>
      </c>
      <c r="C1800" s="1" t="s">
        <v>38</v>
      </c>
      <c r="D1800" s="1" t="s">
        <v>1781</v>
      </c>
    </row>
    <row r="1801" spans="1:4">
      <c r="A1801" s="1" t="s">
        <v>5245</v>
      </c>
      <c r="B1801" s="1" t="s">
        <v>5256</v>
      </c>
      <c r="C1801" s="1" t="s">
        <v>38</v>
      </c>
      <c r="D1801" s="1" t="s">
        <v>1781</v>
      </c>
    </row>
    <row r="1802" spans="1:4">
      <c r="A1802" s="1" t="s">
        <v>5258</v>
      </c>
      <c r="B1802" s="1" t="s">
        <v>5257</v>
      </c>
      <c r="C1802" s="1" t="s">
        <v>38</v>
      </c>
      <c r="D1802" s="1" t="s">
        <v>1781</v>
      </c>
    </row>
    <row r="1803" spans="1:4">
      <c r="A1803" s="1" t="s">
        <v>5260</v>
      </c>
      <c r="B1803" s="1" t="s">
        <v>5259</v>
      </c>
      <c r="C1803" s="1" t="s">
        <v>38</v>
      </c>
      <c r="D1803" s="1" t="s">
        <v>1781</v>
      </c>
    </row>
    <row r="1804" spans="1:4">
      <c r="A1804" s="1" t="s">
        <v>5247</v>
      </c>
      <c r="B1804" s="1" t="s">
        <v>5261</v>
      </c>
      <c r="C1804" s="1" t="s">
        <v>38</v>
      </c>
      <c r="D1804" s="1" t="s">
        <v>1781</v>
      </c>
    </row>
    <row r="1805" spans="1:4">
      <c r="A1805" s="1" t="s">
        <v>456</v>
      </c>
      <c r="B1805" s="1" t="s">
        <v>5262</v>
      </c>
      <c r="C1805" s="1" t="s">
        <v>38</v>
      </c>
      <c r="D1805" s="1" t="s">
        <v>1781</v>
      </c>
    </row>
    <row r="1806" spans="1:4">
      <c r="A1806" s="1" t="s">
        <v>5264</v>
      </c>
      <c r="B1806" s="1" t="s">
        <v>5263</v>
      </c>
      <c r="C1806" s="1" t="s">
        <v>38</v>
      </c>
      <c r="D1806" s="1" t="s">
        <v>1781</v>
      </c>
    </row>
    <row r="1807" spans="1:4">
      <c r="A1807" s="1" t="s">
        <v>5241</v>
      </c>
      <c r="B1807" s="1" t="s">
        <v>5265</v>
      </c>
      <c r="C1807" s="1" t="s">
        <v>38</v>
      </c>
      <c r="D1807" s="1" t="s">
        <v>1781</v>
      </c>
    </row>
    <row r="1808" spans="1:4">
      <c r="A1808" s="1" t="s">
        <v>5246</v>
      </c>
      <c r="B1808" s="1" t="s">
        <v>5266</v>
      </c>
      <c r="C1808" s="1" t="s">
        <v>38</v>
      </c>
      <c r="D1808" s="1" t="s">
        <v>1781</v>
      </c>
    </row>
    <row r="1809" spans="1:4">
      <c r="A1809" s="1" t="s">
        <v>5268</v>
      </c>
      <c r="B1809" s="1" t="s">
        <v>5267</v>
      </c>
      <c r="C1809" s="1" t="s">
        <v>38</v>
      </c>
      <c r="D1809" s="1" t="s">
        <v>1781</v>
      </c>
    </row>
    <row r="1810" spans="1:4">
      <c r="A1810" s="1" t="s">
        <v>5270</v>
      </c>
      <c r="B1810" s="1" t="s">
        <v>5269</v>
      </c>
      <c r="C1810" s="1" t="s">
        <v>38</v>
      </c>
      <c r="D1810" s="1" t="s">
        <v>1781</v>
      </c>
    </row>
    <row r="1811" spans="1:4">
      <c r="A1811" s="1" t="s">
        <v>5242</v>
      </c>
      <c r="B1811" s="1" t="s">
        <v>5271</v>
      </c>
      <c r="C1811" s="1" t="s">
        <v>38</v>
      </c>
      <c r="D1811" s="1" t="s">
        <v>1781</v>
      </c>
    </row>
    <row r="1812" spans="1:4">
      <c r="A1812" s="1" t="s">
        <v>5238</v>
      </c>
      <c r="B1812" s="1" t="s">
        <v>5272</v>
      </c>
      <c r="C1812" s="1" t="s">
        <v>38</v>
      </c>
      <c r="D1812" s="1" t="s">
        <v>1781</v>
      </c>
    </row>
    <row r="1813" spans="1:4">
      <c r="A1813" s="1" t="s">
        <v>5274</v>
      </c>
      <c r="B1813" s="1" t="s">
        <v>5273</v>
      </c>
      <c r="C1813" s="1" t="s">
        <v>38</v>
      </c>
      <c r="D1813" s="1" t="s">
        <v>1781</v>
      </c>
    </row>
    <row r="1814" spans="1:4">
      <c r="A1814" s="1" t="s">
        <v>5276</v>
      </c>
      <c r="B1814" s="1" t="s">
        <v>5275</v>
      </c>
      <c r="C1814" s="1" t="s">
        <v>38</v>
      </c>
      <c r="D1814" s="1" t="s">
        <v>1781</v>
      </c>
    </row>
    <row r="1815" spans="1:4">
      <c r="A1815" s="1" t="s">
        <v>5278</v>
      </c>
      <c r="B1815" s="1" t="s">
        <v>5277</v>
      </c>
      <c r="C1815" s="1" t="s">
        <v>38</v>
      </c>
      <c r="D1815" s="1" t="s">
        <v>1781</v>
      </c>
    </row>
    <row r="1816" spans="1:4">
      <c r="A1816" s="1" t="s">
        <v>609</v>
      </c>
      <c r="B1816" s="1" t="s">
        <v>5279</v>
      </c>
      <c r="C1816" s="1"/>
      <c r="D1816" s="1" t="s">
        <v>1781</v>
      </c>
    </row>
    <row r="1817" spans="1:4">
      <c r="A1817" s="1" t="s">
        <v>5281</v>
      </c>
      <c r="B1817" s="1" t="s">
        <v>5280</v>
      </c>
      <c r="C1817" s="1" t="s">
        <v>38</v>
      </c>
      <c r="D1817" s="1" t="s">
        <v>1781</v>
      </c>
    </row>
    <row r="1818" spans="1:4">
      <c r="A1818" s="1" t="s">
        <v>5232</v>
      </c>
      <c r="B1818" s="1" t="s">
        <v>5282</v>
      </c>
      <c r="C1818" s="1" t="s">
        <v>38</v>
      </c>
      <c r="D1818" s="1" t="s">
        <v>1781</v>
      </c>
    </row>
    <row r="1819" spans="1:4">
      <c r="A1819" s="1" t="s">
        <v>5284</v>
      </c>
      <c r="B1819" s="1" t="s">
        <v>5283</v>
      </c>
      <c r="C1819" s="1"/>
      <c r="D1819" s="1" t="s">
        <v>1781</v>
      </c>
    </row>
    <row r="1820" spans="1:4">
      <c r="A1820" s="1" t="s">
        <v>576</v>
      </c>
      <c r="B1820" s="1" t="s">
        <v>5285</v>
      </c>
      <c r="C1820" s="1"/>
      <c r="D1820" s="1" t="s">
        <v>1781</v>
      </c>
    </row>
    <row r="1821" spans="1:4">
      <c r="A1821" s="1" t="s">
        <v>5240</v>
      </c>
      <c r="B1821" s="1" t="s">
        <v>5286</v>
      </c>
      <c r="C1821" s="1"/>
      <c r="D1821" s="1" t="s">
        <v>1781</v>
      </c>
    </row>
    <row r="1822" spans="1:4">
      <c r="A1822" s="1" t="s">
        <v>5288</v>
      </c>
      <c r="B1822" s="1" t="s">
        <v>5287</v>
      </c>
      <c r="C1822" s="1"/>
      <c r="D1822" s="1" t="s">
        <v>1781</v>
      </c>
    </row>
    <row r="1823" spans="1:4">
      <c r="A1823" s="1" t="s">
        <v>5243</v>
      </c>
      <c r="B1823" s="1" t="s">
        <v>5289</v>
      </c>
      <c r="C1823" s="1"/>
      <c r="D1823" s="1" t="s">
        <v>1781</v>
      </c>
    </row>
    <row r="1824" spans="1:4">
      <c r="A1824" s="1" t="s">
        <v>5235</v>
      </c>
      <c r="B1824" s="1" t="s">
        <v>5290</v>
      </c>
      <c r="C1824" s="1" t="s">
        <v>38</v>
      </c>
      <c r="D1824" s="1" t="s">
        <v>1781</v>
      </c>
    </row>
    <row r="1825" spans="1:4">
      <c r="A1825" s="1" t="s">
        <v>148</v>
      </c>
      <c r="B1825" s="1" t="s">
        <v>5291</v>
      </c>
      <c r="C1825" s="1" t="s">
        <v>38</v>
      </c>
      <c r="D1825" s="1" t="s">
        <v>1781</v>
      </c>
    </row>
    <row r="1826" spans="1:4">
      <c r="A1826" s="1" t="s">
        <v>5237</v>
      </c>
      <c r="B1826" s="1" t="s">
        <v>5292</v>
      </c>
      <c r="C1826" s="1" t="s">
        <v>38</v>
      </c>
      <c r="D1826" s="1" t="s">
        <v>1781</v>
      </c>
    </row>
    <row r="1827" spans="1:4">
      <c r="A1827" s="1" t="s">
        <v>5244</v>
      </c>
      <c r="B1827" s="1" t="s">
        <v>5293</v>
      </c>
      <c r="C1827" s="1" t="s">
        <v>38</v>
      </c>
      <c r="D1827" s="1" t="s">
        <v>1781</v>
      </c>
    </row>
    <row r="1828" spans="1:4">
      <c r="A1828" s="1" t="s">
        <v>5233</v>
      </c>
      <c r="B1828" s="1" t="s">
        <v>5294</v>
      </c>
      <c r="C1828" s="1" t="s">
        <v>38</v>
      </c>
      <c r="D1828" s="1" t="s">
        <v>1781</v>
      </c>
    </row>
    <row r="1829" spans="1:4">
      <c r="A1829" s="1" t="s">
        <v>5300</v>
      </c>
      <c r="B1829" s="1" t="s">
        <v>5381</v>
      </c>
      <c r="C1829" s="1" t="s">
        <v>38</v>
      </c>
      <c r="D1829" s="1" t="s">
        <v>1781</v>
      </c>
    </row>
    <row r="1830" spans="1:4">
      <c r="A1830" s="1" t="s">
        <v>5328</v>
      </c>
      <c r="B1830" s="1" t="s">
        <v>5382</v>
      </c>
      <c r="C1830" s="1" t="s">
        <v>38</v>
      </c>
      <c r="D1830" s="1" t="s">
        <v>1781</v>
      </c>
    </row>
    <row r="1831" spans="1:4">
      <c r="A1831" s="1" t="s">
        <v>5384</v>
      </c>
      <c r="B1831" s="1" t="s">
        <v>5383</v>
      </c>
      <c r="C1831" s="1" t="s">
        <v>38</v>
      </c>
      <c r="D1831" s="1" t="s">
        <v>1781</v>
      </c>
    </row>
    <row r="1832" spans="1:4">
      <c r="A1832" s="1" t="s">
        <v>5307</v>
      </c>
      <c r="B1832" s="1" t="s">
        <v>5385</v>
      </c>
      <c r="C1832" s="1" t="s">
        <v>38</v>
      </c>
      <c r="D1832" s="1" t="s">
        <v>1781</v>
      </c>
    </row>
    <row r="1833" spans="1:4">
      <c r="A1833" s="1" t="s">
        <v>5359</v>
      </c>
      <c r="B1833" s="1" t="s">
        <v>5386</v>
      </c>
      <c r="C1833" s="1" t="s">
        <v>38</v>
      </c>
      <c r="D1833" s="1" t="s">
        <v>1781</v>
      </c>
    </row>
    <row r="1834" spans="1:4">
      <c r="A1834" s="1" t="s">
        <v>5388</v>
      </c>
      <c r="B1834" s="1" t="s">
        <v>5387</v>
      </c>
      <c r="C1834" s="1" t="s">
        <v>38</v>
      </c>
      <c r="D1834" s="1" t="s">
        <v>1781</v>
      </c>
    </row>
    <row r="1835" spans="1:4">
      <c r="A1835" s="1" t="s">
        <v>5305</v>
      </c>
      <c r="B1835" s="1" t="s">
        <v>5389</v>
      </c>
      <c r="C1835" s="1" t="s">
        <v>38</v>
      </c>
      <c r="D1835" s="1" t="s">
        <v>1781</v>
      </c>
    </row>
    <row r="1836" spans="1:4">
      <c r="A1836" s="1" t="s">
        <v>5332</v>
      </c>
      <c r="B1836" s="1" t="s">
        <v>5390</v>
      </c>
      <c r="C1836" s="1" t="s">
        <v>38</v>
      </c>
      <c r="D1836" s="1" t="s">
        <v>1781</v>
      </c>
    </row>
    <row r="1837" spans="1:4">
      <c r="A1837" s="1" t="s">
        <v>5303</v>
      </c>
      <c r="B1837" s="1" t="s">
        <v>5391</v>
      </c>
      <c r="C1837" s="1" t="s">
        <v>38</v>
      </c>
      <c r="D1837" s="1" t="s">
        <v>1781</v>
      </c>
    </row>
    <row r="1838" spans="1:4">
      <c r="A1838" s="1" t="s">
        <v>5393</v>
      </c>
      <c r="B1838" s="1" t="s">
        <v>5392</v>
      </c>
      <c r="C1838" s="1" t="s">
        <v>38</v>
      </c>
      <c r="D1838" s="1" t="s">
        <v>1781</v>
      </c>
    </row>
    <row r="1839" spans="1:4">
      <c r="A1839" s="1" t="s">
        <v>1643</v>
      </c>
      <c r="B1839" s="1" t="s">
        <v>5394</v>
      </c>
      <c r="C1839" s="1" t="s">
        <v>38</v>
      </c>
      <c r="D1839" s="1" t="s">
        <v>1781</v>
      </c>
    </row>
    <row r="1840" spans="1:4">
      <c r="A1840" s="1" t="s">
        <v>5316</v>
      </c>
      <c r="B1840" s="1" t="s">
        <v>5395</v>
      </c>
      <c r="C1840" s="1" t="s">
        <v>38</v>
      </c>
      <c r="D1840" s="1" t="s">
        <v>1781</v>
      </c>
    </row>
    <row r="1841" spans="1:4">
      <c r="A1841" s="1" t="s">
        <v>5363</v>
      </c>
      <c r="B1841" s="1" t="s">
        <v>5396</v>
      </c>
      <c r="C1841" s="1" t="s">
        <v>38</v>
      </c>
      <c r="D1841" s="1" t="s">
        <v>1781</v>
      </c>
    </row>
    <row r="1842" spans="1:4">
      <c r="A1842" s="1" t="s">
        <v>5398</v>
      </c>
      <c r="B1842" s="1" t="s">
        <v>5397</v>
      </c>
      <c r="C1842" s="1" t="s">
        <v>38</v>
      </c>
      <c r="D1842" s="1" t="s">
        <v>1781</v>
      </c>
    </row>
    <row r="1843" spans="1:4">
      <c r="A1843" s="1" t="s">
        <v>5400</v>
      </c>
      <c r="B1843" s="1" t="s">
        <v>5399</v>
      </c>
      <c r="C1843" s="1"/>
      <c r="D1843" s="1" t="s">
        <v>1781</v>
      </c>
    </row>
    <row r="1844" spans="1:4">
      <c r="A1844" s="1" t="s">
        <v>5369</v>
      </c>
      <c r="B1844" s="1" t="s">
        <v>5401</v>
      </c>
      <c r="C1844" s="1" t="s">
        <v>38</v>
      </c>
      <c r="D1844" s="1" t="s">
        <v>1781</v>
      </c>
    </row>
    <row r="1845" spans="1:4">
      <c r="A1845" s="1" t="s">
        <v>5403</v>
      </c>
      <c r="B1845" s="1" t="s">
        <v>5402</v>
      </c>
      <c r="C1845" s="1" t="s">
        <v>38</v>
      </c>
      <c r="D1845" s="1" t="s">
        <v>1781</v>
      </c>
    </row>
    <row r="1846" spans="1:4">
      <c r="A1846" s="1" t="s">
        <v>5405</v>
      </c>
      <c r="B1846" s="1" t="s">
        <v>5404</v>
      </c>
      <c r="C1846" s="1" t="s">
        <v>38</v>
      </c>
      <c r="D1846" s="1" t="s">
        <v>1781</v>
      </c>
    </row>
    <row r="1847" spans="1:4">
      <c r="A1847" s="1" t="s">
        <v>5407</v>
      </c>
      <c r="B1847" s="1" t="s">
        <v>5406</v>
      </c>
      <c r="C1847" s="1" t="s">
        <v>38</v>
      </c>
      <c r="D1847" s="1" t="s">
        <v>1781</v>
      </c>
    </row>
    <row r="1848" spans="1:4">
      <c r="A1848" s="1" t="s">
        <v>5377</v>
      </c>
      <c r="B1848" s="1" t="s">
        <v>5408</v>
      </c>
      <c r="C1848" s="1" t="s">
        <v>38</v>
      </c>
      <c r="D1848" s="1" t="s">
        <v>1781</v>
      </c>
    </row>
    <row r="1849" spans="1:4">
      <c r="A1849" s="1" t="s">
        <v>5325</v>
      </c>
      <c r="B1849" s="1" t="s">
        <v>5409</v>
      </c>
      <c r="C1849" s="1" t="s">
        <v>38</v>
      </c>
      <c r="D1849" s="1" t="s">
        <v>1781</v>
      </c>
    </row>
    <row r="1850" spans="1:4">
      <c r="A1850" s="1" t="s">
        <v>5335</v>
      </c>
      <c r="B1850" s="1" t="s">
        <v>5410</v>
      </c>
      <c r="C1850" s="1" t="s">
        <v>38</v>
      </c>
      <c r="D1850" s="1" t="s">
        <v>1781</v>
      </c>
    </row>
    <row r="1851" spans="1:4">
      <c r="A1851" s="1" t="s">
        <v>5367</v>
      </c>
      <c r="B1851" s="1" t="s">
        <v>5411</v>
      </c>
      <c r="C1851" s="1" t="s">
        <v>38</v>
      </c>
      <c r="D1851" s="1" t="s">
        <v>1781</v>
      </c>
    </row>
    <row r="1852" spans="1:4">
      <c r="A1852" s="1" t="s">
        <v>846</v>
      </c>
      <c r="B1852" s="1" t="s">
        <v>5412</v>
      </c>
      <c r="C1852" s="1" t="s">
        <v>38</v>
      </c>
      <c r="D1852" s="1" t="s">
        <v>1781</v>
      </c>
    </row>
    <row r="1853" spans="1:4">
      <c r="A1853" s="1" t="s">
        <v>5360</v>
      </c>
      <c r="B1853" s="1" t="s">
        <v>5413</v>
      </c>
      <c r="C1853" s="1" t="s">
        <v>38</v>
      </c>
      <c r="D1853" s="1" t="s">
        <v>1781</v>
      </c>
    </row>
    <row r="1854" spans="1:4">
      <c r="A1854" s="1" t="s">
        <v>665</v>
      </c>
      <c r="B1854" s="1" t="s">
        <v>5414</v>
      </c>
      <c r="C1854" s="1" t="s">
        <v>38</v>
      </c>
      <c r="D1854" s="1" t="s">
        <v>1781</v>
      </c>
    </row>
    <row r="1855" spans="1:4">
      <c r="A1855" s="1" t="s">
        <v>5416</v>
      </c>
      <c r="B1855" s="1" t="s">
        <v>5415</v>
      </c>
      <c r="C1855" s="1" t="s">
        <v>38</v>
      </c>
      <c r="D1855" s="1" t="s">
        <v>1781</v>
      </c>
    </row>
    <row r="1856" spans="1:4">
      <c r="A1856" s="1" t="s">
        <v>5418</v>
      </c>
      <c r="B1856" s="1" t="s">
        <v>5417</v>
      </c>
      <c r="C1856" s="1" t="s">
        <v>38</v>
      </c>
      <c r="D1856" s="1" t="s">
        <v>1781</v>
      </c>
    </row>
    <row r="1857" spans="1:4">
      <c r="A1857" s="1" t="s">
        <v>5376</v>
      </c>
      <c r="B1857" s="1" t="s">
        <v>5419</v>
      </c>
      <c r="C1857" s="1" t="s">
        <v>38</v>
      </c>
      <c r="D1857" s="1" t="s">
        <v>1781</v>
      </c>
    </row>
    <row r="1858" spans="1:4">
      <c r="A1858" s="1" t="s">
        <v>5318</v>
      </c>
      <c r="B1858" s="1" t="s">
        <v>5420</v>
      </c>
      <c r="C1858" s="1" t="s">
        <v>38</v>
      </c>
      <c r="D1858" s="1" t="s">
        <v>1781</v>
      </c>
    </row>
    <row r="1859" spans="1:4">
      <c r="A1859" s="1" t="s">
        <v>5422</v>
      </c>
      <c r="B1859" s="1" t="s">
        <v>5421</v>
      </c>
      <c r="C1859" s="1" t="s">
        <v>38</v>
      </c>
      <c r="D1859" s="1" t="s">
        <v>1781</v>
      </c>
    </row>
    <row r="1860" spans="1:4">
      <c r="A1860" s="1" t="s">
        <v>5298</v>
      </c>
      <c r="B1860" s="1" t="s">
        <v>5423</v>
      </c>
      <c r="C1860" s="1" t="s">
        <v>38</v>
      </c>
      <c r="D1860" s="1" t="s">
        <v>1781</v>
      </c>
    </row>
    <row r="1861" spans="1:4">
      <c r="A1861" s="1" t="s">
        <v>5425</v>
      </c>
      <c r="B1861" s="1" t="s">
        <v>5424</v>
      </c>
      <c r="C1861" s="1" t="s">
        <v>38</v>
      </c>
      <c r="D1861" s="1" t="s">
        <v>1781</v>
      </c>
    </row>
    <row r="1862" spans="1:4">
      <c r="A1862" s="1" t="s">
        <v>5320</v>
      </c>
      <c r="B1862" s="1" t="s">
        <v>5426</v>
      </c>
      <c r="C1862" s="1" t="s">
        <v>38</v>
      </c>
      <c r="D1862" s="1" t="s">
        <v>1781</v>
      </c>
    </row>
    <row r="1863" spans="1:4">
      <c r="A1863" s="1" t="s">
        <v>5428</v>
      </c>
      <c r="B1863" s="1" t="s">
        <v>5427</v>
      </c>
      <c r="C1863" s="1" t="s">
        <v>38</v>
      </c>
      <c r="D1863" s="1" t="s">
        <v>1781</v>
      </c>
    </row>
    <row r="1864" spans="1:4">
      <c r="A1864" s="1" t="s">
        <v>5430</v>
      </c>
      <c r="B1864" s="1" t="s">
        <v>5429</v>
      </c>
      <c r="C1864" s="1" t="s">
        <v>38</v>
      </c>
      <c r="D1864" s="1" t="s">
        <v>1781</v>
      </c>
    </row>
    <row r="1865" spans="1:4">
      <c r="A1865" s="1" t="s">
        <v>5432</v>
      </c>
      <c r="B1865" s="1" t="s">
        <v>5431</v>
      </c>
      <c r="C1865" s="1" t="s">
        <v>38</v>
      </c>
      <c r="D1865" s="1" t="s">
        <v>1781</v>
      </c>
    </row>
    <row r="1866" spans="1:4">
      <c r="A1866" s="1" t="s">
        <v>5434</v>
      </c>
      <c r="B1866" s="1" t="s">
        <v>5433</v>
      </c>
      <c r="C1866" s="1" t="s">
        <v>38</v>
      </c>
      <c r="D1866" s="1" t="s">
        <v>1781</v>
      </c>
    </row>
    <row r="1867" spans="1:4">
      <c r="A1867" s="1" t="s">
        <v>5436</v>
      </c>
      <c r="B1867" s="1" t="s">
        <v>5435</v>
      </c>
      <c r="C1867" s="1" t="s">
        <v>38</v>
      </c>
      <c r="D1867" s="1" t="s">
        <v>1781</v>
      </c>
    </row>
    <row r="1868" spans="1:4">
      <c r="A1868" s="1" t="s">
        <v>1508</v>
      </c>
      <c r="B1868" s="1" t="s">
        <v>5437</v>
      </c>
      <c r="C1868" s="1" t="s">
        <v>38</v>
      </c>
      <c r="D1868" s="1" t="s">
        <v>1781</v>
      </c>
    </row>
    <row r="1869" spans="1:4">
      <c r="A1869" s="1" t="s">
        <v>493</v>
      </c>
      <c r="B1869" s="1" t="s">
        <v>5438</v>
      </c>
      <c r="C1869" s="1" t="s">
        <v>38</v>
      </c>
      <c r="D1869" s="1" t="s">
        <v>1781</v>
      </c>
    </row>
    <row r="1870" spans="1:4">
      <c r="A1870" s="1" t="s">
        <v>841</v>
      </c>
      <c r="B1870" s="1" t="s">
        <v>5439</v>
      </c>
      <c r="C1870" s="1" t="s">
        <v>38</v>
      </c>
      <c r="D1870" s="1" t="s">
        <v>1781</v>
      </c>
    </row>
    <row r="1871" spans="1:4">
      <c r="A1871" s="1" t="s">
        <v>5339</v>
      </c>
      <c r="B1871" s="1" t="s">
        <v>5440</v>
      </c>
      <c r="C1871" s="1" t="s">
        <v>38</v>
      </c>
      <c r="D1871" s="1" t="s">
        <v>1781</v>
      </c>
    </row>
    <row r="1872" spans="1:4">
      <c r="A1872" s="1" t="s">
        <v>5372</v>
      </c>
      <c r="B1872" s="1" t="s">
        <v>5441</v>
      </c>
      <c r="C1872" s="1" t="s">
        <v>38</v>
      </c>
      <c r="D1872" s="1" t="s">
        <v>1781</v>
      </c>
    </row>
    <row r="1873" spans="1:4">
      <c r="A1873" s="1" t="s">
        <v>5295</v>
      </c>
      <c r="B1873" s="1" t="s">
        <v>5442</v>
      </c>
      <c r="C1873" s="1" t="s">
        <v>38</v>
      </c>
      <c r="D1873" s="1" t="s">
        <v>1781</v>
      </c>
    </row>
    <row r="1874" spans="1:4">
      <c r="A1874" s="1" t="s">
        <v>5357</v>
      </c>
      <c r="B1874" s="1" t="s">
        <v>5443</v>
      </c>
      <c r="C1874" s="1" t="s">
        <v>38</v>
      </c>
      <c r="D1874" s="1" t="s">
        <v>1781</v>
      </c>
    </row>
    <row r="1875" spans="1:4">
      <c r="A1875" s="1" t="s">
        <v>5365</v>
      </c>
      <c r="B1875" s="1" t="s">
        <v>5444</v>
      </c>
      <c r="C1875" s="1" t="s">
        <v>38</v>
      </c>
      <c r="D1875" s="1" t="s">
        <v>1781</v>
      </c>
    </row>
    <row r="1876" spans="1:4">
      <c r="A1876" s="1" t="s">
        <v>5378</v>
      </c>
      <c r="B1876" s="1" t="s">
        <v>5445</v>
      </c>
      <c r="C1876" s="1"/>
      <c r="D1876" s="1" t="s">
        <v>1781</v>
      </c>
    </row>
    <row r="1877" spans="1:4">
      <c r="A1877" s="1" t="s">
        <v>5326</v>
      </c>
      <c r="B1877" s="1" t="s">
        <v>5446</v>
      </c>
      <c r="C1877" s="1" t="s">
        <v>38</v>
      </c>
      <c r="D1877" s="1" t="s">
        <v>1781</v>
      </c>
    </row>
    <row r="1878" spans="1:4">
      <c r="A1878" s="1" t="s">
        <v>5448</v>
      </c>
      <c r="B1878" s="1" t="s">
        <v>5447</v>
      </c>
      <c r="C1878" s="1" t="s">
        <v>38</v>
      </c>
      <c r="D1878" s="1" t="s">
        <v>1781</v>
      </c>
    </row>
    <row r="1879" spans="1:4">
      <c r="A1879" s="1" t="s">
        <v>5450</v>
      </c>
      <c r="B1879" s="1" t="s">
        <v>5449</v>
      </c>
      <c r="C1879" s="1" t="s">
        <v>38</v>
      </c>
      <c r="D1879" s="1" t="s">
        <v>1781</v>
      </c>
    </row>
    <row r="1880" spans="1:4">
      <c r="A1880" s="1" t="s">
        <v>5452</v>
      </c>
      <c r="B1880" s="1" t="s">
        <v>5451</v>
      </c>
      <c r="C1880" s="1"/>
      <c r="D1880" s="1" t="s">
        <v>1781</v>
      </c>
    </row>
    <row r="1881" spans="1:4">
      <c r="A1881" s="1" t="s">
        <v>5454</v>
      </c>
      <c r="B1881" s="1" t="s">
        <v>5453</v>
      </c>
      <c r="C1881" s="1" t="s">
        <v>38</v>
      </c>
      <c r="D1881" s="1" t="s">
        <v>1781</v>
      </c>
    </row>
    <row r="1882" spans="1:4">
      <c r="A1882" s="1" t="s">
        <v>5456</v>
      </c>
      <c r="B1882" s="1" t="s">
        <v>5455</v>
      </c>
      <c r="C1882" s="1" t="s">
        <v>38</v>
      </c>
      <c r="D1882" s="1" t="s">
        <v>1781</v>
      </c>
    </row>
    <row r="1883" spans="1:4">
      <c r="A1883" s="1" t="s">
        <v>5458</v>
      </c>
      <c r="B1883" s="1" t="s">
        <v>5457</v>
      </c>
      <c r="C1883" s="1" t="s">
        <v>38</v>
      </c>
      <c r="D1883" s="1" t="s">
        <v>1781</v>
      </c>
    </row>
    <row r="1884" spans="1:4">
      <c r="A1884" s="1" t="s">
        <v>5460</v>
      </c>
      <c r="B1884" s="1" t="s">
        <v>5459</v>
      </c>
      <c r="C1884" s="1" t="s">
        <v>38</v>
      </c>
      <c r="D1884" s="1" t="s">
        <v>1781</v>
      </c>
    </row>
    <row r="1885" spans="1:4">
      <c r="A1885" s="1" t="s">
        <v>5462</v>
      </c>
      <c r="B1885" s="1" t="s">
        <v>5461</v>
      </c>
      <c r="C1885" s="1" t="s">
        <v>38</v>
      </c>
      <c r="D1885" s="1" t="s">
        <v>1781</v>
      </c>
    </row>
    <row r="1886" spans="1:4">
      <c r="A1886" s="1" t="s">
        <v>5464</v>
      </c>
      <c r="B1886" s="1" t="s">
        <v>5463</v>
      </c>
      <c r="C1886" s="1" t="s">
        <v>38</v>
      </c>
      <c r="D1886" s="1" t="s">
        <v>1781</v>
      </c>
    </row>
    <row r="1887" spans="1:4">
      <c r="A1887" s="1" t="s">
        <v>5375</v>
      </c>
      <c r="B1887" s="1" t="s">
        <v>5465</v>
      </c>
      <c r="C1887" s="1" t="s">
        <v>38</v>
      </c>
      <c r="D1887" s="1" t="s">
        <v>1781</v>
      </c>
    </row>
    <row r="1888" spans="1:4">
      <c r="A1888" s="1" t="s">
        <v>5338</v>
      </c>
      <c r="B1888" s="1" t="s">
        <v>5466</v>
      </c>
      <c r="C1888" s="1" t="s">
        <v>38</v>
      </c>
      <c r="D1888" s="1" t="s">
        <v>1781</v>
      </c>
    </row>
    <row r="1889" spans="1:4">
      <c r="A1889" s="1" t="s">
        <v>5468</v>
      </c>
      <c r="B1889" s="1" t="s">
        <v>5467</v>
      </c>
      <c r="C1889" s="1" t="s">
        <v>38</v>
      </c>
      <c r="D1889" s="1" t="s">
        <v>1781</v>
      </c>
    </row>
    <row r="1890" spans="1:4">
      <c r="A1890" s="1" t="s">
        <v>826</v>
      </c>
      <c r="B1890" s="1" t="s">
        <v>5469</v>
      </c>
      <c r="C1890" s="1" t="s">
        <v>38</v>
      </c>
      <c r="D1890" s="1" t="s">
        <v>1781</v>
      </c>
    </row>
    <row r="1891" spans="1:4">
      <c r="A1891" s="1" t="s">
        <v>5312</v>
      </c>
      <c r="B1891" s="1" t="s">
        <v>5470</v>
      </c>
      <c r="C1891" s="1" t="s">
        <v>38</v>
      </c>
      <c r="D1891" s="1" t="s">
        <v>1781</v>
      </c>
    </row>
    <row r="1892" spans="1:4">
      <c r="A1892" s="1" t="s">
        <v>5472</v>
      </c>
      <c r="B1892" s="1" t="s">
        <v>5471</v>
      </c>
      <c r="C1892" s="1" t="s">
        <v>38</v>
      </c>
      <c r="D1892" s="1" t="s">
        <v>1781</v>
      </c>
    </row>
    <row r="1893" spans="1:4">
      <c r="A1893" s="1" t="s">
        <v>5302</v>
      </c>
      <c r="B1893" s="1" t="s">
        <v>5473</v>
      </c>
      <c r="C1893" s="1" t="s">
        <v>38</v>
      </c>
      <c r="D1893" s="1" t="s">
        <v>1781</v>
      </c>
    </row>
    <row r="1894" spans="1:4">
      <c r="A1894" s="1" t="s">
        <v>5353</v>
      </c>
      <c r="B1894" s="1" t="s">
        <v>5474</v>
      </c>
      <c r="C1894" s="1" t="s">
        <v>38</v>
      </c>
      <c r="D1894" s="1" t="s">
        <v>1781</v>
      </c>
    </row>
    <row r="1895" spans="1:4">
      <c r="A1895" s="1" t="s">
        <v>5321</v>
      </c>
      <c r="B1895" s="1" t="s">
        <v>5475</v>
      </c>
      <c r="C1895" s="1" t="s">
        <v>38</v>
      </c>
      <c r="D1895" s="1" t="s">
        <v>1781</v>
      </c>
    </row>
    <row r="1896" spans="1:4">
      <c r="A1896" s="1" t="s">
        <v>5322</v>
      </c>
      <c r="B1896" s="1" t="s">
        <v>5476</v>
      </c>
      <c r="C1896" s="1" t="s">
        <v>38</v>
      </c>
      <c r="D1896" s="1" t="s">
        <v>1781</v>
      </c>
    </row>
    <row r="1897" spans="1:4">
      <c r="A1897" s="1" t="s">
        <v>5337</v>
      </c>
      <c r="B1897" s="1" t="s">
        <v>5477</v>
      </c>
      <c r="C1897" s="1" t="s">
        <v>38</v>
      </c>
      <c r="D1897" s="1" t="s">
        <v>1781</v>
      </c>
    </row>
    <row r="1898" spans="1:4">
      <c r="A1898" s="1" t="s">
        <v>5479</v>
      </c>
      <c r="B1898" s="1" t="s">
        <v>5478</v>
      </c>
      <c r="C1898" s="1" t="s">
        <v>38</v>
      </c>
      <c r="D1898" s="1" t="s">
        <v>1781</v>
      </c>
    </row>
    <row r="1899" spans="1:4">
      <c r="A1899" s="1" t="s">
        <v>5481</v>
      </c>
      <c r="B1899" s="1" t="s">
        <v>5480</v>
      </c>
      <c r="C1899" s="1" t="s">
        <v>38</v>
      </c>
      <c r="D1899" s="1" t="s">
        <v>1781</v>
      </c>
    </row>
    <row r="1900" spans="1:4">
      <c r="A1900" s="1" t="s">
        <v>1843</v>
      </c>
      <c r="B1900" s="1" t="s">
        <v>5482</v>
      </c>
      <c r="C1900" s="1" t="s">
        <v>38</v>
      </c>
      <c r="D1900" s="1" t="s">
        <v>1781</v>
      </c>
    </row>
    <row r="1901" spans="1:4">
      <c r="A1901" s="1" t="s">
        <v>5484</v>
      </c>
      <c r="B1901" s="1" t="s">
        <v>5483</v>
      </c>
      <c r="C1901" s="1" t="s">
        <v>38</v>
      </c>
      <c r="D1901" s="1" t="s">
        <v>1781</v>
      </c>
    </row>
    <row r="1902" spans="1:4">
      <c r="A1902" s="1" t="s">
        <v>5358</v>
      </c>
      <c r="B1902" s="1" t="s">
        <v>5485</v>
      </c>
      <c r="C1902" s="1" t="s">
        <v>38</v>
      </c>
      <c r="D1902" s="1" t="s">
        <v>1781</v>
      </c>
    </row>
    <row r="1903" spans="1:4">
      <c r="A1903" s="1" t="s">
        <v>5487</v>
      </c>
      <c r="B1903" s="1" t="s">
        <v>5486</v>
      </c>
      <c r="C1903" s="1" t="s">
        <v>38</v>
      </c>
      <c r="D1903" s="1" t="s">
        <v>1781</v>
      </c>
    </row>
    <row r="1904" spans="1:4">
      <c r="A1904" s="1" t="s">
        <v>5489</v>
      </c>
      <c r="B1904" s="1" t="s">
        <v>5488</v>
      </c>
      <c r="C1904" s="1" t="s">
        <v>38</v>
      </c>
      <c r="D1904" s="1" t="s">
        <v>1781</v>
      </c>
    </row>
    <row r="1905" spans="1:4">
      <c r="A1905" s="1" t="s">
        <v>5329</v>
      </c>
      <c r="B1905" s="1" t="s">
        <v>5490</v>
      </c>
      <c r="C1905" s="1" t="s">
        <v>38</v>
      </c>
      <c r="D1905" s="1" t="s">
        <v>1781</v>
      </c>
    </row>
    <row r="1906" spans="1:4">
      <c r="A1906" s="1" t="s">
        <v>5361</v>
      </c>
      <c r="B1906" s="1" t="s">
        <v>5491</v>
      </c>
      <c r="C1906" s="1" t="s">
        <v>38</v>
      </c>
      <c r="D1906" s="1" t="s">
        <v>1781</v>
      </c>
    </row>
    <row r="1907" spans="1:4">
      <c r="A1907" s="1" t="s">
        <v>5379</v>
      </c>
      <c r="B1907" s="1" t="s">
        <v>5492</v>
      </c>
      <c r="C1907" s="1" t="s">
        <v>38</v>
      </c>
      <c r="D1907" s="1" t="s">
        <v>1781</v>
      </c>
    </row>
    <row r="1908" spans="1:4">
      <c r="A1908" s="1" t="s">
        <v>5494</v>
      </c>
      <c r="B1908" s="1" t="s">
        <v>5493</v>
      </c>
      <c r="C1908" s="1" t="s">
        <v>38</v>
      </c>
      <c r="D1908" s="1" t="s">
        <v>1781</v>
      </c>
    </row>
    <row r="1909" spans="1:4">
      <c r="A1909" s="1" t="s">
        <v>5336</v>
      </c>
      <c r="B1909" s="1" t="s">
        <v>5495</v>
      </c>
      <c r="C1909" s="1" t="s">
        <v>38</v>
      </c>
      <c r="D1909" s="1" t="s">
        <v>1781</v>
      </c>
    </row>
    <row r="1910" spans="1:4">
      <c r="A1910" s="1" t="s">
        <v>5333</v>
      </c>
      <c r="B1910" s="1" t="s">
        <v>5496</v>
      </c>
      <c r="C1910" s="1" t="s">
        <v>38</v>
      </c>
      <c r="D1910" s="1" t="s">
        <v>1781</v>
      </c>
    </row>
    <row r="1911" spans="1:4">
      <c r="A1911" s="1" t="s">
        <v>5498</v>
      </c>
      <c r="B1911" s="1" t="s">
        <v>5497</v>
      </c>
      <c r="C1911" s="1" t="s">
        <v>38</v>
      </c>
      <c r="D1911" s="1" t="s">
        <v>1781</v>
      </c>
    </row>
    <row r="1912" spans="1:4">
      <c r="A1912" s="1" t="s">
        <v>5362</v>
      </c>
      <c r="B1912" s="1" t="s">
        <v>5499</v>
      </c>
      <c r="C1912" s="1" t="s">
        <v>38</v>
      </c>
      <c r="D1912" s="1" t="s">
        <v>1781</v>
      </c>
    </row>
    <row r="1913" spans="1:4">
      <c r="A1913" s="1" t="s">
        <v>5330</v>
      </c>
      <c r="B1913" s="1" t="s">
        <v>5500</v>
      </c>
      <c r="C1913" s="1" t="s">
        <v>38</v>
      </c>
      <c r="D1913" s="1" t="s">
        <v>1781</v>
      </c>
    </row>
    <row r="1914" spans="1:4">
      <c r="A1914" s="1" t="s">
        <v>5301</v>
      </c>
      <c r="B1914" s="1" t="s">
        <v>5501</v>
      </c>
      <c r="C1914" s="1" t="s">
        <v>38</v>
      </c>
      <c r="D1914" s="1" t="s">
        <v>1781</v>
      </c>
    </row>
    <row r="1915" spans="1:4">
      <c r="A1915" s="1" t="s">
        <v>5503</v>
      </c>
      <c r="B1915" s="1" t="s">
        <v>5502</v>
      </c>
      <c r="C1915" s="1" t="s">
        <v>38</v>
      </c>
      <c r="D1915" s="1" t="s">
        <v>1781</v>
      </c>
    </row>
    <row r="1916" spans="1:4">
      <c r="A1916" s="1" t="s">
        <v>5342</v>
      </c>
      <c r="B1916" s="1" t="s">
        <v>5504</v>
      </c>
      <c r="C1916" s="1" t="s">
        <v>38</v>
      </c>
      <c r="D1916" s="1" t="s">
        <v>1781</v>
      </c>
    </row>
    <row r="1917" spans="1:4">
      <c r="A1917" s="1" t="s">
        <v>5364</v>
      </c>
      <c r="B1917" s="1" t="s">
        <v>5505</v>
      </c>
      <c r="C1917" s="1" t="s">
        <v>38</v>
      </c>
      <c r="D1917" s="1" t="s">
        <v>1781</v>
      </c>
    </row>
    <row r="1918" spans="1:4">
      <c r="A1918" s="1" t="s">
        <v>5334</v>
      </c>
      <c r="B1918" s="1" t="s">
        <v>5506</v>
      </c>
      <c r="C1918" s="1" t="s">
        <v>38</v>
      </c>
      <c r="D1918" s="1" t="s">
        <v>1781</v>
      </c>
    </row>
    <row r="1919" spans="1:4">
      <c r="A1919" s="1" t="s">
        <v>5508</v>
      </c>
      <c r="B1919" s="1" t="s">
        <v>5507</v>
      </c>
      <c r="C1919" s="1" t="s">
        <v>38</v>
      </c>
      <c r="D1919" s="1" t="s">
        <v>1781</v>
      </c>
    </row>
    <row r="1920" spans="1:4">
      <c r="A1920" s="1" t="s">
        <v>5510</v>
      </c>
      <c r="B1920" s="1" t="s">
        <v>5509</v>
      </c>
      <c r="C1920" s="1" t="s">
        <v>38</v>
      </c>
      <c r="D1920" s="1" t="s">
        <v>1781</v>
      </c>
    </row>
    <row r="1921" spans="1:4">
      <c r="A1921" s="1" t="s">
        <v>5366</v>
      </c>
      <c r="B1921" s="1" t="s">
        <v>5511</v>
      </c>
      <c r="C1921" s="1" t="s">
        <v>38</v>
      </c>
      <c r="D1921" s="1" t="s">
        <v>1781</v>
      </c>
    </row>
    <row r="1922" spans="1:4">
      <c r="A1922" s="1" t="s">
        <v>5513</v>
      </c>
      <c r="B1922" s="1" t="s">
        <v>5512</v>
      </c>
      <c r="C1922" s="1" t="s">
        <v>38</v>
      </c>
      <c r="D1922" s="1" t="s">
        <v>1781</v>
      </c>
    </row>
    <row r="1923" spans="1:4">
      <c r="A1923" s="1" t="s">
        <v>5515</v>
      </c>
      <c r="B1923" s="1" t="s">
        <v>5514</v>
      </c>
      <c r="C1923" s="1" t="s">
        <v>38</v>
      </c>
      <c r="D1923" s="1" t="s">
        <v>1781</v>
      </c>
    </row>
    <row r="1924" spans="1:4">
      <c r="A1924" s="1" t="s">
        <v>5343</v>
      </c>
      <c r="B1924" s="1" t="s">
        <v>5516</v>
      </c>
      <c r="C1924" s="1" t="s">
        <v>38</v>
      </c>
      <c r="D1924" s="1" t="s">
        <v>1781</v>
      </c>
    </row>
    <row r="1925" spans="1:4">
      <c r="A1925" s="1" t="s">
        <v>5518</v>
      </c>
      <c r="B1925" s="1" t="s">
        <v>5517</v>
      </c>
      <c r="C1925" s="1" t="s">
        <v>38</v>
      </c>
      <c r="D1925" s="1" t="s">
        <v>1781</v>
      </c>
    </row>
    <row r="1926" spans="1:4">
      <c r="A1926" s="1" t="s">
        <v>5520</v>
      </c>
      <c r="B1926" s="1" t="s">
        <v>5519</v>
      </c>
      <c r="C1926" s="1" t="s">
        <v>38</v>
      </c>
      <c r="D1926" s="1" t="s">
        <v>1781</v>
      </c>
    </row>
    <row r="1927" spans="1:4">
      <c r="A1927" s="1" t="s">
        <v>5331</v>
      </c>
      <c r="B1927" s="1" t="s">
        <v>5521</v>
      </c>
      <c r="C1927" s="1" t="s">
        <v>38</v>
      </c>
      <c r="D1927" s="1" t="s">
        <v>1781</v>
      </c>
    </row>
    <row r="1928" spans="1:4">
      <c r="A1928" s="1" t="s">
        <v>5317</v>
      </c>
      <c r="B1928" s="1" t="s">
        <v>5522</v>
      </c>
      <c r="C1928" s="1" t="s">
        <v>38</v>
      </c>
      <c r="D1928" s="1" t="s">
        <v>1781</v>
      </c>
    </row>
    <row r="1929" spans="1:4">
      <c r="A1929" s="1" t="s">
        <v>5327</v>
      </c>
      <c r="B1929" s="1" t="s">
        <v>5523</v>
      </c>
      <c r="C1929" s="1" t="s">
        <v>38</v>
      </c>
      <c r="D1929" s="1" t="s">
        <v>1781</v>
      </c>
    </row>
    <row r="1930" spans="1:4">
      <c r="A1930" s="1" t="s">
        <v>5310</v>
      </c>
      <c r="B1930" s="1" t="s">
        <v>5524</v>
      </c>
      <c r="C1930" s="1" t="s">
        <v>38</v>
      </c>
      <c r="D1930" s="1" t="s">
        <v>1781</v>
      </c>
    </row>
    <row r="1931" spans="1:4">
      <c r="A1931" s="1" t="s">
        <v>5526</v>
      </c>
      <c r="B1931" s="1" t="s">
        <v>5525</v>
      </c>
      <c r="C1931" s="1" t="s">
        <v>38</v>
      </c>
      <c r="D1931" s="1" t="s">
        <v>1781</v>
      </c>
    </row>
    <row r="1932" spans="1:4">
      <c r="A1932" s="1" t="s">
        <v>5344</v>
      </c>
      <c r="B1932" s="1" t="s">
        <v>5527</v>
      </c>
      <c r="C1932" s="1" t="s">
        <v>38</v>
      </c>
      <c r="D1932" s="1" t="s">
        <v>1781</v>
      </c>
    </row>
    <row r="1933" spans="1:4">
      <c r="A1933" s="1" t="s">
        <v>5345</v>
      </c>
      <c r="B1933" s="1" t="s">
        <v>5528</v>
      </c>
      <c r="C1933" s="1" t="s">
        <v>38</v>
      </c>
      <c r="D1933" s="1" t="s">
        <v>1781</v>
      </c>
    </row>
    <row r="1934" spans="1:4">
      <c r="A1934" s="1" t="s">
        <v>5323</v>
      </c>
      <c r="B1934" s="1" t="s">
        <v>5529</v>
      </c>
      <c r="C1934" s="1" t="s">
        <v>38</v>
      </c>
      <c r="D1934" s="1" t="s">
        <v>1781</v>
      </c>
    </row>
    <row r="1935" spans="1:4">
      <c r="A1935" s="1" t="s">
        <v>5531</v>
      </c>
      <c r="B1935" s="1" t="s">
        <v>5530</v>
      </c>
      <c r="C1935" s="1" t="s">
        <v>38</v>
      </c>
      <c r="D1935" s="1" t="s">
        <v>1781</v>
      </c>
    </row>
    <row r="1936" spans="1:4">
      <c r="A1936" s="1" t="s">
        <v>5533</v>
      </c>
      <c r="B1936" s="1" t="s">
        <v>5532</v>
      </c>
      <c r="C1936" s="1" t="s">
        <v>38</v>
      </c>
      <c r="D1936" s="1" t="s">
        <v>1781</v>
      </c>
    </row>
    <row r="1937" spans="1:4">
      <c r="A1937" s="1" t="s">
        <v>5340</v>
      </c>
      <c r="B1937" s="1" t="s">
        <v>5534</v>
      </c>
      <c r="C1937" s="1" t="s">
        <v>38</v>
      </c>
      <c r="D1937" s="1" t="s">
        <v>1781</v>
      </c>
    </row>
    <row r="1938" spans="1:4">
      <c r="A1938" s="1" t="s">
        <v>5374</v>
      </c>
      <c r="B1938" s="1" t="s">
        <v>5535</v>
      </c>
      <c r="C1938" s="1" t="s">
        <v>38</v>
      </c>
      <c r="D1938" s="1" t="s">
        <v>1781</v>
      </c>
    </row>
    <row r="1939" spans="1:4">
      <c r="A1939" s="1" t="s">
        <v>5368</v>
      </c>
      <c r="B1939" s="1" t="s">
        <v>5536</v>
      </c>
      <c r="C1939" s="1" t="s">
        <v>38</v>
      </c>
      <c r="D1939" s="1" t="s">
        <v>1781</v>
      </c>
    </row>
    <row r="1940" spans="1:4">
      <c r="A1940" s="1" t="s">
        <v>5352</v>
      </c>
      <c r="B1940" s="1" t="s">
        <v>5537</v>
      </c>
      <c r="C1940" s="1" t="s">
        <v>38</v>
      </c>
      <c r="D1940" s="1" t="s">
        <v>1781</v>
      </c>
    </row>
    <row r="1941" spans="1:4">
      <c r="A1941" s="1" t="s">
        <v>5539</v>
      </c>
      <c r="B1941" s="1" t="s">
        <v>5538</v>
      </c>
      <c r="C1941" s="1" t="s">
        <v>38</v>
      </c>
      <c r="D1941" s="1" t="s">
        <v>1781</v>
      </c>
    </row>
    <row r="1942" spans="1:4">
      <c r="A1942" s="1" t="s">
        <v>5306</v>
      </c>
      <c r="B1942" s="1" t="s">
        <v>5540</v>
      </c>
      <c r="C1942" s="1" t="s">
        <v>38</v>
      </c>
      <c r="D1942" s="1" t="s">
        <v>1781</v>
      </c>
    </row>
    <row r="1943" spans="1:4">
      <c r="A1943" s="1" t="s">
        <v>5315</v>
      </c>
      <c r="B1943" s="1" t="s">
        <v>5541</v>
      </c>
      <c r="C1943" s="1" t="s">
        <v>38</v>
      </c>
      <c r="D1943" s="1" t="s">
        <v>1781</v>
      </c>
    </row>
    <row r="1944" spans="1:4">
      <c r="A1944" s="1" t="s">
        <v>5313</v>
      </c>
      <c r="B1944" s="1" t="s">
        <v>5542</v>
      </c>
      <c r="C1944" s="1" t="s">
        <v>38</v>
      </c>
      <c r="D1944" s="1" t="s">
        <v>1781</v>
      </c>
    </row>
    <row r="1945" spans="1:4">
      <c r="A1945" s="1" t="s">
        <v>5544</v>
      </c>
      <c r="B1945" s="1" t="s">
        <v>5543</v>
      </c>
      <c r="C1945" s="1" t="s">
        <v>38</v>
      </c>
      <c r="D1945" s="1" t="s">
        <v>1781</v>
      </c>
    </row>
    <row r="1946" spans="1:4">
      <c r="A1946" s="1" t="s">
        <v>544</v>
      </c>
      <c r="B1946" s="1" t="s">
        <v>5545</v>
      </c>
      <c r="C1946" s="1" t="s">
        <v>38</v>
      </c>
      <c r="D1946" s="1" t="s">
        <v>1781</v>
      </c>
    </row>
    <row r="1947" spans="1:4">
      <c r="A1947" s="1" t="s">
        <v>5547</v>
      </c>
      <c r="B1947" s="1" t="s">
        <v>5546</v>
      </c>
      <c r="C1947" s="1" t="s">
        <v>38</v>
      </c>
      <c r="D1947" s="1" t="s">
        <v>1781</v>
      </c>
    </row>
    <row r="1948" spans="1:4">
      <c r="A1948" s="1" t="s">
        <v>5356</v>
      </c>
      <c r="B1948" s="1" t="s">
        <v>5548</v>
      </c>
      <c r="C1948" s="1" t="s">
        <v>38</v>
      </c>
      <c r="D1948" s="1" t="s">
        <v>1781</v>
      </c>
    </row>
    <row r="1949" spans="1:4">
      <c r="A1949" s="1" t="s">
        <v>5370</v>
      </c>
      <c r="B1949" s="1" t="s">
        <v>5549</v>
      </c>
      <c r="C1949" s="1" t="s">
        <v>38</v>
      </c>
      <c r="D1949" s="1" t="s">
        <v>1781</v>
      </c>
    </row>
    <row r="1950" spans="1:4">
      <c r="A1950" s="1" t="s">
        <v>5297</v>
      </c>
      <c r="B1950" s="1" t="s">
        <v>5550</v>
      </c>
      <c r="C1950" s="1" t="s">
        <v>38</v>
      </c>
      <c r="D1950" s="1" t="s">
        <v>1781</v>
      </c>
    </row>
    <row r="1951" spans="1:4">
      <c r="A1951" s="1" t="s">
        <v>5552</v>
      </c>
      <c r="B1951" s="1" t="s">
        <v>5551</v>
      </c>
      <c r="C1951" s="1" t="s">
        <v>38</v>
      </c>
      <c r="D1951" s="1" t="s">
        <v>1781</v>
      </c>
    </row>
    <row r="1952" spans="1:4">
      <c r="A1952" s="1" t="s">
        <v>5304</v>
      </c>
      <c r="B1952" s="1" t="s">
        <v>5553</v>
      </c>
      <c r="C1952" s="1" t="s">
        <v>38</v>
      </c>
      <c r="D1952" s="1" t="s">
        <v>1781</v>
      </c>
    </row>
    <row r="1953" spans="1:4">
      <c r="A1953" s="1" t="s">
        <v>5555</v>
      </c>
      <c r="B1953" s="1" t="s">
        <v>5554</v>
      </c>
      <c r="C1953" s="1" t="s">
        <v>38</v>
      </c>
      <c r="D1953" s="1" t="s">
        <v>1781</v>
      </c>
    </row>
    <row r="1954" spans="1:4">
      <c r="A1954" s="1" t="s">
        <v>5309</v>
      </c>
      <c r="B1954" s="1" t="s">
        <v>5556</v>
      </c>
      <c r="C1954" s="1" t="s">
        <v>38</v>
      </c>
      <c r="D1954" s="1" t="s">
        <v>1781</v>
      </c>
    </row>
    <row r="1955" spans="1:4">
      <c r="A1955" s="1" t="s">
        <v>5308</v>
      </c>
      <c r="B1955" s="1" t="s">
        <v>5557</v>
      </c>
      <c r="C1955" s="1" t="s">
        <v>38</v>
      </c>
      <c r="D1955" s="1" t="s">
        <v>1781</v>
      </c>
    </row>
    <row r="1956" spans="1:4">
      <c r="A1956" s="1" t="s">
        <v>5373</v>
      </c>
      <c r="B1956" s="1" t="s">
        <v>5558</v>
      </c>
      <c r="C1956" s="1" t="s">
        <v>38</v>
      </c>
      <c r="D1956" s="1" t="s">
        <v>1781</v>
      </c>
    </row>
    <row r="1957" spans="1:4">
      <c r="A1957" s="1" t="s">
        <v>5311</v>
      </c>
      <c r="B1957" s="1" t="s">
        <v>5559</v>
      </c>
      <c r="C1957" s="1" t="s">
        <v>38</v>
      </c>
      <c r="D1957" s="1" t="s">
        <v>1781</v>
      </c>
    </row>
    <row r="1958" spans="1:4">
      <c r="A1958" s="1" t="s">
        <v>5561</v>
      </c>
      <c r="B1958" s="1" t="s">
        <v>5560</v>
      </c>
      <c r="C1958" s="1" t="s">
        <v>38</v>
      </c>
      <c r="D1958" s="1" t="s">
        <v>1781</v>
      </c>
    </row>
    <row r="1959" spans="1:4">
      <c r="A1959" s="1" t="s">
        <v>5296</v>
      </c>
      <c r="B1959" s="1" t="s">
        <v>5562</v>
      </c>
      <c r="C1959" s="1" t="s">
        <v>38</v>
      </c>
      <c r="D1959" s="1" t="s">
        <v>1781</v>
      </c>
    </row>
    <row r="1960" spans="1:4">
      <c r="A1960" s="1" t="s">
        <v>1784</v>
      </c>
      <c r="B1960" s="1" t="s">
        <v>5563</v>
      </c>
      <c r="C1960" s="1" t="s">
        <v>38</v>
      </c>
      <c r="D1960" s="1" t="s">
        <v>1781</v>
      </c>
    </row>
    <row r="1961" spans="1:4">
      <c r="A1961" s="1" t="s">
        <v>5380</v>
      </c>
      <c r="B1961" s="1" t="s">
        <v>5564</v>
      </c>
      <c r="C1961" s="1" t="s">
        <v>38</v>
      </c>
      <c r="D1961" s="1" t="s">
        <v>1781</v>
      </c>
    </row>
    <row r="1962" spans="1:4">
      <c r="A1962" s="1" t="s">
        <v>444</v>
      </c>
      <c r="B1962" s="1" t="s">
        <v>5565</v>
      </c>
      <c r="C1962" s="1" t="s">
        <v>38</v>
      </c>
      <c r="D1962" s="1" t="s">
        <v>1781</v>
      </c>
    </row>
    <row r="1963" spans="1:4">
      <c r="A1963" s="1" t="s">
        <v>5347</v>
      </c>
      <c r="B1963" s="1" t="s">
        <v>5566</v>
      </c>
      <c r="C1963" s="1" t="s">
        <v>38</v>
      </c>
      <c r="D1963" s="1" t="s">
        <v>1781</v>
      </c>
    </row>
    <row r="1964" spans="1:4">
      <c r="A1964" s="1" t="s">
        <v>424</v>
      </c>
      <c r="B1964" s="1" t="s">
        <v>5567</v>
      </c>
      <c r="C1964" s="1" t="s">
        <v>38</v>
      </c>
      <c r="D1964" s="1" t="s">
        <v>1781</v>
      </c>
    </row>
    <row r="1965" spans="1:4">
      <c r="A1965" s="1" t="s">
        <v>5348</v>
      </c>
      <c r="B1965" s="1" t="s">
        <v>5568</v>
      </c>
      <c r="C1965" s="1" t="s">
        <v>38</v>
      </c>
      <c r="D1965" s="1" t="s">
        <v>1781</v>
      </c>
    </row>
    <row r="1966" spans="1:4">
      <c r="A1966" s="1" t="s">
        <v>5314</v>
      </c>
      <c r="B1966" s="1" t="s">
        <v>5569</v>
      </c>
      <c r="C1966" s="1" t="s">
        <v>38</v>
      </c>
      <c r="D1966" s="1" t="s">
        <v>1781</v>
      </c>
    </row>
    <row r="1967" spans="1:4">
      <c r="A1967" s="1" t="s">
        <v>187</v>
      </c>
      <c r="B1967" s="1" t="s">
        <v>5570</v>
      </c>
      <c r="C1967" s="1" t="s">
        <v>38</v>
      </c>
      <c r="D1967" s="1" t="s">
        <v>1781</v>
      </c>
    </row>
    <row r="1968" spans="1:4">
      <c r="A1968" s="1" t="s">
        <v>5349</v>
      </c>
      <c r="B1968" s="1" t="s">
        <v>5571</v>
      </c>
      <c r="C1968" s="1" t="s">
        <v>38</v>
      </c>
      <c r="D1968" s="1" t="s">
        <v>1781</v>
      </c>
    </row>
    <row r="1969" spans="1:4">
      <c r="A1969" s="1" t="s">
        <v>5319</v>
      </c>
      <c r="B1969" s="1" t="s">
        <v>5572</v>
      </c>
      <c r="C1969" s="1" t="s">
        <v>38</v>
      </c>
      <c r="D1969" s="1" t="s">
        <v>1781</v>
      </c>
    </row>
    <row r="1970" spans="1:4">
      <c r="A1970" s="1" t="s">
        <v>5346</v>
      </c>
      <c r="B1970" s="1" t="s">
        <v>5573</v>
      </c>
      <c r="C1970" s="1" t="s">
        <v>38</v>
      </c>
      <c r="D1970" s="1" t="s">
        <v>1781</v>
      </c>
    </row>
    <row r="1971" spans="1:4">
      <c r="A1971" s="1" t="s">
        <v>5350</v>
      </c>
      <c r="B1971" s="1" t="s">
        <v>5574</v>
      </c>
      <c r="C1971" s="1" t="s">
        <v>38</v>
      </c>
      <c r="D1971" s="1" t="s">
        <v>1781</v>
      </c>
    </row>
    <row r="1972" spans="1:4">
      <c r="A1972" s="1" t="s">
        <v>5351</v>
      </c>
      <c r="B1972" s="1" t="s">
        <v>5575</v>
      </c>
      <c r="C1972" s="1" t="s">
        <v>38</v>
      </c>
      <c r="D1972" s="1" t="s">
        <v>1781</v>
      </c>
    </row>
    <row r="1973" spans="1:4">
      <c r="A1973" s="1" t="s">
        <v>422</v>
      </c>
      <c r="B1973" s="1" t="s">
        <v>5576</v>
      </c>
      <c r="C1973" s="1" t="s">
        <v>38</v>
      </c>
      <c r="D1973" s="1" t="s">
        <v>1781</v>
      </c>
    </row>
    <row r="1974" spans="1:4">
      <c r="A1974" s="1" t="s">
        <v>5355</v>
      </c>
      <c r="B1974" s="1" t="s">
        <v>5577</v>
      </c>
      <c r="C1974" s="1" t="s">
        <v>38</v>
      </c>
      <c r="D1974" s="1" t="s">
        <v>1781</v>
      </c>
    </row>
    <row r="1975" spans="1:4">
      <c r="A1975" s="1" t="s">
        <v>426</v>
      </c>
      <c r="B1975" s="1" t="s">
        <v>5578</v>
      </c>
      <c r="C1975" s="1" t="s">
        <v>38</v>
      </c>
      <c r="D1975" s="1" t="s">
        <v>1781</v>
      </c>
    </row>
    <row r="1976" spans="1:4">
      <c r="A1976" s="1" t="s">
        <v>551</v>
      </c>
      <c r="B1976" s="1" t="s">
        <v>5579</v>
      </c>
      <c r="C1976" s="1" t="s">
        <v>38</v>
      </c>
      <c r="D1976" s="1" t="s">
        <v>1781</v>
      </c>
    </row>
    <row r="1977" spans="1:4">
      <c r="A1977" s="1" t="s">
        <v>461</v>
      </c>
      <c r="B1977" s="1" t="s">
        <v>5580</v>
      </c>
      <c r="C1977" s="1" t="s">
        <v>38</v>
      </c>
      <c r="D1977" s="1" t="s">
        <v>1781</v>
      </c>
    </row>
    <row r="1978" spans="1:4">
      <c r="A1978" s="1" t="s">
        <v>5354</v>
      </c>
      <c r="B1978" s="1" t="s">
        <v>5581</v>
      </c>
      <c r="C1978" s="1" t="s">
        <v>38</v>
      </c>
      <c r="D1978" s="1" t="s">
        <v>1781</v>
      </c>
    </row>
    <row r="1979" spans="1:4">
      <c r="A1979" s="1" t="s">
        <v>5583</v>
      </c>
      <c r="B1979" s="1" t="s">
        <v>5582</v>
      </c>
      <c r="C1979" s="1" t="s">
        <v>38</v>
      </c>
      <c r="D1979" s="1" t="s">
        <v>1781</v>
      </c>
    </row>
    <row r="1980" spans="1:4">
      <c r="A1980" s="1" t="s">
        <v>1024</v>
      </c>
      <c r="B1980" s="1" t="s">
        <v>5584</v>
      </c>
      <c r="C1980" s="1" t="s">
        <v>38</v>
      </c>
      <c r="D1980" s="1" t="s">
        <v>1781</v>
      </c>
    </row>
    <row r="1981" spans="1:4">
      <c r="A1981" s="1" t="s">
        <v>5586</v>
      </c>
      <c r="B1981" s="1" t="s">
        <v>5585</v>
      </c>
      <c r="C1981" s="1" t="s">
        <v>38</v>
      </c>
      <c r="D1981" s="1" t="s">
        <v>1781</v>
      </c>
    </row>
    <row r="1982" spans="1:4">
      <c r="A1982" s="1" t="s">
        <v>5324</v>
      </c>
      <c r="B1982" s="1" t="s">
        <v>5587</v>
      </c>
      <c r="C1982" s="1" t="s">
        <v>38</v>
      </c>
      <c r="D1982" s="1" t="s">
        <v>1781</v>
      </c>
    </row>
    <row r="1983" spans="1:4">
      <c r="A1983" s="1" t="s">
        <v>145</v>
      </c>
      <c r="B1983" s="1" t="s">
        <v>5588</v>
      </c>
      <c r="C1983" s="1" t="s">
        <v>38</v>
      </c>
      <c r="D1983" s="1" t="s">
        <v>1781</v>
      </c>
    </row>
    <row r="1984" spans="1:4">
      <c r="A1984" s="1" t="s">
        <v>218</v>
      </c>
      <c r="B1984" s="1" t="s">
        <v>5589</v>
      </c>
      <c r="C1984" s="1" t="s">
        <v>38</v>
      </c>
      <c r="D1984" s="1" t="s">
        <v>1781</v>
      </c>
    </row>
    <row r="1985" spans="1:4">
      <c r="A1985" s="1" t="s">
        <v>5341</v>
      </c>
      <c r="B1985" s="1" t="s">
        <v>5590</v>
      </c>
      <c r="C1985" s="1" t="s">
        <v>38</v>
      </c>
      <c r="D1985" s="1" t="s">
        <v>1781</v>
      </c>
    </row>
    <row r="1986" spans="1:4">
      <c r="A1986" s="1" t="s">
        <v>5592</v>
      </c>
      <c r="B1986" s="1" t="s">
        <v>5591</v>
      </c>
      <c r="C1986" s="1" t="s">
        <v>38</v>
      </c>
      <c r="D1986" s="1" t="s">
        <v>1781</v>
      </c>
    </row>
    <row r="1987" spans="1:4">
      <c r="A1987" s="1" t="s">
        <v>1825</v>
      </c>
      <c r="B1987" s="1" t="s">
        <v>5593</v>
      </c>
      <c r="C1987" s="1" t="s">
        <v>38</v>
      </c>
      <c r="D1987" s="1" t="s">
        <v>1781</v>
      </c>
    </row>
    <row r="1988" spans="1:4">
      <c r="A1988" s="1" t="s">
        <v>440</v>
      </c>
      <c r="B1988" s="1" t="s">
        <v>5594</v>
      </c>
      <c r="C1988" s="1" t="s">
        <v>38</v>
      </c>
      <c r="D1988" s="1" t="s">
        <v>1781</v>
      </c>
    </row>
    <row r="1989" spans="1:4">
      <c r="A1989" s="1" t="s">
        <v>214</v>
      </c>
      <c r="B1989" s="1" t="s">
        <v>5595</v>
      </c>
      <c r="C1989" s="1" t="s">
        <v>38</v>
      </c>
      <c r="D1989" s="1" t="s">
        <v>1781</v>
      </c>
    </row>
    <row r="1990" spans="1:4">
      <c r="A1990" s="1" t="s">
        <v>459</v>
      </c>
      <c r="B1990" s="1" t="s">
        <v>5596</v>
      </c>
      <c r="C1990" s="1" t="s">
        <v>38</v>
      </c>
      <c r="D1990" s="1" t="s">
        <v>1781</v>
      </c>
    </row>
    <row r="1991" spans="1:4">
      <c r="A1991" s="1" t="s">
        <v>5598</v>
      </c>
      <c r="B1991" s="1" t="s">
        <v>5597</v>
      </c>
      <c r="C1991" s="1" t="s">
        <v>38</v>
      </c>
      <c r="D1991" s="1" t="s">
        <v>1781</v>
      </c>
    </row>
    <row r="1992" spans="1:4">
      <c r="A1992" s="1" t="s">
        <v>1823</v>
      </c>
      <c r="B1992" s="1" t="s">
        <v>5599</v>
      </c>
      <c r="C1992" s="1" t="s">
        <v>38</v>
      </c>
      <c r="D1992" s="1" t="s">
        <v>1781</v>
      </c>
    </row>
    <row r="1993" spans="1:4">
      <c r="A1993" s="1" t="s">
        <v>5371</v>
      </c>
      <c r="B1993" s="1" t="s">
        <v>5600</v>
      </c>
      <c r="C1993" s="1" t="s">
        <v>38</v>
      </c>
      <c r="D1993" s="1" t="s">
        <v>1781</v>
      </c>
    </row>
    <row r="1994" spans="1:4">
      <c r="A1994" s="1" t="s">
        <v>5602</v>
      </c>
      <c r="B1994" s="1" t="s">
        <v>5601</v>
      </c>
      <c r="C1994" s="1" t="s">
        <v>38</v>
      </c>
      <c r="D1994" s="1" t="s">
        <v>1781</v>
      </c>
    </row>
    <row r="1995" spans="1:4">
      <c r="A1995" s="1" t="s">
        <v>5299</v>
      </c>
      <c r="B1995" s="1" t="s">
        <v>5603</v>
      </c>
      <c r="C1995" s="1" t="s">
        <v>38</v>
      </c>
      <c r="D1995" s="1" t="s">
        <v>1781</v>
      </c>
    </row>
    <row r="1996" spans="1:4">
      <c r="A1996" s="1" t="s">
        <v>521</v>
      </c>
      <c r="B1996" s="1" t="s">
        <v>5604</v>
      </c>
      <c r="C1996" s="1" t="s">
        <v>38</v>
      </c>
      <c r="D1996" s="1" t="s">
        <v>1781</v>
      </c>
    </row>
    <row r="1997" spans="1:4">
      <c r="A1997" s="1" t="s">
        <v>5606</v>
      </c>
      <c r="B1997" s="1" t="s">
        <v>5605</v>
      </c>
      <c r="C1997" s="1" t="s">
        <v>38</v>
      </c>
      <c r="D1997" s="1" t="s">
        <v>1781</v>
      </c>
    </row>
    <row r="1998" spans="1:4">
      <c r="A1998" s="1" t="s">
        <v>5608</v>
      </c>
      <c r="B1998" s="1" t="s">
        <v>5607</v>
      </c>
      <c r="C1998" s="1" t="s">
        <v>38</v>
      </c>
      <c r="D1998" s="1" t="s">
        <v>1781</v>
      </c>
    </row>
    <row r="1999" spans="1:4">
      <c r="A1999" s="1" t="s">
        <v>5610</v>
      </c>
      <c r="B1999" s="1" t="s">
        <v>5609</v>
      </c>
      <c r="C1999" s="1" t="s">
        <v>38</v>
      </c>
      <c r="D1999" s="1" t="s">
        <v>1781</v>
      </c>
    </row>
    <row r="2000" spans="1:4">
      <c r="A2000" s="1" t="s">
        <v>506</v>
      </c>
      <c r="B2000" s="1" t="s">
        <v>5621</v>
      </c>
      <c r="C2000" s="1" t="s">
        <v>38</v>
      </c>
      <c r="D2000" s="1" t="s">
        <v>1781</v>
      </c>
    </row>
    <row r="2001" spans="1:4">
      <c r="A2001" s="1" t="s">
        <v>5619</v>
      </c>
      <c r="B2001" s="1" t="s">
        <v>5622</v>
      </c>
      <c r="C2001" s="1" t="s">
        <v>38</v>
      </c>
      <c r="D2001" s="1" t="s">
        <v>1781</v>
      </c>
    </row>
    <row r="2002" spans="1:4">
      <c r="A2002" s="1" t="s">
        <v>5615</v>
      </c>
      <c r="B2002" s="1" t="s">
        <v>5623</v>
      </c>
      <c r="C2002" s="1" t="s">
        <v>38</v>
      </c>
      <c r="D2002" s="1" t="s">
        <v>1781</v>
      </c>
    </row>
    <row r="2003" spans="1:4">
      <c r="A2003" s="1" t="s">
        <v>1782</v>
      </c>
      <c r="B2003" s="1" t="s">
        <v>5624</v>
      </c>
      <c r="C2003" s="1" t="s">
        <v>38</v>
      </c>
      <c r="D2003" s="1" t="s">
        <v>1781</v>
      </c>
    </row>
    <row r="2004" spans="1:4">
      <c r="A2004" s="1" t="s">
        <v>5611</v>
      </c>
      <c r="B2004" s="1" t="s">
        <v>5625</v>
      </c>
      <c r="C2004" s="1" t="s">
        <v>38</v>
      </c>
      <c r="D2004" s="1" t="s">
        <v>1781</v>
      </c>
    </row>
    <row r="2005" spans="1:4">
      <c r="A2005" s="1" t="s">
        <v>5620</v>
      </c>
      <c r="B2005" s="1" t="s">
        <v>5626</v>
      </c>
      <c r="C2005" s="1" t="s">
        <v>38</v>
      </c>
      <c r="D2005" s="1" t="s">
        <v>1781</v>
      </c>
    </row>
    <row r="2006" spans="1:4">
      <c r="A2006" s="1" t="s">
        <v>5613</v>
      </c>
      <c r="B2006" s="1" t="s">
        <v>5627</v>
      </c>
      <c r="C2006" s="1" t="s">
        <v>38</v>
      </c>
      <c r="D2006" s="1" t="s">
        <v>1781</v>
      </c>
    </row>
    <row r="2007" spans="1:4">
      <c r="A2007" s="1" t="s">
        <v>5617</v>
      </c>
      <c r="B2007" s="1" t="s">
        <v>5628</v>
      </c>
      <c r="C2007" s="1" t="s">
        <v>38</v>
      </c>
      <c r="D2007" s="1" t="s">
        <v>1781</v>
      </c>
    </row>
    <row r="2008" spans="1:4">
      <c r="A2008" s="1" t="s">
        <v>5630</v>
      </c>
      <c r="B2008" s="1" t="s">
        <v>5629</v>
      </c>
      <c r="C2008" s="1" t="s">
        <v>38</v>
      </c>
      <c r="D2008" s="1" t="s">
        <v>1781</v>
      </c>
    </row>
    <row r="2009" spans="1:4">
      <c r="A2009" s="1" t="s">
        <v>5616</v>
      </c>
      <c r="B2009" s="1" t="s">
        <v>5631</v>
      </c>
      <c r="C2009" s="1"/>
      <c r="D2009" s="1" t="s">
        <v>1781</v>
      </c>
    </row>
    <row r="2010" spans="1:4">
      <c r="A2010" s="1" t="s">
        <v>5633</v>
      </c>
      <c r="B2010" s="1" t="s">
        <v>5632</v>
      </c>
      <c r="C2010" s="1" t="s">
        <v>38</v>
      </c>
      <c r="D2010" s="1" t="s">
        <v>1781</v>
      </c>
    </row>
    <row r="2011" spans="1:4">
      <c r="A2011" s="1" t="s">
        <v>5635</v>
      </c>
      <c r="B2011" s="1" t="s">
        <v>5634</v>
      </c>
      <c r="C2011" s="1" t="s">
        <v>38</v>
      </c>
      <c r="D2011" s="1" t="s">
        <v>1781</v>
      </c>
    </row>
    <row r="2012" spans="1:4">
      <c r="A2012" s="1" t="s">
        <v>5637</v>
      </c>
      <c r="B2012" s="1" t="s">
        <v>5636</v>
      </c>
      <c r="C2012" s="1" t="s">
        <v>38</v>
      </c>
      <c r="D2012" s="1" t="s">
        <v>1781</v>
      </c>
    </row>
    <row r="2013" spans="1:4">
      <c r="A2013" s="1" t="s">
        <v>5612</v>
      </c>
      <c r="B2013" s="1" t="s">
        <v>5638</v>
      </c>
      <c r="C2013" s="1" t="s">
        <v>38</v>
      </c>
      <c r="D2013" s="1" t="s">
        <v>1781</v>
      </c>
    </row>
    <row r="2014" spans="1:4">
      <c r="A2014" s="1" t="s">
        <v>5614</v>
      </c>
      <c r="B2014" s="1" t="s">
        <v>5639</v>
      </c>
      <c r="C2014" s="1" t="s">
        <v>38</v>
      </c>
      <c r="D2014" s="1" t="s">
        <v>1781</v>
      </c>
    </row>
    <row r="2015" spans="1:4">
      <c r="A2015" s="1" t="s">
        <v>5641</v>
      </c>
      <c r="B2015" s="1" t="s">
        <v>5640</v>
      </c>
      <c r="C2015" s="1"/>
      <c r="D2015" s="1" t="s">
        <v>1781</v>
      </c>
    </row>
    <row r="2016" spans="1:4">
      <c r="A2016" s="1" t="s">
        <v>5643</v>
      </c>
      <c r="B2016" s="1" t="s">
        <v>5642</v>
      </c>
      <c r="C2016" s="1" t="s">
        <v>38</v>
      </c>
      <c r="D2016" s="1" t="s">
        <v>1781</v>
      </c>
    </row>
    <row r="2017" spans="1:4">
      <c r="A2017" s="1" t="s">
        <v>5618</v>
      </c>
      <c r="B2017" s="1" t="s">
        <v>5644</v>
      </c>
      <c r="C2017" s="1" t="s">
        <v>38</v>
      </c>
      <c r="D2017" s="1" t="s">
        <v>1781</v>
      </c>
    </row>
    <row r="2018" spans="1:4">
      <c r="A2018" s="1" t="s">
        <v>5646</v>
      </c>
      <c r="B2018" s="1" t="s">
        <v>5645</v>
      </c>
      <c r="C2018" s="1" t="s">
        <v>38</v>
      </c>
      <c r="D2018" s="1" t="s">
        <v>1781</v>
      </c>
    </row>
    <row r="2019" spans="1:4">
      <c r="A2019" s="1" t="s">
        <v>5720</v>
      </c>
      <c r="B2019" s="1" t="s">
        <v>5719</v>
      </c>
      <c r="C2019" s="1" t="s">
        <v>38</v>
      </c>
      <c r="D2019" s="1" t="s">
        <v>1781</v>
      </c>
    </row>
    <row r="2020" spans="1:4">
      <c r="A2020" s="1" t="s">
        <v>5650</v>
      </c>
      <c r="B2020" s="1" t="s">
        <v>5721</v>
      </c>
      <c r="C2020" s="1" t="s">
        <v>38</v>
      </c>
      <c r="D2020" s="1" t="s">
        <v>1781</v>
      </c>
    </row>
    <row r="2021" spans="1:4">
      <c r="A2021" s="1" t="s">
        <v>5669</v>
      </c>
      <c r="B2021" s="1" t="s">
        <v>5722</v>
      </c>
      <c r="C2021" s="1" t="s">
        <v>38</v>
      </c>
      <c r="D2021" s="1" t="s">
        <v>1781</v>
      </c>
    </row>
    <row r="2022" spans="1:4">
      <c r="A2022" s="1" t="s">
        <v>5670</v>
      </c>
      <c r="B2022" s="1" t="s">
        <v>5723</v>
      </c>
      <c r="C2022" s="1" t="s">
        <v>38</v>
      </c>
      <c r="D2022" s="1" t="s">
        <v>1781</v>
      </c>
    </row>
    <row r="2023" spans="1:4">
      <c r="A2023" s="1" t="s">
        <v>5725</v>
      </c>
      <c r="B2023" s="1" t="s">
        <v>5724</v>
      </c>
      <c r="C2023" s="1" t="s">
        <v>38</v>
      </c>
      <c r="D2023" s="1" t="s">
        <v>1781</v>
      </c>
    </row>
    <row r="2024" spans="1:4">
      <c r="A2024" s="1" t="s">
        <v>5671</v>
      </c>
      <c r="B2024" s="1" t="s">
        <v>5726</v>
      </c>
      <c r="C2024" s="1" t="s">
        <v>38</v>
      </c>
      <c r="D2024" s="1" t="s">
        <v>1781</v>
      </c>
    </row>
    <row r="2025" spans="1:4">
      <c r="A2025" s="1" t="s">
        <v>5728</v>
      </c>
      <c r="B2025" s="1" t="s">
        <v>5727</v>
      </c>
      <c r="C2025" s="1" t="s">
        <v>38</v>
      </c>
      <c r="D2025" s="1" t="s">
        <v>1781</v>
      </c>
    </row>
    <row r="2026" spans="1:4">
      <c r="A2026" s="1" t="s">
        <v>516</v>
      </c>
      <c r="B2026" s="1" t="s">
        <v>5729</v>
      </c>
      <c r="C2026" s="1" t="s">
        <v>38</v>
      </c>
      <c r="D2026" s="1" t="s">
        <v>1781</v>
      </c>
    </row>
    <row r="2027" spans="1:4">
      <c r="A2027" s="1" t="s">
        <v>5672</v>
      </c>
      <c r="B2027" s="1" t="s">
        <v>5730</v>
      </c>
      <c r="C2027" s="1" t="s">
        <v>38</v>
      </c>
      <c r="D2027" s="1" t="s">
        <v>1781</v>
      </c>
    </row>
    <row r="2028" spans="1:4">
      <c r="A2028" s="1" t="s">
        <v>5732</v>
      </c>
      <c r="B2028" s="1" t="s">
        <v>5731</v>
      </c>
      <c r="C2028" s="1" t="s">
        <v>38</v>
      </c>
      <c r="D2028" s="1" t="s">
        <v>1781</v>
      </c>
    </row>
    <row r="2029" spans="1:4">
      <c r="A2029" s="1" t="s">
        <v>5706</v>
      </c>
      <c r="B2029" s="1" t="s">
        <v>5733</v>
      </c>
      <c r="C2029" s="1" t="s">
        <v>38</v>
      </c>
      <c r="D2029" s="1" t="s">
        <v>1781</v>
      </c>
    </row>
    <row r="2030" spans="1:4">
      <c r="A2030" s="1" t="s">
        <v>5735</v>
      </c>
      <c r="B2030" s="1" t="s">
        <v>5734</v>
      </c>
      <c r="C2030" s="1" t="s">
        <v>38</v>
      </c>
      <c r="D2030" s="1" t="s">
        <v>1781</v>
      </c>
    </row>
    <row r="2031" spans="1:4">
      <c r="A2031" s="1" t="s">
        <v>5679</v>
      </c>
      <c r="B2031" s="1" t="s">
        <v>5736</v>
      </c>
      <c r="C2031" s="1" t="s">
        <v>38</v>
      </c>
      <c r="D2031" s="1" t="s">
        <v>1781</v>
      </c>
    </row>
    <row r="2032" spans="1:4">
      <c r="A2032" s="1" t="s">
        <v>5680</v>
      </c>
      <c r="B2032" s="1" t="s">
        <v>5737</v>
      </c>
      <c r="C2032" s="1" t="s">
        <v>38</v>
      </c>
      <c r="D2032" s="1" t="s">
        <v>1781</v>
      </c>
    </row>
    <row r="2033" spans="1:4">
      <c r="A2033" s="1" t="s">
        <v>5707</v>
      </c>
      <c r="B2033" s="1" t="s">
        <v>5738</v>
      </c>
      <c r="C2033" s="1" t="s">
        <v>38</v>
      </c>
      <c r="D2033" s="1" t="s">
        <v>1781</v>
      </c>
    </row>
    <row r="2034" spans="1:4">
      <c r="A2034" s="1" t="s">
        <v>5740</v>
      </c>
      <c r="B2034" s="1" t="s">
        <v>5739</v>
      </c>
      <c r="C2034" s="1" t="s">
        <v>38</v>
      </c>
      <c r="D2034" s="1" t="s">
        <v>1781</v>
      </c>
    </row>
    <row r="2035" spans="1:4">
      <c r="A2035" s="1" t="s">
        <v>5742</v>
      </c>
      <c r="B2035" s="1" t="s">
        <v>5741</v>
      </c>
      <c r="C2035" s="1" t="s">
        <v>38</v>
      </c>
      <c r="D2035" s="1" t="s">
        <v>1781</v>
      </c>
    </row>
    <row r="2036" spans="1:4">
      <c r="A2036" s="1" t="s">
        <v>5684</v>
      </c>
      <c r="B2036" s="1" t="s">
        <v>5743</v>
      </c>
      <c r="C2036" s="1" t="s">
        <v>38</v>
      </c>
      <c r="D2036" s="1" t="s">
        <v>1781</v>
      </c>
    </row>
    <row r="2037" spans="1:4">
      <c r="A2037" s="1" t="s">
        <v>5745</v>
      </c>
      <c r="B2037" s="1" t="s">
        <v>5744</v>
      </c>
      <c r="C2037" s="1" t="s">
        <v>38</v>
      </c>
      <c r="D2037" s="1" t="s">
        <v>1781</v>
      </c>
    </row>
    <row r="2038" spans="1:4">
      <c r="A2038" s="1" t="s">
        <v>5747</v>
      </c>
      <c r="B2038" s="1" t="s">
        <v>5746</v>
      </c>
      <c r="C2038" s="1" t="s">
        <v>38</v>
      </c>
      <c r="D2038" s="1" t="s">
        <v>1781</v>
      </c>
    </row>
    <row r="2039" spans="1:4">
      <c r="A2039" s="1" t="s">
        <v>5749</v>
      </c>
      <c r="B2039" s="1" t="s">
        <v>5748</v>
      </c>
      <c r="C2039" s="1" t="s">
        <v>38</v>
      </c>
      <c r="D2039" s="1" t="s">
        <v>1781</v>
      </c>
    </row>
    <row r="2040" spans="1:4">
      <c r="A2040" s="1" t="s">
        <v>5751</v>
      </c>
      <c r="B2040" s="1" t="s">
        <v>5750</v>
      </c>
      <c r="C2040" s="1" t="s">
        <v>38</v>
      </c>
      <c r="D2040" s="1" t="s">
        <v>1781</v>
      </c>
    </row>
    <row r="2041" spans="1:4">
      <c r="A2041" s="1" t="s">
        <v>5673</v>
      </c>
      <c r="B2041" s="1" t="s">
        <v>5752</v>
      </c>
      <c r="C2041" s="1" t="s">
        <v>38</v>
      </c>
      <c r="D2041" s="1" t="s">
        <v>1781</v>
      </c>
    </row>
    <row r="2042" spans="1:4">
      <c r="A2042" s="1" t="s">
        <v>5754</v>
      </c>
      <c r="B2042" s="1" t="s">
        <v>5753</v>
      </c>
      <c r="C2042" s="1" t="s">
        <v>38</v>
      </c>
      <c r="D2042" s="1" t="s">
        <v>1781</v>
      </c>
    </row>
    <row r="2043" spans="1:4">
      <c r="A2043" s="1" t="s">
        <v>5756</v>
      </c>
      <c r="B2043" s="1" t="s">
        <v>5755</v>
      </c>
      <c r="C2043" s="1" t="s">
        <v>38</v>
      </c>
      <c r="D2043" s="1" t="s">
        <v>1781</v>
      </c>
    </row>
    <row r="2044" spans="1:4">
      <c r="A2044" s="1" t="s">
        <v>5758</v>
      </c>
      <c r="B2044" s="1" t="s">
        <v>5757</v>
      </c>
      <c r="C2044" s="1" t="s">
        <v>38</v>
      </c>
      <c r="D2044" s="1" t="s">
        <v>1781</v>
      </c>
    </row>
    <row r="2045" spans="1:4">
      <c r="A2045" s="1" t="s">
        <v>5715</v>
      </c>
      <c r="B2045" s="1" t="s">
        <v>5759</v>
      </c>
      <c r="C2045" s="1" t="s">
        <v>38</v>
      </c>
      <c r="D2045" s="1" t="s">
        <v>1781</v>
      </c>
    </row>
    <row r="2046" spans="1:4">
      <c r="A2046" s="1" t="s">
        <v>5761</v>
      </c>
      <c r="B2046" s="1" t="s">
        <v>5760</v>
      </c>
      <c r="C2046" s="1" t="s">
        <v>38</v>
      </c>
      <c r="D2046" s="1" t="s">
        <v>1781</v>
      </c>
    </row>
    <row r="2047" spans="1:4">
      <c r="A2047" s="1" t="s">
        <v>5763</v>
      </c>
      <c r="B2047" s="1" t="s">
        <v>5762</v>
      </c>
      <c r="C2047" s="1" t="s">
        <v>38</v>
      </c>
      <c r="D2047" s="1" t="s">
        <v>1781</v>
      </c>
    </row>
    <row r="2048" spans="1:4">
      <c r="A2048" s="1" t="s">
        <v>5683</v>
      </c>
      <c r="B2048" s="1" t="s">
        <v>5764</v>
      </c>
      <c r="C2048" s="1" t="s">
        <v>38</v>
      </c>
      <c r="D2048" s="1" t="s">
        <v>1781</v>
      </c>
    </row>
    <row r="2049" spans="1:4">
      <c r="A2049" s="1" t="s">
        <v>472</v>
      </c>
      <c r="B2049" s="1" t="s">
        <v>5765</v>
      </c>
      <c r="C2049" s="1" t="s">
        <v>38</v>
      </c>
      <c r="D2049" s="1" t="s">
        <v>1781</v>
      </c>
    </row>
    <row r="2050" spans="1:4">
      <c r="A2050" s="1" t="s">
        <v>5661</v>
      </c>
      <c r="B2050" s="1" t="s">
        <v>5766</v>
      </c>
      <c r="C2050" s="1" t="s">
        <v>38</v>
      </c>
      <c r="D2050" s="1" t="s">
        <v>1781</v>
      </c>
    </row>
    <row r="2051" spans="1:4">
      <c r="A2051" s="1" t="s">
        <v>5768</v>
      </c>
      <c r="B2051" s="1" t="s">
        <v>5767</v>
      </c>
      <c r="C2051" s="1" t="s">
        <v>38</v>
      </c>
      <c r="D2051" s="1" t="s">
        <v>1781</v>
      </c>
    </row>
    <row r="2052" spans="1:4">
      <c r="A2052" s="1" t="s">
        <v>5705</v>
      </c>
      <c r="B2052" s="1" t="s">
        <v>5769</v>
      </c>
      <c r="C2052" s="1" t="s">
        <v>38</v>
      </c>
      <c r="D2052" s="1" t="s">
        <v>1781</v>
      </c>
    </row>
    <row r="2053" spans="1:4">
      <c r="A2053" s="1" t="s">
        <v>5711</v>
      </c>
      <c r="B2053" s="1" t="s">
        <v>5770</v>
      </c>
      <c r="C2053" s="1" t="s">
        <v>38</v>
      </c>
      <c r="D2053" s="1" t="s">
        <v>1781</v>
      </c>
    </row>
    <row r="2054" spans="1:4">
      <c r="A2054" s="1" t="s">
        <v>5772</v>
      </c>
      <c r="B2054" s="1" t="s">
        <v>5771</v>
      </c>
      <c r="C2054" s="1" t="s">
        <v>38</v>
      </c>
      <c r="D2054" s="1" t="s">
        <v>1781</v>
      </c>
    </row>
    <row r="2055" spans="1:4">
      <c r="A2055" s="1" t="s">
        <v>5774</v>
      </c>
      <c r="B2055" s="1" t="s">
        <v>5773</v>
      </c>
      <c r="C2055" s="1" t="s">
        <v>38</v>
      </c>
      <c r="D2055" s="1" t="s">
        <v>1781</v>
      </c>
    </row>
    <row r="2056" spans="1:4">
      <c r="A2056" s="1" t="s">
        <v>5709</v>
      </c>
      <c r="B2056" s="1" t="s">
        <v>5775</v>
      </c>
      <c r="C2056" s="1" t="s">
        <v>38</v>
      </c>
      <c r="D2056" s="1" t="s">
        <v>1781</v>
      </c>
    </row>
    <row r="2057" spans="1:4">
      <c r="A2057" s="1" t="s">
        <v>5777</v>
      </c>
      <c r="B2057" s="1" t="s">
        <v>5776</v>
      </c>
      <c r="C2057" s="1" t="s">
        <v>38</v>
      </c>
      <c r="D2057" s="1" t="s">
        <v>1781</v>
      </c>
    </row>
    <row r="2058" spans="1:4">
      <c r="A2058" s="1" t="s">
        <v>5779</v>
      </c>
      <c r="B2058" s="1" t="s">
        <v>5778</v>
      </c>
      <c r="C2058" s="1" t="s">
        <v>38</v>
      </c>
      <c r="D2058" s="1" t="s">
        <v>1781</v>
      </c>
    </row>
    <row r="2059" spans="1:4">
      <c r="A2059" s="1" t="s">
        <v>5676</v>
      </c>
      <c r="B2059" s="1" t="s">
        <v>5780</v>
      </c>
      <c r="C2059" s="1" t="s">
        <v>38</v>
      </c>
      <c r="D2059" s="1" t="s">
        <v>1781</v>
      </c>
    </row>
    <row r="2060" spans="1:4">
      <c r="A2060" s="1" t="s">
        <v>5686</v>
      </c>
      <c r="B2060" s="1" t="s">
        <v>5781</v>
      </c>
      <c r="C2060" s="1" t="s">
        <v>38</v>
      </c>
      <c r="D2060" s="1" t="s">
        <v>1781</v>
      </c>
    </row>
    <row r="2061" spans="1:4">
      <c r="A2061" s="1" t="s">
        <v>5783</v>
      </c>
      <c r="B2061" s="1" t="s">
        <v>5782</v>
      </c>
      <c r="C2061" s="1" t="s">
        <v>38</v>
      </c>
      <c r="D2061" s="1" t="s">
        <v>1781</v>
      </c>
    </row>
    <row r="2062" spans="1:4">
      <c r="A2062" s="1" t="s">
        <v>270</v>
      </c>
      <c r="B2062" s="1" t="s">
        <v>5784</v>
      </c>
      <c r="C2062" s="1" t="s">
        <v>38</v>
      </c>
      <c r="D2062" s="1" t="s">
        <v>1781</v>
      </c>
    </row>
    <row r="2063" spans="1:4">
      <c r="A2063" s="1" t="s">
        <v>5687</v>
      </c>
      <c r="B2063" s="1" t="s">
        <v>5785</v>
      </c>
      <c r="C2063" s="1" t="s">
        <v>38</v>
      </c>
      <c r="D2063" s="1" t="s">
        <v>1781</v>
      </c>
    </row>
    <row r="2064" spans="1:4">
      <c r="A2064" s="1" t="s">
        <v>5685</v>
      </c>
      <c r="B2064" s="1" t="s">
        <v>5786</v>
      </c>
      <c r="C2064" s="1" t="s">
        <v>38</v>
      </c>
      <c r="D2064" s="1" t="s">
        <v>1781</v>
      </c>
    </row>
    <row r="2065" spans="1:4">
      <c r="A2065" s="1" t="s">
        <v>272</v>
      </c>
      <c r="B2065" s="1" t="s">
        <v>5787</v>
      </c>
      <c r="C2065" s="1" t="s">
        <v>38</v>
      </c>
      <c r="D2065" s="1" t="s">
        <v>1781</v>
      </c>
    </row>
    <row r="2066" spans="1:4">
      <c r="A2066" s="1" t="s">
        <v>5789</v>
      </c>
      <c r="B2066" s="1" t="s">
        <v>5788</v>
      </c>
      <c r="C2066" s="1" t="s">
        <v>38</v>
      </c>
      <c r="D2066" s="1" t="s">
        <v>1781</v>
      </c>
    </row>
    <row r="2067" spans="1:4">
      <c r="A2067" s="1" t="s">
        <v>5688</v>
      </c>
      <c r="B2067" s="1" t="s">
        <v>5790</v>
      </c>
      <c r="C2067" s="1" t="s">
        <v>38</v>
      </c>
      <c r="D2067" s="1" t="s">
        <v>1781</v>
      </c>
    </row>
    <row r="2068" spans="1:4">
      <c r="A2068" s="1" t="s">
        <v>5792</v>
      </c>
      <c r="B2068" s="1" t="s">
        <v>5791</v>
      </c>
      <c r="C2068" s="1" t="s">
        <v>38</v>
      </c>
      <c r="D2068" s="1" t="s">
        <v>1781</v>
      </c>
    </row>
    <row r="2069" spans="1:4">
      <c r="A2069" s="1" t="s">
        <v>5794</v>
      </c>
      <c r="B2069" s="1" t="s">
        <v>5793</v>
      </c>
      <c r="C2069" s="1" t="s">
        <v>38</v>
      </c>
      <c r="D2069" s="1" t="s">
        <v>1781</v>
      </c>
    </row>
    <row r="2070" spans="1:4">
      <c r="A2070" s="1" t="s">
        <v>5796</v>
      </c>
      <c r="B2070" s="1" t="s">
        <v>5795</v>
      </c>
      <c r="C2070" s="1" t="s">
        <v>38</v>
      </c>
      <c r="D2070" s="1" t="s">
        <v>1781</v>
      </c>
    </row>
    <row r="2071" spans="1:4">
      <c r="A2071" s="1" t="s">
        <v>5798</v>
      </c>
      <c r="B2071" s="1" t="s">
        <v>5797</v>
      </c>
      <c r="C2071" s="1" t="s">
        <v>38</v>
      </c>
      <c r="D2071" s="1" t="s">
        <v>1781</v>
      </c>
    </row>
    <row r="2072" spans="1:4">
      <c r="A2072" s="1" t="s">
        <v>5800</v>
      </c>
      <c r="B2072" s="1" t="s">
        <v>5799</v>
      </c>
      <c r="C2072" s="1" t="s">
        <v>38</v>
      </c>
      <c r="D2072" s="1" t="s">
        <v>1781</v>
      </c>
    </row>
    <row r="2073" spans="1:4">
      <c r="A2073" s="1" t="s">
        <v>5698</v>
      </c>
      <c r="B2073" s="1" t="s">
        <v>5801</v>
      </c>
      <c r="C2073" s="1" t="s">
        <v>38</v>
      </c>
      <c r="D2073" s="1" t="s">
        <v>1781</v>
      </c>
    </row>
    <row r="2074" spans="1:4">
      <c r="A2074" s="1" t="s">
        <v>5803</v>
      </c>
      <c r="B2074" s="1" t="s">
        <v>5802</v>
      </c>
      <c r="C2074" s="1" t="s">
        <v>38</v>
      </c>
      <c r="D2074" s="1" t="s">
        <v>1781</v>
      </c>
    </row>
    <row r="2075" spans="1:4">
      <c r="A2075" s="1" t="s">
        <v>633</v>
      </c>
      <c r="B2075" s="1" t="s">
        <v>5804</v>
      </c>
      <c r="C2075" s="1" t="s">
        <v>38</v>
      </c>
      <c r="D2075" s="1" t="s">
        <v>1781</v>
      </c>
    </row>
    <row r="2076" spans="1:4">
      <c r="A2076" s="1" t="s">
        <v>5674</v>
      </c>
      <c r="B2076" s="1" t="s">
        <v>5805</v>
      </c>
      <c r="C2076" s="1" t="s">
        <v>38</v>
      </c>
      <c r="D2076" s="1" t="s">
        <v>1781</v>
      </c>
    </row>
    <row r="2077" spans="1:4">
      <c r="A2077" s="1" t="s">
        <v>5663</v>
      </c>
      <c r="B2077" s="1" t="s">
        <v>5806</v>
      </c>
      <c r="C2077" s="1" t="s">
        <v>38</v>
      </c>
      <c r="D2077" s="1" t="s">
        <v>1781</v>
      </c>
    </row>
    <row r="2078" spans="1:4">
      <c r="A2078" s="1" t="s">
        <v>5808</v>
      </c>
      <c r="B2078" s="1" t="s">
        <v>5807</v>
      </c>
      <c r="C2078" s="1" t="s">
        <v>38</v>
      </c>
      <c r="D2078" s="1" t="s">
        <v>1781</v>
      </c>
    </row>
    <row r="2079" spans="1:4">
      <c r="A2079" s="1" t="s">
        <v>5666</v>
      </c>
      <c r="B2079" s="1" t="s">
        <v>5809</v>
      </c>
      <c r="C2079" s="1" t="s">
        <v>38</v>
      </c>
      <c r="D2079" s="1" t="s">
        <v>1781</v>
      </c>
    </row>
    <row r="2080" spans="1:4">
      <c r="A2080" s="1" t="s">
        <v>5811</v>
      </c>
      <c r="B2080" s="1" t="s">
        <v>5810</v>
      </c>
      <c r="C2080" s="1"/>
      <c r="D2080" s="1" t="s">
        <v>1781</v>
      </c>
    </row>
    <row r="2081" spans="1:4">
      <c r="A2081" s="1" t="s">
        <v>5813</v>
      </c>
      <c r="B2081" s="1" t="s">
        <v>5812</v>
      </c>
      <c r="C2081" s="1" t="s">
        <v>38</v>
      </c>
      <c r="D2081" s="1" t="s">
        <v>1781</v>
      </c>
    </row>
    <row r="2082" spans="1:4">
      <c r="A2082" s="1" t="s">
        <v>5815</v>
      </c>
      <c r="B2082" s="1" t="s">
        <v>5814</v>
      </c>
      <c r="C2082" s="1" t="s">
        <v>38</v>
      </c>
      <c r="D2082" s="1" t="s">
        <v>1781</v>
      </c>
    </row>
    <row r="2083" spans="1:4">
      <c r="A2083" s="1" t="s">
        <v>5699</v>
      </c>
      <c r="B2083" s="1" t="s">
        <v>5816</v>
      </c>
      <c r="C2083" s="1" t="s">
        <v>38</v>
      </c>
      <c r="D2083" s="1" t="s">
        <v>1781</v>
      </c>
    </row>
    <row r="2084" spans="1:4">
      <c r="A2084" s="1" t="s">
        <v>5818</v>
      </c>
      <c r="B2084" s="1" t="s">
        <v>5817</v>
      </c>
      <c r="C2084" s="1" t="s">
        <v>38</v>
      </c>
      <c r="D2084" s="1" t="s">
        <v>1781</v>
      </c>
    </row>
    <row r="2085" spans="1:4">
      <c r="A2085" s="1" t="s">
        <v>5820</v>
      </c>
      <c r="B2085" s="1" t="s">
        <v>5819</v>
      </c>
      <c r="C2085" s="1" t="s">
        <v>38</v>
      </c>
      <c r="D2085" s="1" t="s">
        <v>1781</v>
      </c>
    </row>
    <row r="2086" spans="1:4">
      <c r="A2086" s="1" t="s">
        <v>5822</v>
      </c>
      <c r="B2086" s="1" t="s">
        <v>5821</v>
      </c>
      <c r="C2086" s="1" t="s">
        <v>38</v>
      </c>
      <c r="D2086" s="1" t="s">
        <v>1781</v>
      </c>
    </row>
    <row r="2087" spans="1:4">
      <c r="A2087" s="1" t="s">
        <v>5824</v>
      </c>
      <c r="B2087" s="1" t="s">
        <v>5823</v>
      </c>
      <c r="C2087" s="1" t="s">
        <v>38</v>
      </c>
      <c r="D2087" s="1" t="s">
        <v>1781</v>
      </c>
    </row>
    <row r="2088" spans="1:4">
      <c r="A2088" s="1" t="s">
        <v>5826</v>
      </c>
      <c r="B2088" s="1" t="s">
        <v>5825</v>
      </c>
      <c r="C2088" s="1" t="s">
        <v>38</v>
      </c>
      <c r="D2088" s="1" t="s">
        <v>1781</v>
      </c>
    </row>
    <row r="2089" spans="1:4">
      <c r="A2089" s="1" t="s">
        <v>5828</v>
      </c>
      <c r="B2089" s="1" t="s">
        <v>5827</v>
      </c>
      <c r="C2089" s="1" t="s">
        <v>38</v>
      </c>
      <c r="D2089" s="1" t="s">
        <v>1781</v>
      </c>
    </row>
    <row r="2090" spans="1:4">
      <c r="A2090" s="1" t="s">
        <v>5696</v>
      </c>
      <c r="B2090" s="1" t="s">
        <v>5829</v>
      </c>
      <c r="C2090" s="1" t="s">
        <v>38</v>
      </c>
      <c r="D2090" s="1" t="s">
        <v>1781</v>
      </c>
    </row>
    <row r="2091" spans="1:4">
      <c r="A2091" s="1" t="s">
        <v>5831</v>
      </c>
      <c r="B2091" s="1" t="s">
        <v>5830</v>
      </c>
      <c r="C2091" s="1" t="s">
        <v>38</v>
      </c>
      <c r="D2091" s="1" t="s">
        <v>1781</v>
      </c>
    </row>
    <row r="2092" spans="1:4">
      <c r="A2092" s="1" t="s">
        <v>5833</v>
      </c>
      <c r="B2092" s="1" t="s">
        <v>5832</v>
      </c>
      <c r="C2092" s="1" t="s">
        <v>38</v>
      </c>
      <c r="D2092" s="1" t="s">
        <v>1781</v>
      </c>
    </row>
    <row r="2093" spans="1:4">
      <c r="A2093" s="1" t="s">
        <v>5716</v>
      </c>
      <c r="B2093" s="1" t="s">
        <v>5834</v>
      </c>
      <c r="C2093" s="1" t="s">
        <v>38</v>
      </c>
      <c r="D2093" s="1" t="s">
        <v>1781</v>
      </c>
    </row>
    <row r="2094" spans="1:4">
      <c r="A2094" s="1" t="s">
        <v>5836</v>
      </c>
      <c r="B2094" s="1" t="s">
        <v>5835</v>
      </c>
      <c r="C2094" s="1" t="s">
        <v>38</v>
      </c>
      <c r="D2094" s="1" t="s">
        <v>1781</v>
      </c>
    </row>
    <row r="2095" spans="1:4">
      <c r="A2095" s="1" t="s">
        <v>5655</v>
      </c>
      <c r="B2095" s="1" t="s">
        <v>5837</v>
      </c>
      <c r="C2095" s="1" t="s">
        <v>38</v>
      </c>
      <c r="D2095" s="1" t="s">
        <v>1781</v>
      </c>
    </row>
    <row r="2096" spans="1:4">
      <c r="A2096" s="1" t="s">
        <v>5714</v>
      </c>
      <c r="B2096" s="1" t="s">
        <v>5838</v>
      </c>
      <c r="C2096" s="1" t="s">
        <v>38</v>
      </c>
      <c r="D2096" s="1" t="s">
        <v>1781</v>
      </c>
    </row>
    <row r="2097" spans="1:4">
      <c r="A2097" s="1" t="s">
        <v>5840</v>
      </c>
      <c r="B2097" s="1" t="s">
        <v>5839</v>
      </c>
      <c r="C2097" s="1" t="s">
        <v>38</v>
      </c>
      <c r="D2097" s="1" t="s">
        <v>1781</v>
      </c>
    </row>
    <row r="2098" spans="1:4">
      <c r="A2098" s="1" t="s">
        <v>5842</v>
      </c>
      <c r="B2098" s="1" t="s">
        <v>5841</v>
      </c>
      <c r="C2098" s="1" t="s">
        <v>38</v>
      </c>
      <c r="D2098" s="1" t="s">
        <v>1781</v>
      </c>
    </row>
    <row r="2099" spans="1:4">
      <c r="A2099" s="1" t="s">
        <v>5700</v>
      </c>
      <c r="B2099" s="1" t="s">
        <v>5843</v>
      </c>
      <c r="C2099" s="1" t="s">
        <v>38</v>
      </c>
      <c r="D2099" s="1" t="s">
        <v>1781</v>
      </c>
    </row>
    <row r="2100" spans="1:4">
      <c r="A2100" s="1" t="s">
        <v>5653</v>
      </c>
      <c r="B2100" s="1" t="s">
        <v>5844</v>
      </c>
      <c r="C2100" s="1" t="s">
        <v>38</v>
      </c>
      <c r="D2100" s="1" t="s">
        <v>1781</v>
      </c>
    </row>
    <row r="2101" spans="1:4">
      <c r="A2101" s="1" t="s">
        <v>5690</v>
      </c>
      <c r="B2101" s="1" t="s">
        <v>5845</v>
      </c>
      <c r="C2101" s="1" t="s">
        <v>38</v>
      </c>
      <c r="D2101" s="1" t="s">
        <v>1781</v>
      </c>
    </row>
    <row r="2102" spans="1:4">
      <c r="A2102" s="1" t="s">
        <v>5718</v>
      </c>
      <c r="B2102" s="1" t="s">
        <v>5846</v>
      </c>
      <c r="C2102" s="1" t="s">
        <v>38</v>
      </c>
      <c r="D2102" s="1" t="s">
        <v>1781</v>
      </c>
    </row>
    <row r="2103" spans="1:4">
      <c r="A2103" s="1" t="s">
        <v>5677</v>
      </c>
      <c r="B2103" s="1" t="s">
        <v>5847</v>
      </c>
      <c r="C2103" s="1" t="s">
        <v>38</v>
      </c>
      <c r="D2103" s="1" t="s">
        <v>1781</v>
      </c>
    </row>
    <row r="2104" spans="1:4">
      <c r="A2104" s="1" t="s">
        <v>5701</v>
      </c>
      <c r="B2104" s="1" t="s">
        <v>5848</v>
      </c>
      <c r="C2104" s="1" t="s">
        <v>38</v>
      </c>
      <c r="D2104" s="1" t="s">
        <v>1781</v>
      </c>
    </row>
    <row r="2105" spans="1:4">
      <c r="A2105" s="1" t="s">
        <v>5697</v>
      </c>
      <c r="B2105" s="1" t="s">
        <v>5849</v>
      </c>
      <c r="C2105" s="1" t="s">
        <v>38</v>
      </c>
      <c r="D2105" s="1" t="s">
        <v>1781</v>
      </c>
    </row>
    <row r="2106" spans="1:4">
      <c r="A2106" s="1" t="s">
        <v>5694</v>
      </c>
      <c r="B2106" s="1" t="s">
        <v>5850</v>
      </c>
      <c r="C2106" s="1" t="s">
        <v>38</v>
      </c>
      <c r="D2106" s="1" t="s">
        <v>1781</v>
      </c>
    </row>
    <row r="2107" spans="1:4">
      <c r="A2107" s="1" t="s">
        <v>5852</v>
      </c>
      <c r="B2107" s="1" t="s">
        <v>5851</v>
      </c>
      <c r="C2107" s="1" t="s">
        <v>38</v>
      </c>
      <c r="D2107" s="1" t="s">
        <v>1781</v>
      </c>
    </row>
    <row r="2108" spans="1:4">
      <c r="A2108" s="1" t="s">
        <v>5662</v>
      </c>
      <c r="B2108" s="1" t="s">
        <v>5853</v>
      </c>
      <c r="C2108" s="1" t="s">
        <v>38</v>
      </c>
      <c r="D2108" s="1" t="s">
        <v>1781</v>
      </c>
    </row>
    <row r="2109" spans="1:4">
      <c r="A2109" s="1" t="s">
        <v>469</v>
      </c>
      <c r="B2109" s="1" t="s">
        <v>5854</v>
      </c>
      <c r="C2109" s="1" t="s">
        <v>38</v>
      </c>
      <c r="D2109" s="1" t="s">
        <v>1781</v>
      </c>
    </row>
    <row r="2110" spans="1:4">
      <c r="A2110" s="1" t="s">
        <v>5856</v>
      </c>
      <c r="B2110" s="1" t="s">
        <v>5855</v>
      </c>
      <c r="C2110" s="1" t="s">
        <v>38</v>
      </c>
      <c r="D2110" s="1" t="s">
        <v>1781</v>
      </c>
    </row>
    <row r="2111" spans="1:4">
      <c r="A2111" s="1" t="s">
        <v>5708</v>
      </c>
      <c r="B2111" s="1" t="s">
        <v>5857</v>
      </c>
      <c r="C2111" s="1" t="s">
        <v>38</v>
      </c>
      <c r="D2111" s="1" t="s">
        <v>1781</v>
      </c>
    </row>
    <row r="2112" spans="1:4">
      <c r="A2112" s="1" t="s">
        <v>5664</v>
      </c>
      <c r="B2112" s="1" t="s">
        <v>5858</v>
      </c>
      <c r="C2112" s="1" t="s">
        <v>38</v>
      </c>
      <c r="D2112" s="1" t="s">
        <v>1781</v>
      </c>
    </row>
    <row r="2113" spans="1:4">
      <c r="A2113" s="1" t="s">
        <v>5860</v>
      </c>
      <c r="B2113" s="1" t="s">
        <v>5859</v>
      </c>
      <c r="C2113" s="1" t="s">
        <v>38</v>
      </c>
      <c r="D2113" s="1" t="s">
        <v>1781</v>
      </c>
    </row>
    <row r="2114" spans="1:4">
      <c r="A2114" s="1" t="s">
        <v>5681</v>
      </c>
      <c r="B2114" s="1" t="s">
        <v>5861</v>
      </c>
      <c r="C2114" s="1" t="s">
        <v>38</v>
      </c>
      <c r="D2114" s="1" t="s">
        <v>1781</v>
      </c>
    </row>
    <row r="2115" spans="1:4">
      <c r="A2115" s="1" t="s">
        <v>5656</v>
      </c>
      <c r="B2115" s="1" t="s">
        <v>5862</v>
      </c>
      <c r="C2115" s="1" t="s">
        <v>38</v>
      </c>
      <c r="D2115" s="1" t="s">
        <v>1781</v>
      </c>
    </row>
    <row r="2116" spans="1:4">
      <c r="A2116" s="1" t="s">
        <v>5647</v>
      </c>
      <c r="B2116" s="1" t="s">
        <v>5863</v>
      </c>
      <c r="C2116" s="1" t="s">
        <v>38</v>
      </c>
      <c r="D2116" s="1" t="s">
        <v>1781</v>
      </c>
    </row>
    <row r="2117" spans="1:4">
      <c r="A2117" s="1" t="s">
        <v>5678</v>
      </c>
      <c r="B2117" s="1" t="s">
        <v>5864</v>
      </c>
      <c r="C2117" s="1" t="s">
        <v>38</v>
      </c>
      <c r="D2117" s="1" t="s">
        <v>1781</v>
      </c>
    </row>
    <row r="2118" spans="1:4">
      <c r="A2118" s="1" t="s">
        <v>5668</v>
      </c>
      <c r="B2118" s="1" t="s">
        <v>5865</v>
      </c>
      <c r="C2118" s="1" t="s">
        <v>38</v>
      </c>
      <c r="D2118" s="1" t="s">
        <v>1781</v>
      </c>
    </row>
    <row r="2119" spans="1:4">
      <c r="A2119" s="1" t="s">
        <v>5867</v>
      </c>
      <c r="B2119" s="1" t="s">
        <v>5866</v>
      </c>
      <c r="C2119" s="1" t="s">
        <v>38</v>
      </c>
      <c r="D2119" s="1" t="s">
        <v>1781</v>
      </c>
    </row>
    <row r="2120" spans="1:4">
      <c r="A2120" s="1" t="s">
        <v>5691</v>
      </c>
      <c r="B2120" s="1" t="s">
        <v>5868</v>
      </c>
      <c r="C2120" s="1" t="s">
        <v>38</v>
      </c>
      <c r="D2120" s="1" t="s">
        <v>1781</v>
      </c>
    </row>
    <row r="2121" spans="1:4">
      <c r="A2121" s="1" t="s">
        <v>5657</v>
      </c>
      <c r="B2121" s="1" t="s">
        <v>5869</v>
      </c>
      <c r="C2121" s="1" t="s">
        <v>38</v>
      </c>
      <c r="D2121" s="1" t="s">
        <v>1781</v>
      </c>
    </row>
    <row r="2122" spans="1:4">
      <c r="A2122" s="1" t="s">
        <v>5871</v>
      </c>
      <c r="B2122" s="1" t="s">
        <v>5870</v>
      </c>
      <c r="C2122" s="1" t="s">
        <v>38</v>
      </c>
      <c r="D2122" s="1" t="s">
        <v>1781</v>
      </c>
    </row>
    <row r="2123" spans="1:4">
      <c r="A2123" s="1" t="s">
        <v>5873</v>
      </c>
      <c r="B2123" s="1" t="s">
        <v>5872</v>
      </c>
      <c r="C2123" s="1" t="s">
        <v>38</v>
      </c>
      <c r="D2123" s="1" t="s">
        <v>1781</v>
      </c>
    </row>
    <row r="2124" spans="1:4">
      <c r="A2124" s="1" t="s">
        <v>5692</v>
      </c>
      <c r="B2124" s="1" t="s">
        <v>5874</v>
      </c>
      <c r="C2124" s="1" t="s">
        <v>38</v>
      </c>
      <c r="D2124" s="1" t="s">
        <v>1781</v>
      </c>
    </row>
    <row r="2125" spans="1:4">
      <c r="A2125" s="1" t="s">
        <v>5665</v>
      </c>
      <c r="B2125" s="1" t="s">
        <v>5875</v>
      </c>
      <c r="C2125" s="1" t="s">
        <v>38</v>
      </c>
      <c r="D2125" s="1" t="s">
        <v>1781</v>
      </c>
    </row>
    <row r="2126" spans="1:4">
      <c r="A2126" s="1" t="s">
        <v>5877</v>
      </c>
      <c r="B2126" s="1" t="s">
        <v>5876</v>
      </c>
      <c r="C2126" s="1" t="s">
        <v>38</v>
      </c>
      <c r="D2126" s="1" t="s">
        <v>1781</v>
      </c>
    </row>
    <row r="2127" spans="1:4">
      <c r="A2127" s="1" t="s">
        <v>1841</v>
      </c>
      <c r="B2127" s="1" t="s">
        <v>5878</v>
      </c>
      <c r="C2127" s="1" t="s">
        <v>38</v>
      </c>
      <c r="D2127" s="1" t="s">
        <v>1781</v>
      </c>
    </row>
    <row r="2128" spans="1:4">
      <c r="A2128" s="1" t="s">
        <v>5880</v>
      </c>
      <c r="B2128" s="1" t="s">
        <v>5879</v>
      </c>
      <c r="C2128" s="1" t="s">
        <v>38</v>
      </c>
      <c r="D2128" s="1" t="s">
        <v>1781</v>
      </c>
    </row>
    <row r="2129" spans="1:4">
      <c r="A2129" s="1" t="s">
        <v>5652</v>
      </c>
      <c r="B2129" s="1" t="s">
        <v>5881</v>
      </c>
      <c r="C2129" s="1" t="s">
        <v>38</v>
      </c>
      <c r="D2129" s="1" t="s">
        <v>1781</v>
      </c>
    </row>
    <row r="2130" spans="1:4">
      <c r="A2130" s="1" t="s">
        <v>5682</v>
      </c>
      <c r="B2130" s="1" t="s">
        <v>5882</v>
      </c>
      <c r="C2130" s="1" t="s">
        <v>38</v>
      </c>
      <c r="D2130" s="1" t="s">
        <v>1781</v>
      </c>
    </row>
    <row r="2131" spans="1:4">
      <c r="A2131" s="1" t="s">
        <v>1330</v>
      </c>
      <c r="B2131" s="1" t="s">
        <v>5883</v>
      </c>
      <c r="C2131" s="1" t="s">
        <v>38</v>
      </c>
      <c r="D2131" s="1" t="s">
        <v>1781</v>
      </c>
    </row>
    <row r="2132" spans="1:4">
      <c r="A2132" s="1" t="s">
        <v>5689</v>
      </c>
      <c r="B2132" s="1" t="s">
        <v>5884</v>
      </c>
      <c r="C2132" s="1" t="s">
        <v>38</v>
      </c>
      <c r="D2132" s="1" t="s">
        <v>1781</v>
      </c>
    </row>
    <row r="2133" spans="1:4">
      <c r="A2133" s="1" t="s">
        <v>5886</v>
      </c>
      <c r="B2133" s="1" t="s">
        <v>5885</v>
      </c>
      <c r="C2133" s="1" t="s">
        <v>38</v>
      </c>
      <c r="D2133" s="1" t="s">
        <v>1781</v>
      </c>
    </row>
    <row r="2134" spans="1:4">
      <c r="A2134" s="1" t="s">
        <v>5658</v>
      </c>
      <c r="B2134" s="1" t="s">
        <v>5887</v>
      </c>
      <c r="C2134" s="1" t="s">
        <v>38</v>
      </c>
      <c r="D2134" s="1" t="s">
        <v>1781</v>
      </c>
    </row>
    <row r="2135" spans="1:4">
      <c r="A2135" s="1" t="s">
        <v>5654</v>
      </c>
      <c r="B2135" s="1" t="s">
        <v>5888</v>
      </c>
      <c r="C2135" s="1" t="s">
        <v>38</v>
      </c>
      <c r="D2135" s="1" t="s">
        <v>1781</v>
      </c>
    </row>
    <row r="2136" spans="1:4">
      <c r="A2136" s="1" t="s">
        <v>5648</v>
      </c>
      <c r="B2136" s="1" t="s">
        <v>5889</v>
      </c>
      <c r="C2136" s="1" t="s">
        <v>38</v>
      </c>
      <c r="D2136" s="1" t="s">
        <v>1781</v>
      </c>
    </row>
    <row r="2137" spans="1:4">
      <c r="A2137" s="1" t="s">
        <v>5702</v>
      </c>
      <c r="B2137" s="1" t="s">
        <v>5890</v>
      </c>
      <c r="C2137" s="1" t="s">
        <v>38</v>
      </c>
      <c r="D2137" s="1" t="s">
        <v>1781</v>
      </c>
    </row>
    <row r="2138" spans="1:4">
      <c r="A2138" s="1" t="s">
        <v>5675</v>
      </c>
      <c r="B2138" s="1" t="s">
        <v>5891</v>
      </c>
      <c r="C2138" s="1" t="s">
        <v>38</v>
      </c>
      <c r="D2138" s="1" t="s">
        <v>1781</v>
      </c>
    </row>
    <row r="2139" spans="1:4">
      <c r="A2139" s="1" t="s">
        <v>5893</v>
      </c>
      <c r="B2139" s="1" t="s">
        <v>5892</v>
      </c>
      <c r="C2139" s="1" t="s">
        <v>38</v>
      </c>
      <c r="D2139" s="1" t="s">
        <v>1781</v>
      </c>
    </row>
    <row r="2140" spans="1:4">
      <c r="A2140" s="1" t="s">
        <v>5895</v>
      </c>
      <c r="B2140" s="1" t="s">
        <v>5894</v>
      </c>
      <c r="C2140" s="1" t="s">
        <v>38</v>
      </c>
      <c r="D2140" s="1" t="s">
        <v>1781</v>
      </c>
    </row>
    <row r="2141" spans="1:4">
      <c r="A2141" s="1" t="s">
        <v>5667</v>
      </c>
      <c r="B2141" s="1" t="s">
        <v>5896</v>
      </c>
      <c r="C2141" s="1" t="s">
        <v>38</v>
      </c>
      <c r="D2141" s="1" t="s">
        <v>1781</v>
      </c>
    </row>
    <row r="2142" spans="1:4">
      <c r="A2142" s="1" t="s">
        <v>5898</v>
      </c>
      <c r="B2142" s="1" t="s">
        <v>5897</v>
      </c>
      <c r="C2142" s="1" t="s">
        <v>38</v>
      </c>
      <c r="D2142" s="1" t="s">
        <v>1781</v>
      </c>
    </row>
    <row r="2143" spans="1:4">
      <c r="A2143" s="1" t="s">
        <v>5717</v>
      </c>
      <c r="B2143" s="1" t="s">
        <v>5899</v>
      </c>
      <c r="C2143" s="1" t="s">
        <v>38</v>
      </c>
      <c r="D2143" s="1" t="s">
        <v>1781</v>
      </c>
    </row>
    <row r="2144" spans="1:4">
      <c r="A2144" s="1" t="s">
        <v>5901</v>
      </c>
      <c r="B2144" s="1" t="s">
        <v>5900</v>
      </c>
      <c r="C2144" s="1" t="s">
        <v>38</v>
      </c>
      <c r="D2144" s="1" t="s">
        <v>1781</v>
      </c>
    </row>
    <row r="2145" spans="1:4">
      <c r="A2145" s="1" t="s">
        <v>5713</v>
      </c>
      <c r="B2145" s="1" t="s">
        <v>5902</v>
      </c>
      <c r="C2145" s="1" t="s">
        <v>38</v>
      </c>
      <c r="D2145" s="1" t="s">
        <v>1781</v>
      </c>
    </row>
    <row r="2146" spans="1:4">
      <c r="A2146" s="1" t="s">
        <v>5651</v>
      </c>
      <c r="B2146" s="1" t="s">
        <v>5903</v>
      </c>
      <c r="C2146" s="1" t="s">
        <v>38</v>
      </c>
      <c r="D2146" s="1" t="s">
        <v>1781</v>
      </c>
    </row>
    <row r="2147" spans="1:4">
      <c r="A2147" s="1" t="s">
        <v>5905</v>
      </c>
      <c r="B2147" s="1" t="s">
        <v>5904</v>
      </c>
      <c r="C2147" s="1" t="s">
        <v>38</v>
      </c>
      <c r="D2147" s="1" t="s">
        <v>1781</v>
      </c>
    </row>
    <row r="2148" spans="1:4">
      <c r="A2148" s="1" t="s">
        <v>1855</v>
      </c>
      <c r="B2148" s="1" t="s">
        <v>5906</v>
      </c>
      <c r="C2148" s="1" t="s">
        <v>38</v>
      </c>
      <c r="D2148" s="1" t="s">
        <v>1781</v>
      </c>
    </row>
    <row r="2149" spans="1:4">
      <c r="A2149" s="1" t="s">
        <v>5908</v>
      </c>
      <c r="B2149" s="1" t="s">
        <v>5907</v>
      </c>
      <c r="C2149" s="1" t="s">
        <v>38</v>
      </c>
      <c r="D2149" s="1" t="s">
        <v>1781</v>
      </c>
    </row>
    <row r="2150" spans="1:4">
      <c r="A2150" s="1" t="s">
        <v>5703</v>
      </c>
      <c r="B2150" s="1" t="s">
        <v>5909</v>
      </c>
      <c r="C2150" s="1" t="s">
        <v>38</v>
      </c>
      <c r="D2150" s="1" t="s">
        <v>1781</v>
      </c>
    </row>
    <row r="2151" spans="1:4">
      <c r="A2151" s="1" t="s">
        <v>5911</v>
      </c>
      <c r="B2151" s="1" t="s">
        <v>5910</v>
      </c>
      <c r="C2151" s="1" t="s">
        <v>38</v>
      </c>
      <c r="D2151" s="1" t="s">
        <v>1781</v>
      </c>
    </row>
    <row r="2152" spans="1:4">
      <c r="A2152" s="1" t="s">
        <v>225</v>
      </c>
      <c r="B2152" s="1" t="s">
        <v>5912</v>
      </c>
      <c r="C2152" s="1" t="s">
        <v>38</v>
      </c>
      <c r="D2152" s="1" t="s">
        <v>1781</v>
      </c>
    </row>
    <row r="2153" spans="1:4">
      <c r="A2153" s="1" t="s">
        <v>5914</v>
      </c>
      <c r="B2153" s="1" t="s">
        <v>5913</v>
      </c>
      <c r="C2153" s="1" t="s">
        <v>38</v>
      </c>
      <c r="D2153" s="1" t="s">
        <v>1781</v>
      </c>
    </row>
    <row r="2154" spans="1:4">
      <c r="A2154" s="1" t="s">
        <v>5660</v>
      </c>
      <c r="B2154" s="1" t="s">
        <v>5915</v>
      </c>
      <c r="C2154" s="1" t="s">
        <v>38</v>
      </c>
      <c r="D2154" s="1" t="s">
        <v>1781</v>
      </c>
    </row>
    <row r="2155" spans="1:4">
      <c r="A2155" s="1" t="s">
        <v>5917</v>
      </c>
      <c r="B2155" s="1" t="s">
        <v>5916</v>
      </c>
      <c r="C2155" s="1" t="s">
        <v>38</v>
      </c>
      <c r="D2155" s="1" t="s">
        <v>1781</v>
      </c>
    </row>
    <row r="2156" spans="1:4">
      <c r="A2156" s="1" t="s">
        <v>5704</v>
      </c>
      <c r="B2156" s="1" t="s">
        <v>5918</v>
      </c>
      <c r="C2156" s="1" t="s">
        <v>38</v>
      </c>
      <c r="D2156" s="1" t="s">
        <v>1781</v>
      </c>
    </row>
    <row r="2157" spans="1:4">
      <c r="A2157" s="1" t="s">
        <v>5920</v>
      </c>
      <c r="B2157" s="1" t="s">
        <v>5919</v>
      </c>
      <c r="C2157" s="1" t="s">
        <v>38</v>
      </c>
      <c r="D2157" s="1" t="s">
        <v>1781</v>
      </c>
    </row>
    <row r="2158" spans="1:4">
      <c r="A2158" s="1" t="s">
        <v>5659</v>
      </c>
      <c r="B2158" s="1" t="s">
        <v>5921</v>
      </c>
      <c r="C2158" s="1" t="s">
        <v>38</v>
      </c>
      <c r="D2158" s="1" t="s">
        <v>1781</v>
      </c>
    </row>
    <row r="2159" spans="1:4">
      <c r="A2159" s="1" t="s">
        <v>5923</v>
      </c>
      <c r="B2159" s="1" t="s">
        <v>5922</v>
      </c>
      <c r="C2159" s="1" t="s">
        <v>38</v>
      </c>
      <c r="D2159" s="1" t="s">
        <v>1781</v>
      </c>
    </row>
    <row r="2160" spans="1:4">
      <c r="A2160" s="1" t="s">
        <v>5925</v>
      </c>
      <c r="B2160" s="1" t="s">
        <v>5924</v>
      </c>
      <c r="C2160" s="1" t="s">
        <v>38</v>
      </c>
      <c r="D2160" s="1" t="s">
        <v>1781</v>
      </c>
    </row>
    <row r="2161" spans="1:4">
      <c r="A2161" s="1" t="s">
        <v>5695</v>
      </c>
      <c r="B2161" s="1" t="s">
        <v>5926</v>
      </c>
      <c r="C2161" s="1" t="s">
        <v>38</v>
      </c>
      <c r="D2161" s="1" t="s">
        <v>1781</v>
      </c>
    </row>
    <row r="2162" spans="1:4">
      <c r="A2162" s="1" t="s">
        <v>5712</v>
      </c>
      <c r="B2162" s="1" t="s">
        <v>5927</v>
      </c>
      <c r="C2162" s="1" t="s">
        <v>38</v>
      </c>
      <c r="D2162" s="1" t="s">
        <v>1781</v>
      </c>
    </row>
    <row r="2163" spans="1:4">
      <c r="A2163" s="1" t="s">
        <v>5693</v>
      </c>
      <c r="B2163" s="1" t="s">
        <v>5928</v>
      </c>
      <c r="C2163" s="1" t="s">
        <v>38</v>
      </c>
      <c r="D2163" s="1" t="s">
        <v>1781</v>
      </c>
    </row>
    <row r="2164" spans="1:4">
      <c r="A2164" s="1" t="s">
        <v>5930</v>
      </c>
      <c r="B2164" s="1" t="s">
        <v>5929</v>
      </c>
      <c r="C2164" s="1" t="s">
        <v>38</v>
      </c>
      <c r="D2164" s="1" t="s">
        <v>1781</v>
      </c>
    </row>
    <row r="2165" spans="1:4">
      <c r="A2165" s="1" t="s">
        <v>5649</v>
      </c>
      <c r="B2165" s="1" t="s">
        <v>5931</v>
      </c>
      <c r="C2165" s="1" t="s">
        <v>38</v>
      </c>
      <c r="D2165" s="1" t="s">
        <v>1781</v>
      </c>
    </row>
    <row r="2166" spans="1:4">
      <c r="A2166" s="1" t="s">
        <v>520</v>
      </c>
      <c r="B2166" s="1" t="s">
        <v>5932</v>
      </c>
      <c r="C2166" s="1" t="s">
        <v>38</v>
      </c>
      <c r="D2166" s="1" t="s">
        <v>1781</v>
      </c>
    </row>
    <row r="2167" spans="1:4">
      <c r="A2167" s="1" t="s">
        <v>5710</v>
      </c>
      <c r="B2167" s="1" t="s">
        <v>5933</v>
      </c>
      <c r="C2167" s="1" t="s">
        <v>38</v>
      </c>
      <c r="D2167" s="1" t="s">
        <v>1781</v>
      </c>
    </row>
    <row r="2168" spans="1:4">
      <c r="A2168" s="1" t="s">
        <v>5935</v>
      </c>
      <c r="B2168" s="1" t="s">
        <v>5934</v>
      </c>
      <c r="C2168" s="1" t="s">
        <v>38</v>
      </c>
      <c r="D2168" s="1" t="s">
        <v>1781</v>
      </c>
    </row>
    <row r="2169" spans="1:4">
      <c r="A2169" s="1" t="s">
        <v>5937</v>
      </c>
      <c r="B2169" s="1" t="s">
        <v>5936</v>
      </c>
      <c r="C2169" s="1" t="s">
        <v>38</v>
      </c>
      <c r="D2169" s="1" t="s">
        <v>1781</v>
      </c>
    </row>
    <row r="2170" spans="1:4">
      <c r="A2170" s="1" t="s">
        <v>5961</v>
      </c>
      <c r="B2170" s="1" t="s">
        <v>6038</v>
      </c>
      <c r="C2170" s="1" t="s">
        <v>38</v>
      </c>
      <c r="D2170" s="1" t="s">
        <v>1781</v>
      </c>
    </row>
    <row r="2171" spans="1:4">
      <c r="A2171" s="1" t="s">
        <v>6028</v>
      </c>
      <c r="B2171" s="1" t="s">
        <v>6039</v>
      </c>
      <c r="C2171" s="1" t="s">
        <v>38</v>
      </c>
      <c r="D2171" s="1" t="s">
        <v>1781</v>
      </c>
    </row>
    <row r="2172" spans="1:4">
      <c r="A2172" s="1" t="s">
        <v>5989</v>
      </c>
      <c r="B2172" s="1" t="s">
        <v>6040</v>
      </c>
      <c r="C2172" s="1" t="s">
        <v>38</v>
      </c>
      <c r="D2172" s="1" t="s">
        <v>1781</v>
      </c>
    </row>
    <row r="2173" spans="1:4">
      <c r="A2173" s="1" t="s">
        <v>5986</v>
      </c>
      <c r="B2173" s="1" t="s">
        <v>6041</v>
      </c>
      <c r="C2173" s="1" t="s">
        <v>38</v>
      </c>
      <c r="D2173" s="1" t="s">
        <v>1781</v>
      </c>
    </row>
    <row r="2174" spans="1:4">
      <c r="A2174" s="1" t="s">
        <v>6043</v>
      </c>
      <c r="B2174" s="1" t="s">
        <v>6042</v>
      </c>
      <c r="C2174" s="1" t="s">
        <v>38</v>
      </c>
      <c r="D2174" s="1" t="s">
        <v>1781</v>
      </c>
    </row>
    <row r="2175" spans="1:4">
      <c r="A2175" s="1" t="s">
        <v>6045</v>
      </c>
      <c r="B2175" s="1" t="s">
        <v>6044</v>
      </c>
      <c r="C2175" s="1" t="s">
        <v>38</v>
      </c>
      <c r="D2175" s="1" t="s">
        <v>1781</v>
      </c>
    </row>
    <row r="2176" spans="1:4">
      <c r="A2176" s="1" t="s">
        <v>6001</v>
      </c>
      <c r="B2176" s="1" t="s">
        <v>6046</v>
      </c>
      <c r="C2176" s="1" t="s">
        <v>38</v>
      </c>
      <c r="D2176" s="1" t="s">
        <v>1781</v>
      </c>
    </row>
    <row r="2177" spans="1:4">
      <c r="A2177" s="1" t="s">
        <v>6006</v>
      </c>
      <c r="B2177" s="1" t="s">
        <v>6047</v>
      </c>
      <c r="C2177" s="1" t="s">
        <v>38</v>
      </c>
      <c r="D2177" s="1" t="s">
        <v>1781</v>
      </c>
    </row>
    <row r="2178" spans="1:4">
      <c r="A2178" s="1" t="s">
        <v>6029</v>
      </c>
      <c r="B2178" s="1" t="s">
        <v>6048</v>
      </c>
      <c r="C2178" s="1" t="s">
        <v>38</v>
      </c>
      <c r="D2178" s="1" t="s">
        <v>1781</v>
      </c>
    </row>
    <row r="2179" spans="1:4">
      <c r="A2179" s="1" t="s">
        <v>6050</v>
      </c>
      <c r="B2179" s="1" t="s">
        <v>6049</v>
      </c>
      <c r="C2179" s="1" t="s">
        <v>38</v>
      </c>
      <c r="D2179" s="1" t="s">
        <v>1781</v>
      </c>
    </row>
    <row r="2180" spans="1:4">
      <c r="A2180" s="1" t="s">
        <v>6052</v>
      </c>
      <c r="B2180" s="1" t="s">
        <v>6051</v>
      </c>
      <c r="C2180" s="1" t="s">
        <v>38</v>
      </c>
      <c r="D2180" s="1" t="s">
        <v>1781</v>
      </c>
    </row>
    <row r="2181" spans="1:4">
      <c r="A2181" s="1" t="s">
        <v>359</v>
      </c>
      <c r="B2181" s="1" t="s">
        <v>6053</v>
      </c>
      <c r="C2181" s="1" t="s">
        <v>38</v>
      </c>
      <c r="D2181" s="1" t="s">
        <v>1781</v>
      </c>
    </row>
    <row r="2182" spans="1:4">
      <c r="A2182" s="1" t="s">
        <v>6055</v>
      </c>
      <c r="B2182" s="1" t="s">
        <v>6054</v>
      </c>
      <c r="C2182" s="1" t="s">
        <v>38</v>
      </c>
      <c r="D2182" s="1" t="s">
        <v>1781</v>
      </c>
    </row>
    <row r="2183" spans="1:4">
      <c r="A2183" s="1" t="s">
        <v>6000</v>
      </c>
      <c r="B2183" s="1" t="s">
        <v>6056</v>
      </c>
      <c r="C2183" s="1" t="s">
        <v>38</v>
      </c>
      <c r="D2183" s="1" t="s">
        <v>1781</v>
      </c>
    </row>
    <row r="2184" spans="1:4">
      <c r="A2184" s="1" t="s">
        <v>6058</v>
      </c>
      <c r="B2184" s="1" t="s">
        <v>6057</v>
      </c>
      <c r="C2184" s="1" t="s">
        <v>38</v>
      </c>
      <c r="D2184" s="1" t="s">
        <v>1781</v>
      </c>
    </row>
    <row r="2185" spans="1:4">
      <c r="A2185" s="1" t="s">
        <v>6060</v>
      </c>
      <c r="B2185" s="1" t="s">
        <v>6059</v>
      </c>
      <c r="C2185" s="1" t="s">
        <v>38</v>
      </c>
      <c r="D2185" s="1" t="s">
        <v>1781</v>
      </c>
    </row>
    <row r="2186" spans="1:4">
      <c r="A2186" s="1" t="s">
        <v>6024</v>
      </c>
      <c r="B2186" s="1" t="s">
        <v>6061</v>
      </c>
      <c r="C2186" s="1" t="s">
        <v>38</v>
      </c>
      <c r="D2186" s="1" t="s">
        <v>1781</v>
      </c>
    </row>
    <row r="2187" spans="1:4">
      <c r="A2187" s="1" t="s">
        <v>483</v>
      </c>
      <c r="B2187" s="1" t="s">
        <v>6062</v>
      </c>
      <c r="C2187" s="1" t="s">
        <v>38</v>
      </c>
      <c r="D2187" s="1" t="s">
        <v>1781</v>
      </c>
    </row>
    <row r="2188" spans="1:4">
      <c r="A2188" s="1" t="s">
        <v>6064</v>
      </c>
      <c r="B2188" s="1" t="s">
        <v>6063</v>
      </c>
      <c r="C2188" s="1" t="s">
        <v>38</v>
      </c>
      <c r="D2188" s="1" t="s">
        <v>1781</v>
      </c>
    </row>
    <row r="2189" spans="1:4">
      <c r="A2189" s="1" t="s">
        <v>6019</v>
      </c>
      <c r="B2189" s="1" t="s">
        <v>6065</v>
      </c>
      <c r="C2189" s="1" t="s">
        <v>38</v>
      </c>
      <c r="D2189" s="1" t="s">
        <v>1781</v>
      </c>
    </row>
    <row r="2190" spans="1:4">
      <c r="A2190" s="1" t="s">
        <v>6030</v>
      </c>
      <c r="B2190" s="1" t="s">
        <v>6066</v>
      </c>
      <c r="C2190" s="1" t="s">
        <v>38</v>
      </c>
      <c r="D2190" s="1" t="s">
        <v>1781</v>
      </c>
    </row>
    <row r="2191" spans="1:4">
      <c r="A2191" s="1" t="s">
        <v>6068</v>
      </c>
      <c r="B2191" s="1" t="s">
        <v>6067</v>
      </c>
      <c r="C2191" s="1" t="s">
        <v>38</v>
      </c>
      <c r="D2191" s="1" t="s">
        <v>1781</v>
      </c>
    </row>
    <row r="2192" spans="1:4">
      <c r="A2192" s="1" t="s">
        <v>6070</v>
      </c>
      <c r="B2192" s="1" t="s">
        <v>6069</v>
      </c>
      <c r="C2192" s="1" t="s">
        <v>38</v>
      </c>
      <c r="D2192" s="1" t="s">
        <v>1781</v>
      </c>
    </row>
    <row r="2193" spans="1:4">
      <c r="A2193" s="1" t="s">
        <v>6072</v>
      </c>
      <c r="B2193" s="1" t="s">
        <v>6071</v>
      </c>
      <c r="C2193" s="1" t="s">
        <v>38</v>
      </c>
      <c r="D2193" s="1" t="s">
        <v>1781</v>
      </c>
    </row>
    <row r="2194" spans="1:4">
      <c r="A2194" s="1" t="s">
        <v>6074</v>
      </c>
      <c r="B2194" s="1" t="s">
        <v>6073</v>
      </c>
      <c r="C2194" s="1" t="s">
        <v>38</v>
      </c>
      <c r="D2194" s="1" t="s">
        <v>1781</v>
      </c>
    </row>
    <row r="2195" spans="1:4">
      <c r="A2195" s="1" t="s">
        <v>6076</v>
      </c>
      <c r="B2195" s="1" t="s">
        <v>6075</v>
      </c>
      <c r="C2195" s="1" t="s">
        <v>38</v>
      </c>
      <c r="D2195" s="1" t="s">
        <v>1781</v>
      </c>
    </row>
    <row r="2196" spans="1:4">
      <c r="A2196" s="1" t="s">
        <v>6078</v>
      </c>
      <c r="B2196" s="1" t="s">
        <v>6077</v>
      </c>
      <c r="C2196" s="1" t="s">
        <v>38</v>
      </c>
      <c r="D2196" s="1" t="s">
        <v>1781</v>
      </c>
    </row>
    <row r="2197" spans="1:4">
      <c r="A2197" s="1" t="s">
        <v>6080</v>
      </c>
      <c r="B2197" s="1" t="s">
        <v>6079</v>
      </c>
      <c r="C2197" s="1" t="s">
        <v>38</v>
      </c>
      <c r="D2197" s="1" t="s">
        <v>1781</v>
      </c>
    </row>
    <row r="2198" spans="1:4">
      <c r="A2198" s="1" t="s">
        <v>328</v>
      </c>
      <c r="B2198" s="1" t="s">
        <v>6081</v>
      </c>
      <c r="C2198" s="1" t="s">
        <v>38</v>
      </c>
      <c r="D2198" s="1" t="s">
        <v>1781</v>
      </c>
    </row>
    <row r="2199" spans="1:4">
      <c r="A2199" s="1" t="s">
        <v>6083</v>
      </c>
      <c r="B2199" s="1" t="s">
        <v>6082</v>
      </c>
      <c r="C2199" s="1" t="s">
        <v>38</v>
      </c>
      <c r="D2199" s="1" t="s">
        <v>1781</v>
      </c>
    </row>
    <row r="2200" spans="1:4">
      <c r="A2200" s="1" t="s">
        <v>157</v>
      </c>
      <c r="B2200" s="1" t="s">
        <v>6084</v>
      </c>
      <c r="C2200" s="1" t="s">
        <v>38</v>
      </c>
      <c r="D2200" s="1" t="s">
        <v>1781</v>
      </c>
    </row>
    <row r="2201" spans="1:4">
      <c r="A2201" s="1" t="s">
        <v>335</v>
      </c>
      <c r="B2201" s="1" t="s">
        <v>6085</v>
      </c>
      <c r="C2201" s="1" t="s">
        <v>38</v>
      </c>
      <c r="D2201" s="1" t="s">
        <v>1781</v>
      </c>
    </row>
    <row r="2202" spans="1:4">
      <c r="A2202" s="1" t="s">
        <v>5999</v>
      </c>
      <c r="B2202" s="1" t="s">
        <v>6086</v>
      </c>
      <c r="C2202" s="1" t="s">
        <v>38</v>
      </c>
      <c r="D2202" s="1" t="s">
        <v>1781</v>
      </c>
    </row>
    <row r="2203" spans="1:4">
      <c r="A2203" s="1" t="s">
        <v>306</v>
      </c>
      <c r="B2203" s="1" t="s">
        <v>6087</v>
      </c>
      <c r="C2203" s="1" t="s">
        <v>38</v>
      </c>
      <c r="D2203" s="1" t="s">
        <v>1781</v>
      </c>
    </row>
    <row r="2204" spans="1:4">
      <c r="A2204" s="1" t="s">
        <v>1820</v>
      </c>
      <c r="B2204" s="1" t="s">
        <v>6088</v>
      </c>
      <c r="C2204" s="1" t="s">
        <v>38</v>
      </c>
      <c r="D2204" s="1" t="s">
        <v>1781</v>
      </c>
    </row>
    <row r="2205" spans="1:4">
      <c r="A2205" s="1" t="s">
        <v>1852</v>
      </c>
      <c r="B2205" s="1" t="s">
        <v>6089</v>
      </c>
      <c r="C2205" s="1" t="s">
        <v>38</v>
      </c>
      <c r="D2205" s="1" t="s">
        <v>1781</v>
      </c>
    </row>
    <row r="2206" spans="1:4">
      <c r="A2206" s="1" t="s">
        <v>6009</v>
      </c>
      <c r="B2206" s="1" t="s">
        <v>6090</v>
      </c>
      <c r="C2206" s="1" t="s">
        <v>38</v>
      </c>
      <c r="D2206" s="1" t="s">
        <v>1781</v>
      </c>
    </row>
    <row r="2207" spans="1:4">
      <c r="A2207" s="1" t="s">
        <v>6010</v>
      </c>
      <c r="B2207" s="1" t="s">
        <v>6091</v>
      </c>
      <c r="C2207" s="1" t="s">
        <v>38</v>
      </c>
      <c r="D2207" s="1" t="s">
        <v>1781</v>
      </c>
    </row>
    <row r="2208" spans="1:4">
      <c r="A2208" s="1" t="s">
        <v>1846</v>
      </c>
      <c r="B2208" s="1" t="s">
        <v>6092</v>
      </c>
      <c r="C2208" s="1" t="s">
        <v>38</v>
      </c>
      <c r="D2208" s="1" t="s">
        <v>1781</v>
      </c>
    </row>
    <row r="2209" spans="1:4">
      <c r="A2209" s="1" t="s">
        <v>5993</v>
      </c>
      <c r="B2209" s="1" t="s">
        <v>6093</v>
      </c>
      <c r="C2209" s="1" t="s">
        <v>38</v>
      </c>
      <c r="D2209" s="1" t="s">
        <v>1781</v>
      </c>
    </row>
    <row r="2210" spans="1:4">
      <c r="A2210" s="1" t="s">
        <v>5971</v>
      </c>
      <c r="B2210" s="1" t="s">
        <v>6094</v>
      </c>
      <c r="C2210" s="1" t="s">
        <v>38</v>
      </c>
      <c r="D2210" s="1" t="s">
        <v>1781</v>
      </c>
    </row>
    <row r="2211" spans="1:4">
      <c r="A2211" s="1" t="s">
        <v>5963</v>
      </c>
      <c r="B2211" s="1" t="s">
        <v>6095</v>
      </c>
      <c r="C2211" s="1" t="s">
        <v>38</v>
      </c>
      <c r="D2211" s="1" t="s">
        <v>1781</v>
      </c>
    </row>
    <row r="2212" spans="1:4">
      <c r="A2212" s="1" t="s">
        <v>5987</v>
      </c>
      <c r="B2212" s="1" t="s">
        <v>6096</v>
      </c>
      <c r="C2212" s="1" t="s">
        <v>38</v>
      </c>
      <c r="D2212" s="1" t="s">
        <v>1781</v>
      </c>
    </row>
    <row r="2213" spans="1:4">
      <c r="A2213" s="1" t="s">
        <v>6020</v>
      </c>
      <c r="B2213" s="1" t="s">
        <v>6097</v>
      </c>
      <c r="C2213" s="1" t="s">
        <v>38</v>
      </c>
      <c r="D2213" s="1" t="s">
        <v>1781</v>
      </c>
    </row>
    <row r="2214" spans="1:4">
      <c r="A2214" s="1" t="s">
        <v>6099</v>
      </c>
      <c r="B2214" s="1" t="s">
        <v>6098</v>
      </c>
      <c r="C2214" s="1" t="s">
        <v>38</v>
      </c>
      <c r="D2214" s="1" t="s">
        <v>1781</v>
      </c>
    </row>
    <row r="2215" spans="1:4">
      <c r="A2215" s="1" t="s">
        <v>6101</v>
      </c>
      <c r="B2215" s="1" t="s">
        <v>6100</v>
      </c>
      <c r="C2215" s="1" t="s">
        <v>38</v>
      </c>
      <c r="D2215" s="1" t="s">
        <v>1781</v>
      </c>
    </row>
    <row r="2216" spans="1:4">
      <c r="A2216" s="1" t="s">
        <v>6103</v>
      </c>
      <c r="B2216" s="1" t="s">
        <v>6102</v>
      </c>
      <c r="C2216" s="1" t="s">
        <v>38</v>
      </c>
      <c r="D2216" s="1" t="s">
        <v>1781</v>
      </c>
    </row>
    <row r="2217" spans="1:4">
      <c r="A2217" s="1" t="s">
        <v>6032</v>
      </c>
      <c r="B2217" s="1" t="s">
        <v>6104</v>
      </c>
      <c r="C2217" s="1" t="s">
        <v>38</v>
      </c>
      <c r="D2217" s="1" t="s">
        <v>1781</v>
      </c>
    </row>
    <row r="2218" spans="1:4">
      <c r="A2218" s="1" t="s">
        <v>5998</v>
      </c>
      <c r="B2218" s="1" t="s">
        <v>6105</v>
      </c>
      <c r="C2218" s="1" t="s">
        <v>38</v>
      </c>
      <c r="D2218" s="1" t="s">
        <v>1781</v>
      </c>
    </row>
    <row r="2219" spans="1:4">
      <c r="A2219" s="1" t="s">
        <v>5979</v>
      </c>
      <c r="B2219" s="1" t="s">
        <v>6106</v>
      </c>
      <c r="C2219" s="1" t="s">
        <v>38</v>
      </c>
      <c r="D2219" s="1" t="s">
        <v>1781</v>
      </c>
    </row>
    <row r="2220" spans="1:4">
      <c r="A2220" s="1" t="s">
        <v>6008</v>
      </c>
      <c r="B2220" s="1" t="s">
        <v>6107</v>
      </c>
      <c r="C2220" s="1" t="s">
        <v>38</v>
      </c>
      <c r="D2220" s="1" t="s">
        <v>1781</v>
      </c>
    </row>
    <row r="2221" spans="1:4">
      <c r="A2221" s="1" t="s">
        <v>5982</v>
      </c>
      <c r="B2221" s="1" t="s">
        <v>6108</v>
      </c>
      <c r="C2221" s="1" t="s">
        <v>38</v>
      </c>
      <c r="D2221" s="1" t="s">
        <v>1781</v>
      </c>
    </row>
    <row r="2222" spans="1:4">
      <c r="A2222" s="1" t="s">
        <v>6110</v>
      </c>
      <c r="B2222" s="1" t="s">
        <v>6109</v>
      </c>
      <c r="C2222" s="1" t="s">
        <v>38</v>
      </c>
      <c r="D2222" s="1" t="s">
        <v>1781</v>
      </c>
    </row>
    <row r="2223" spans="1:4">
      <c r="A2223" s="1" t="s">
        <v>5981</v>
      </c>
      <c r="B2223" s="1" t="s">
        <v>6111</v>
      </c>
      <c r="C2223" s="1" t="s">
        <v>38</v>
      </c>
      <c r="D2223" s="1" t="s">
        <v>1781</v>
      </c>
    </row>
    <row r="2224" spans="1:4">
      <c r="A2224" s="1" t="s">
        <v>6113</v>
      </c>
      <c r="B2224" s="1" t="s">
        <v>6112</v>
      </c>
      <c r="C2224" s="1" t="s">
        <v>38</v>
      </c>
      <c r="D2224" s="1" t="s">
        <v>1781</v>
      </c>
    </row>
    <row r="2225" spans="1:4">
      <c r="A2225" s="1" t="s">
        <v>6115</v>
      </c>
      <c r="B2225" s="1" t="s">
        <v>6114</v>
      </c>
      <c r="C2225" s="1" t="s">
        <v>38</v>
      </c>
      <c r="D2225" s="1" t="s">
        <v>1781</v>
      </c>
    </row>
    <row r="2226" spans="1:4">
      <c r="A2226" s="1" t="s">
        <v>5973</v>
      </c>
      <c r="B2226" s="1" t="s">
        <v>6116</v>
      </c>
      <c r="C2226" s="1" t="s">
        <v>38</v>
      </c>
      <c r="D2226" s="1" t="s">
        <v>1781</v>
      </c>
    </row>
    <row r="2227" spans="1:4">
      <c r="A2227" s="1" t="s">
        <v>5978</v>
      </c>
      <c r="B2227" s="1" t="s">
        <v>6117</v>
      </c>
      <c r="C2227" s="1" t="s">
        <v>38</v>
      </c>
      <c r="D2227" s="1" t="s">
        <v>1781</v>
      </c>
    </row>
    <row r="2228" spans="1:4">
      <c r="A2228" s="1" t="s">
        <v>6119</v>
      </c>
      <c r="B2228" s="1" t="s">
        <v>6118</v>
      </c>
      <c r="C2228" s="1" t="s">
        <v>38</v>
      </c>
      <c r="D2228" s="1" t="s">
        <v>1781</v>
      </c>
    </row>
    <row r="2229" spans="1:4">
      <c r="A2229" s="1" t="s">
        <v>6121</v>
      </c>
      <c r="B2229" s="1" t="s">
        <v>6120</v>
      </c>
      <c r="C2229" s="1" t="s">
        <v>38</v>
      </c>
      <c r="D2229" s="1" t="s">
        <v>1781</v>
      </c>
    </row>
    <row r="2230" spans="1:4">
      <c r="A2230" s="1" t="s">
        <v>5975</v>
      </c>
      <c r="B2230" s="1" t="s">
        <v>6122</v>
      </c>
      <c r="C2230" s="1" t="s">
        <v>38</v>
      </c>
      <c r="D2230" s="1" t="s">
        <v>1781</v>
      </c>
    </row>
    <row r="2231" spans="1:4">
      <c r="A2231" s="1" t="s">
        <v>6124</v>
      </c>
      <c r="B2231" s="1" t="s">
        <v>6123</v>
      </c>
      <c r="C2231" s="1" t="s">
        <v>38</v>
      </c>
      <c r="D2231" s="1" t="s">
        <v>1781</v>
      </c>
    </row>
    <row r="2232" spans="1:4">
      <c r="A2232" s="1" t="s">
        <v>6033</v>
      </c>
      <c r="B2232" s="1" t="s">
        <v>6125</v>
      </c>
      <c r="C2232" s="1" t="s">
        <v>38</v>
      </c>
      <c r="D2232" s="1" t="s">
        <v>1781</v>
      </c>
    </row>
    <row r="2233" spans="1:4">
      <c r="A2233" s="1" t="s">
        <v>5965</v>
      </c>
      <c r="B2233" s="1" t="s">
        <v>6126</v>
      </c>
      <c r="C2233" s="1" t="s">
        <v>38</v>
      </c>
      <c r="D2233" s="1" t="s">
        <v>1781</v>
      </c>
    </row>
    <row r="2234" spans="1:4">
      <c r="A2234" s="1" t="s">
        <v>6011</v>
      </c>
      <c r="B2234" s="1" t="s">
        <v>6127</v>
      </c>
      <c r="C2234" s="1" t="s">
        <v>38</v>
      </c>
      <c r="D2234" s="1" t="s">
        <v>1781</v>
      </c>
    </row>
    <row r="2235" spans="1:4">
      <c r="A2235" s="1" t="s">
        <v>6021</v>
      </c>
      <c r="B2235" s="1" t="s">
        <v>6128</v>
      </c>
      <c r="C2235" s="1" t="s">
        <v>38</v>
      </c>
      <c r="D2235" s="1" t="s">
        <v>1781</v>
      </c>
    </row>
    <row r="2236" spans="1:4">
      <c r="A2236" s="1" t="s">
        <v>6002</v>
      </c>
      <c r="B2236" s="1" t="s">
        <v>6129</v>
      </c>
      <c r="C2236" s="1" t="s">
        <v>38</v>
      </c>
      <c r="D2236" s="1" t="s">
        <v>1781</v>
      </c>
    </row>
    <row r="2237" spans="1:4">
      <c r="A2237" s="1" t="s">
        <v>5980</v>
      </c>
      <c r="B2237" s="1" t="s">
        <v>6130</v>
      </c>
      <c r="C2237" s="1" t="s">
        <v>38</v>
      </c>
      <c r="D2237" s="1" t="s">
        <v>1781</v>
      </c>
    </row>
    <row r="2238" spans="1:4">
      <c r="A2238" s="1" t="s">
        <v>6132</v>
      </c>
      <c r="B2238" s="1" t="s">
        <v>6131</v>
      </c>
      <c r="C2238" s="1" t="s">
        <v>38</v>
      </c>
      <c r="D2238" s="1" t="s">
        <v>1781</v>
      </c>
    </row>
    <row r="2239" spans="1:4">
      <c r="A2239" s="1" t="s">
        <v>6134</v>
      </c>
      <c r="B2239" s="1" t="s">
        <v>6133</v>
      </c>
      <c r="C2239" s="1" t="s">
        <v>38</v>
      </c>
      <c r="D2239" s="1" t="s">
        <v>1781</v>
      </c>
    </row>
    <row r="2240" spans="1:4">
      <c r="A2240" s="1" t="s">
        <v>6036</v>
      </c>
      <c r="B2240" s="1" t="s">
        <v>6135</v>
      </c>
      <c r="C2240" s="1" t="s">
        <v>38</v>
      </c>
      <c r="D2240" s="1" t="s">
        <v>1781</v>
      </c>
    </row>
    <row r="2241" spans="1:4">
      <c r="A2241" s="1" t="s">
        <v>5974</v>
      </c>
      <c r="B2241" s="1" t="s">
        <v>6136</v>
      </c>
      <c r="C2241" s="1" t="s">
        <v>38</v>
      </c>
      <c r="D2241" s="1" t="s">
        <v>1781</v>
      </c>
    </row>
    <row r="2242" spans="1:4">
      <c r="A2242" s="1" t="s">
        <v>6004</v>
      </c>
      <c r="B2242" s="1" t="s">
        <v>6137</v>
      </c>
      <c r="C2242" s="1" t="s">
        <v>38</v>
      </c>
      <c r="D2242" s="1" t="s">
        <v>1781</v>
      </c>
    </row>
    <row r="2243" spans="1:4">
      <c r="A2243" s="1" t="s">
        <v>6139</v>
      </c>
      <c r="B2243" s="1" t="s">
        <v>6138</v>
      </c>
      <c r="C2243" s="1" t="s">
        <v>38</v>
      </c>
      <c r="D2243" s="1" t="s">
        <v>1781</v>
      </c>
    </row>
    <row r="2244" spans="1:4">
      <c r="A2244" s="1" t="s">
        <v>6141</v>
      </c>
      <c r="B2244" s="1" t="s">
        <v>6140</v>
      </c>
      <c r="C2244" s="1" t="s">
        <v>38</v>
      </c>
      <c r="D2244" s="1" t="s">
        <v>1781</v>
      </c>
    </row>
    <row r="2245" spans="1:4">
      <c r="A2245" s="1" t="s">
        <v>5977</v>
      </c>
      <c r="B2245" s="1" t="s">
        <v>6142</v>
      </c>
      <c r="C2245" s="1" t="s">
        <v>38</v>
      </c>
      <c r="D2245" s="1" t="s">
        <v>1781</v>
      </c>
    </row>
    <row r="2246" spans="1:4">
      <c r="A2246" s="1" t="s">
        <v>6025</v>
      </c>
      <c r="B2246" s="1" t="s">
        <v>6143</v>
      </c>
      <c r="C2246" s="1" t="s">
        <v>38</v>
      </c>
      <c r="D2246" s="1" t="s">
        <v>1781</v>
      </c>
    </row>
    <row r="2247" spans="1:4">
      <c r="A2247" s="1" t="s">
        <v>6145</v>
      </c>
      <c r="B2247" s="1" t="s">
        <v>6144</v>
      </c>
      <c r="C2247" s="1" t="s">
        <v>38</v>
      </c>
      <c r="D2247" s="1" t="s">
        <v>1781</v>
      </c>
    </row>
    <row r="2248" spans="1:4">
      <c r="A2248" s="1" t="s">
        <v>6031</v>
      </c>
      <c r="B2248" s="1" t="s">
        <v>6146</v>
      </c>
      <c r="C2248" s="1" t="s">
        <v>38</v>
      </c>
      <c r="D2248" s="1" t="s">
        <v>1781</v>
      </c>
    </row>
    <row r="2249" spans="1:4">
      <c r="A2249" s="1" t="s">
        <v>6148</v>
      </c>
      <c r="B2249" s="1" t="s">
        <v>6147</v>
      </c>
      <c r="C2249" s="1" t="s">
        <v>38</v>
      </c>
      <c r="D2249" s="1" t="s">
        <v>1781</v>
      </c>
    </row>
    <row r="2250" spans="1:4">
      <c r="A2250" s="1" t="s">
        <v>5976</v>
      </c>
      <c r="B2250" s="1" t="s">
        <v>6149</v>
      </c>
      <c r="C2250" s="1" t="s">
        <v>38</v>
      </c>
      <c r="D2250" s="1" t="s">
        <v>1781</v>
      </c>
    </row>
    <row r="2251" spans="1:4">
      <c r="A2251" s="1" t="s">
        <v>5962</v>
      </c>
      <c r="B2251" s="1" t="s">
        <v>6150</v>
      </c>
      <c r="C2251" s="1" t="s">
        <v>38</v>
      </c>
      <c r="D2251" s="1" t="s">
        <v>1781</v>
      </c>
    </row>
    <row r="2252" spans="1:4">
      <c r="A2252" s="1" t="s">
        <v>5994</v>
      </c>
      <c r="B2252" s="1" t="s">
        <v>6151</v>
      </c>
      <c r="C2252" s="1" t="s">
        <v>38</v>
      </c>
      <c r="D2252" s="1" t="s">
        <v>1781</v>
      </c>
    </row>
    <row r="2253" spans="1:4">
      <c r="A2253" s="1" t="s">
        <v>6013</v>
      </c>
      <c r="B2253" s="1" t="s">
        <v>6152</v>
      </c>
      <c r="C2253" s="1" t="s">
        <v>38</v>
      </c>
      <c r="D2253" s="1" t="s">
        <v>1781</v>
      </c>
    </row>
    <row r="2254" spans="1:4">
      <c r="A2254" s="1" t="s">
        <v>6154</v>
      </c>
      <c r="B2254" s="1" t="s">
        <v>6153</v>
      </c>
      <c r="C2254" s="1" t="s">
        <v>38</v>
      </c>
      <c r="D2254" s="1" t="s">
        <v>1781</v>
      </c>
    </row>
    <row r="2255" spans="1:4">
      <c r="A2255" s="1" t="s">
        <v>6012</v>
      </c>
      <c r="B2255" s="1" t="s">
        <v>6155</v>
      </c>
      <c r="C2255" s="1" t="s">
        <v>38</v>
      </c>
      <c r="D2255" s="1" t="s">
        <v>1781</v>
      </c>
    </row>
    <row r="2256" spans="1:4">
      <c r="A2256" s="1" t="s">
        <v>6157</v>
      </c>
      <c r="B2256" s="1" t="s">
        <v>6156</v>
      </c>
      <c r="C2256" s="1" t="s">
        <v>38</v>
      </c>
      <c r="D2256" s="1" t="s">
        <v>1781</v>
      </c>
    </row>
    <row r="2257" spans="1:4">
      <c r="A2257" s="1" t="s">
        <v>6003</v>
      </c>
      <c r="B2257" s="1" t="s">
        <v>6158</v>
      </c>
      <c r="C2257" s="1" t="s">
        <v>38</v>
      </c>
      <c r="D2257" s="1" t="s">
        <v>1781</v>
      </c>
    </row>
    <row r="2258" spans="1:4">
      <c r="A2258" s="1" t="s">
        <v>1808</v>
      </c>
      <c r="B2258" s="1" t="s">
        <v>6159</v>
      </c>
      <c r="C2258" s="1" t="s">
        <v>38</v>
      </c>
      <c r="D2258" s="1" t="s">
        <v>1781</v>
      </c>
    </row>
    <row r="2259" spans="1:4">
      <c r="A2259" s="1" t="s">
        <v>5966</v>
      </c>
      <c r="B2259" s="1" t="s">
        <v>6160</v>
      </c>
      <c r="C2259" s="1" t="s">
        <v>38</v>
      </c>
      <c r="D2259" s="1" t="s">
        <v>1781</v>
      </c>
    </row>
    <row r="2260" spans="1:4">
      <c r="A2260" s="1" t="s">
        <v>5984</v>
      </c>
      <c r="B2260" s="1" t="s">
        <v>6161</v>
      </c>
      <c r="C2260" s="1" t="s">
        <v>38</v>
      </c>
      <c r="D2260" s="1" t="s">
        <v>1781</v>
      </c>
    </row>
    <row r="2261" spans="1:4">
      <c r="A2261" s="1" t="s">
        <v>6163</v>
      </c>
      <c r="B2261" s="1" t="s">
        <v>6162</v>
      </c>
      <c r="C2261" s="1" t="s">
        <v>38</v>
      </c>
      <c r="D2261" s="1" t="s">
        <v>1781</v>
      </c>
    </row>
    <row r="2262" spans="1:4">
      <c r="A2262" s="1" t="s">
        <v>5983</v>
      </c>
      <c r="B2262" s="1" t="s">
        <v>6164</v>
      </c>
      <c r="C2262" s="1" t="s">
        <v>38</v>
      </c>
      <c r="D2262" s="1" t="s">
        <v>1781</v>
      </c>
    </row>
    <row r="2263" spans="1:4">
      <c r="A2263" s="1" t="s">
        <v>6005</v>
      </c>
      <c r="B2263" s="1" t="s">
        <v>6165</v>
      </c>
      <c r="C2263" s="1" t="s">
        <v>38</v>
      </c>
      <c r="D2263" s="1" t="s">
        <v>1781</v>
      </c>
    </row>
    <row r="2264" spans="1:4">
      <c r="A2264" s="1" t="s">
        <v>5967</v>
      </c>
      <c r="B2264" s="1" t="s">
        <v>6166</v>
      </c>
      <c r="C2264" s="1" t="s">
        <v>38</v>
      </c>
      <c r="D2264" s="1" t="s">
        <v>1781</v>
      </c>
    </row>
    <row r="2265" spans="1:4">
      <c r="A2265" s="1" t="s">
        <v>6014</v>
      </c>
      <c r="B2265" s="1" t="s">
        <v>6167</v>
      </c>
      <c r="C2265" s="1" t="s">
        <v>38</v>
      </c>
      <c r="D2265" s="1" t="s">
        <v>1781</v>
      </c>
    </row>
    <row r="2266" spans="1:4">
      <c r="A2266" s="1" t="s">
        <v>6017</v>
      </c>
      <c r="B2266" s="1" t="s">
        <v>6168</v>
      </c>
      <c r="C2266" s="1" t="s">
        <v>38</v>
      </c>
      <c r="D2266" s="1" t="s">
        <v>1781</v>
      </c>
    </row>
    <row r="2267" spans="1:4">
      <c r="A2267" s="1" t="s">
        <v>6170</v>
      </c>
      <c r="B2267" s="1" t="s">
        <v>6169</v>
      </c>
      <c r="C2267" s="1" t="s">
        <v>38</v>
      </c>
      <c r="D2267" s="1" t="s">
        <v>1781</v>
      </c>
    </row>
    <row r="2268" spans="1:4">
      <c r="A2268" s="1" t="s">
        <v>5995</v>
      </c>
      <c r="B2268" s="1" t="s">
        <v>6171</v>
      </c>
      <c r="C2268" s="1" t="s">
        <v>38</v>
      </c>
      <c r="D2268" s="1" t="s">
        <v>1781</v>
      </c>
    </row>
    <row r="2269" spans="1:4">
      <c r="A2269" s="1" t="s">
        <v>5964</v>
      </c>
      <c r="B2269" s="1" t="s">
        <v>6172</v>
      </c>
      <c r="C2269" s="1" t="s">
        <v>38</v>
      </c>
      <c r="D2269" s="1" t="s">
        <v>1781</v>
      </c>
    </row>
    <row r="2270" spans="1:4">
      <c r="A2270" s="1" t="s">
        <v>6007</v>
      </c>
      <c r="B2270" s="1" t="s">
        <v>6173</v>
      </c>
      <c r="C2270" s="1" t="s">
        <v>38</v>
      </c>
      <c r="D2270" s="1" t="s">
        <v>1781</v>
      </c>
    </row>
    <row r="2271" spans="1:4">
      <c r="A2271" s="1" t="s">
        <v>5996</v>
      </c>
      <c r="B2271" s="1" t="s">
        <v>6174</v>
      </c>
      <c r="C2271" s="1" t="s">
        <v>38</v>
      </c>
      <c r="D2271" s="1" t="s">
        <v>1781</v>
      </c>
    </row>
    <row r="2272" spans="1:4">
      <c r="A2272" s="1" t="s">
        <v>6176</v>
      </c>
      <c r="B2272" s="1" t="s">
        <v>6175</v>
      </c>
      <c r="C2272" s="1" t="s">
        <v>38</v>
      </c>
      <c r="D2272" s="1" t="s">
        <v>1781</v>
      </c>
    </row>
    <row r="2273" spans="1:4">
      <c r="A2273" s="1" t="s">
        <v>1791</v>
      </c>
      <c r="B2273" s="1" t="s">
        <v>6177</v>
      </c>
      <c r="C2273" s="1" t="s">
        <v>38</v>
      </c>
      <c r="D2273" s="1" t="s">
        <v>1781</v>
      </c>
    </row>
    <row r="2274" spans="1:4">
      <c r="A2274" s="1" t="s">
        <v>309</v>
      </c>
      <c r="B2274" s="1" t="s">
        <v>6178</v>
      </c>
      <c r="C2274" s="1" t="s">
        <v>38</v>
      </c>
      <c r="D2274" s="1" t="s">
        <v>1781</v>
      </c>
    </row>
    <row r="2275" spans="1:4">
      <c r="A2275" s="1" t="s">
        <v>6180</v>
      </c>
      <c r="B2275" s="1" t="s">
        <v>6179</v>
      </c>
      <c r="C2275" s="1" t="s">
        <v>38</v>
      </c>
      <c r="D2275" s="1" t="s">
        <v>1781</v>
      </c>
    </row>
    <row r="2276" spans="1:4">
      <c r="A2276" s="1" t="s">
        <v>6027</v>
      </c>
      <c r="B2276" s="1" t="s">
        <v>6181</v>
      </c>
      <c r="C2276" s="1" t="s">
        <v>38</v>
      </c>
      <c r="D2276" s="1" t="s">
        <v>1781</v>
      </c>
    </row>
    <row r="2277" spans="1:4">
      <c r="A2277" s="1" t="s">
        <v>6183</v>
      </c>
      <c r="B2277" s="1" t="s">
        <v>6182</v>
      </c>
      <c r="C2277" s="1" t="s">
        <v>38</v>
      </c>
      <c r="D2277" s="1" t="s">
        <v>1781</v>
      </c>
    </row>
    <row r="2278" spans="1:4">
      <c r="A2278" s="1" t="s">
        <v>362</v>
      </c>
      <c r="B2278" s="1" t="s">
        <v>6184</v>
      </c>
      <c r="C2278" s="1" t="s">
        <v>38</v>
      </c>
      <c r="D2278" s="1" t="s">
        <v>1781</v>
      </c>
    </row>
    <row r="2279" spans="1:4">
      <c r="A2279" s="1" t="s">
        <v>6186</v>
      </c>
      <c r="B2279" s="1" t="s">
        <v>6185</v>
      </c>
      <c r="C2279" s="1" t="s">
        <v>38</v>
      </c>
      <c r="D2279" s="1" t="s">
        <v>1781</v>
      </c>
    </row>
    <row r="2280" spans="1:4">
      <c r="A2280" s="1" t="s">
        <v>5988</v>
      </c>
      <c r="B2280" s="1" t="s">
        <v>6187</v>
      </c>
      <c r="C2280" s="1" t="s">
        <v>38</v>
      </c>
      <c r="D2280" s="1" t="s">
        <v>1781</v>
      </c>
    </row>
    <row r="2281" spans="1:4">
      <c r="A2281" s="1" t="s">
        <v>5957</v>
      </c>
      <c r="B2281" s="1" t="s">
        <v>6188</v>
      </c>
      <c r="C2281" s="1" t="s">
        <v>38</v>
      </c>
      <c r="D2281" s="1" t="s">
        <v>1781</v>
      </c>
    </row>
    <row r="2282" spans="1:4">
      <c r="A2282" s="1" t="s">
        <v>6022</v>
      </c>
      <c r="B2282" s="1" t="s">
        <v>6189</v>
      </c>
      <c r="C2282" s="1" t="s">
        <v>38</v>
      </c>
      <c r="D2282" s="1" t="s">
        <v>1781</v>
      </c>
    </row>
    <row r="2283" spans="1:4">
      <c r="A2283" s="1" t="s">
        <v>5972</v>
      </c>
      <c r="B2283" s="1" t="s">
        <v>6190</v>
      </c>
      <c r="C2283" s="1" t="s">
        <v>38</v>
      </c>
      <c r="D2283" s="1" t="s">
        <v>1781</v>
      </c>
    </row>
    <row r="2284" spans="1:4">
      <c r="A2284" s="1" t="s">
        <v>6023</v>
      </c>
      <c r="B2284" s="1" t="s">
        <v>6191</v>
      </c>
      <c r="C2284" s="1" t="s">
        <v>38</v>
      </c>
      <c r="D2284" s="1" t="s">
        <v>1781</v>
      </c>
    </row>
    <row r="2285" spans="1:4">
      <c r="A2285" s="1" t="s">
        <v>5960</v>
      </c>
      <c r="B2285" s="1" t="s">
        <v>6192</v>
      </c>
      <c r="C2285" s="1" t="s">
        <v>38</v>
      </c>
      <c r="D2285" s="1" t="s">
        <v>1781</v>
      </c>
    </row>
    <row r="2286" spans="1:4">
      <c r="A2286" s="1" t="s">
        <v>1816</v>
      </c>
      <c r="B2286" s="1" t="s">
        <v>6193</v>
      </c>
      <c r="C2286" s="1" t="s">
        <v>38</v>
      </c>
      <c r="D2286" s="1" t="s">
        <v>1781</v>
      </c>
    </row>
    <row r="2287" spans="1:4">
      <c r="A2287" s="1" t="s">
        <v>395</v>
      </c>
      <c r="B2287" s="1" t="s">
        <v>6194</v>
      </c>
      <c r="C2287" s="1" t="s">
        <v>38</v>
      </c>
      <c r="D2287" s="1" t="s">
        <v>1781</v>
      </c>
    </row>
    <row r="2288" spans="1:4">
      <c r="A2288" s="1" t="s">
        <v>6034</v>
      </c>
      <c r="B2288" s="1" t="s">
        <v>6195</v>
      </c>
      <c r="C2288" s="1" t="s">
        <v>38</v>
      </c>
      <c r="D2288" s="1" t="s">
        <v>1781</v>
      </c>
    </row>
    <row r="2289" spans="1:4">
      <c r="A2289" s="1" t="s">
        <v>6026</v>
      </c>
      <c r="B2289" s="1" t="s">
        <v>6196</v>
      </c>
      <c r="C2289" s="1" t="s">
        <v>38</v>
      </c>
      <c r="D2289" s="1" t="s">
        <v>1781</v>
      </c>
    </row>
    <row r="2290" spans="1:4">
      <c r="A2290" s="1" t="s">
        <v>5959</v>
      </c>
      <c r="B2290" s="1" t="s">
        <v>6197</v>
      </c>
      <c r="C2290" s="1" t="s">
        <v>38</v>
      </c>
      <c r="D2290" s="1" t="s">
        <v>1781</v>
      </c>
    </row>
    <row r="2291" spans="1:4">
      <c r="A2291" s="1" t="s">
        <v>5958</v>
      </c>
      <c r="B2291" s="1" t="s">
        <v>6198</v>
      </c>
      <c r="C2291" s="1" t="s">
        <v>38</v>
      </c>
      <c r="D2291" s="1" t="s">
        <v>1781</v>
      </c>
    </row>
    <row r="2292" spans="1:4">
      <c r="A2292" s="1" t="s">
        <v>389</v>
      </c>
      <c r="B2292" s="1" t="s">
        <v>6199</v>
      </c>
      <c r="C2292" s="1" t="s">
        <v>38</v>
      </c>
      <c r="D2292" s="1" t="s">
        <v>1781</v>
      </c>
    </row>
    <row r="2293" spans="1:4">
      <c r="A2293" s="1" t="s">
        <v>391</v>
      </c>
      <c r="B2293" s="1" t="s">
        <v>6200</v>
      </c>
      <c r="C2293" s="1" t="s">
        <v>38</v>
      </c>
      <c r="D2293" s="1" t="s">
        <v>1781</v>
      </c>
    </row>
    <row r="2294" spans="1:4">
      <c r="A2294" s="1" t="s">
        <v>1814</v>
      </c>
      <c r="B2294" s="1" t="s">
        <v>6201</v>
      </c>
      <c r="C2294" s="1" t="s">
        <v>38</v>
      </c>
      <c r="D2294" s="1" t="s">
        <v>1781</v>
      </c>
    </row>
    <row r="2295" spans="1:4">
      <c r="A2295" s="1" t="s">
        <v>202</v>
      </c>
      <c r="B2295" s="1" t="s">
        <v>6202</v>
      </c>
      <c r="C2295" s="1" t="s">
        <v>38</v>
      </c>
      <c r="D2295" s="1" t="s">
        <v>1781</v>
      </c>
    </row>
    <row r="2296" spans="1:4">
      <c r="A2296" s="1" t="s">
        <v>387</v>
      </c>
      <c r="B2296" s="1" t="s">
        <v>6203</v>
      </c>
      <c r="C2296" s="1" t="s">
        <v>38</v>
      </c>
      <c r="D2296" s="1" t="s">
        <v>1781</v>
      </c>
    </row>
    <row r="2297" spans="1:4">
      <c r="A2297" s="1" t="s">
        <v>6035</v>
      </c>
      <c r="B2297" s="1" t="s">
        <v>6204</v>
      </c>
      <c r="C2297" s="1" t="s">
        <v>38</v>
      </c>
      <c r="D2297" s="1" t="s">
        <v>1781</v>
      </c>
    </row>
    <row r="2298" spans="1:4">
      <c r="A2298" s="1" t="s">
        <v>6206</v>
      </c>
      <c r="B2298" s="1" t="s">
        <v>6205</v>
      </c>
      <c r="C2298" s="1" t="s">
        <v>38</v>
      </c>
      <c r="D2298" s="1" t="s">
        <v>1781</v>
      </c>
    </row>
    <row r="2299" spans="1:4">
      <c r="A2299" s="1" t="s">
        <v>5992</v>
      </c>
      <c r="B2299" s="1" t="s">
        <v>6207</v>
      </c>
      <c r="C2299" s="1" t="s">
        <v>38</v>
      </c>
      <c r="D2299" s="1" t="s">
        <v>1781</v>
      </c>
    </row>
    <row r="2300" spans="1:4">
      <c r="A2300" s="1" t="s">
        <v>5991</v>
      </c>
      <c r="B2300" s="1" t="s">
        <v>6208</v>
      </c>
      <c r="C2300" s="1" t="s">
        <v>38</v>
      </c>
      <c r="D2300" s="1" t="s">
        <v>1781</v>
      </c>
    </row>
    <row r="2301" spans="1:4">
      <c r="A2301" s="1" t="s">
        <v>6016</v>
      </c>
      <c r="B2301" s="1" t="s">
        <v>6209</v>
      </c>
      <c r="C2301" s="1" t="s">
        <v>38</v>
      </c>
      <c r="D2301" s="1" t="s">
        <v>1781</v>
      </c>
    </row>
    <row r="2302" spans="1:4">
      <c r="A2302" s="1" t="s">
        <v>6015</v>
      </c>
      <c r="B2302" s="1" t="s">
        <v>6210</v>
      </c>
      <c r="C2302" s="1" t="s">
        <v>38</v>
      </c>
      <c r="D2302" s="1" t="s">
        <v>1781</v>
      </c>
    </row>
    <row r="2303" spans="1:4">
      <c r="A2303" s="1" t="s">
        <v>5990</v>
      </c>
      <c r="B2303" s="1" t="s">
        <v>6211</v>
      </c>
      <c r="C2303" s="1" t="s">
        <v>38</v>
      </c>
      <c r="D2303" s="1" t="s">
        <v>1781</v>
      </c>
    </row>
    <row r="2304" spans="1:4">
      <c r="A2304" s="1" t="s">
        <v>5969</v>
      </c>
      <c r="B2304" s="1" t="s">
        <v>6212</v>
      </c>
      <c r="C2304" s="1" t="s">
        <v>38</v>
      </c>
      <c r="D2304" s="1" t="s">
        <v>1781</v>
      </c>
    </row>
    <row r="2305" spans="1:4">
      <c r="A2305" s="1" t="s">
        <v>5997</v>
      </c>
      <c r="B2305" s="1" t="s">
        <v>6213</v>
      </c>
      <c r="C2305" s="1" t="s">
        <v>38</v>
      </c>
      <c r="D2305" s="1" t="s">
        <v>1781</v>
      </c>
    </row>
    <row r="2306" spans="1:4">
      <c r="A2306" s="1" t="s">
        <v>5985</v>
      </c>
      <c r="B2306" s="1" t="s">
        <v>6214</v>
      </c>
      <c r="C2306" s="1" t="s">
        <v>38</v>
      </c>
      <c r="D2306" s="1" t="s">
        <v>1781</v>
      </c>
    </row>
    <row r="2307" spans="1:4">
      <c r="A2307" s="1" t="s">
        <v>6037</v>
      </c>
      <c r="B2307" s="1" t="s">
        <v>6215</v>
      </c>
      <c r="C2307" s="1" t="s">
        <v>38</v>
      </c>
      <c r="D2307" s="1" t="s">
        <v>1781</v>
      </c>
    </row>
    <row r="2308" spans="1:4">
      <c r="A2308" s="1" t="s">
        <v>6217</v>
      </c>
      <c r="B2308" s="1" t="s">
        <v>6216</v>
      </c>
      <c r="C2308" s="1" t="s">
        <v>38</v>
      </c>
      <c r="D2308" s="1" t="s">
        <v>1781</v>
      </c>
    </row>
    <row r="2309" spans="1:4">
      <c r="A2309" s="1" t="s">
        <v>6219</v>
      </c>
      <c r="B2309" s="1" t="s">
        <v>6218</v>
      </c>
      <c r="C2309" s="1" t="s">
        <v>38</v>
      </c>
      <c r="D2309" s="1" t="s">
        <v>1781</v>
      </c>
    </row>
    <row r="2310" spans="1:4">
      <c r="A2310" s="1" t="s">
        <v>6018</v>
      </c>
      <c r="B2310" s="1" t="s">
        <v>6220</v>
      </c>
      <c r="C2310" s="1" t="s">
        <v>38</v>
      </c>
      <c r="D2310" s="1" t="s">
        <v>1781</v>
      </c>
    </row>
    <row r="2311" spans="1:4">
      <c r="A2311" s="1" t="s">
        <v>6222</v>
      </c>
      <c r="B2311" s="1" t="s">
        <v>6221</v>
      </c>
      <c r="C2311" s="1" t="s">
        <v>38</v>
      </c>
      <c r="D2311" s="1" t="s">
        <v>1781</v>
      </c>
    </row>
    <row r="2312" spans="1:4">
      <c r="A2312" s="1" t="s">
        <v>6224</v>
      </c>
      <c r="B2312" s="1" t="s">
        <v>6223</v>
      </c>
      <c r="C2312" s="1" t="s">
        <v>38</v>
      </c>
      <c r="D2312" s="1" t="s">
        <v>1781</v>
      </c>
    </row>
    <row r="2313" spans="1:4">
      <c r="A2313" s="1" t="s">
        <v>1468</v>
      </c>
      <c r="B2313" s="1" t="s">
        <v>6225</v>
      </c>
      <c r="C2313" s="1" t="s">
        <v>38</v>
      </c>
      <c r="D2313" s="1" t="s">
        <v>1781</v>
      </c>
    </row>
    <row r="2314" spans="1:4">
      <c r="A2314" s="1" t="s">
        <v>653</v>
      </c>
      <c r="B2314" s="1" t="s">
        <v>6226</v>
      </c>
      <c r="C2314" s="1" t="s">
        <v>38</v>
      </c>
      <c r="D2314" s="1" t="s">
        <v>1781</v>
      </c>
    </row>
    <row r="2315" spans="1:4">
      <c r="A2315" s="1" t="s">
        <v>5968</v>
      </c>
      <c r="B2315" s="1" t="s">
        <v>6227</v>
      </c>
      <c r="C2315" s="1" t="s">
        <v>38</v>
      </c>
      <c r="D2315" s="1" t="s">
        <v>1781</v>
      </c>
    </row>
    <row r="2316" spans="1:4">
      <c r="A2316" s="1" t="s">
        <v>6229</v>
      </c>
      <c r="B2316" s="1" t="s">
        <v>6228</v>
      </c>
      <c r="C2316" s="1" t="s">
        <v>38</v>
      </c>
      <c r="D2316" s="1" t="s">
        <v>1781</v>
      </c>
    </row>
    <row r="2317" spans="1:4">
      <c r="A2317" s="1" t="s">
        <v>5970</v>
      </c>
      <c r="B2317" s="1" t="s">
        <v>6230</v>
      </c>
      <c r="C2317" s="1" t="s">
        <v>38</v>
      </c>
      <c r="D2317" s="1" t="s">
        <v>1781</v>
      </c>
    </row>
    <row r="2318" spans="1:4">
      <c r="A2318" s="1" t="s">
        <v>5938</v>
      </c>
      <c r="B2318" s="1" t="s">
        <v>6280</v>
      </c>
      <c r="C2318" s="1" t="s">
        <v>38</v>
      </c>
      <c r="D2318" s="1" t="s">
        <v>1781</v>
      </c>
    </row>
    <row r="2319" spans="1:4">
      <c r="A2319" s="1" t="s">
        <v>6282</v>
      </c>
      <c r="B2319" s="1" t="s">
        <v>6281</v>
      </c>
      <c r="C2319" s="1" t="s">
        <v>38</v>
      </c>
      <c r="D2319" s="1" t="s">
        <v>1781</v>
      </c>
    </row>
    <row r="2320" spans="1:4">
      <c r="A2320" s="1" t="s">
        <v>6284</v>
      </c>
      <c r="B2320" s="1" t="s">
        <v>6283</v>
      </c>
      <c r="C2320" s="1" t="s">
        <v>38</v>
      </c>
      <c r="D2320" s="1" t="s">
        <v>1781</v>
      </c>
    </row>
    <row r="2321" spans="1:4">
      <c r="A2321" s="1" t="s">
        <v>250</v>
      </c>
      <c r="B2321" s="1" t="s">
        <v>6285</v>
      </c>
      <c r="C2321" s="1"/>
      <c r="D2321" s="1" t="s">
        <v>1781</v>
      </c>
    </row>
    <row r="2322" spans="1:4">
      <c r="A2322" s="1" t="s">
        <v>6287</v>
      </c>
      <c r="B2322" s="1" t="s">
        <v>6286</v>
      </c>
      <c r="C2322" s="1"/>
      <c r="D2322" s="1" t="s">
        <v>1781</v>
      </c>
    </row>
    <row r="2323" spans="1:4">
      <c r="A2323" s="1" t="s">
        <v>6289</v>
      </c>
      <c r="B2323" s="1" t="s">
        <v>6288</v>
      </c>
      <c r="C2323" s="1" t="s">
        <v>38</v>
      </c>
      <c r="D2323" s="1" t="s">
        <v>1781</v>
      </c>
    </row>
    <row r="2324" spans="1:4">
      <c r="A2324" s="1" t="s">
        <v>491</v>
      </c>
      <c r="B2324" s="1" t="s">
        <v>6290</v>
      </c>
      <c r="C2324" s="1" t="s">
        <v>38</v>
      </c>
      <c r="D2324" s="1" t="s">
        <v>1781</v>
      </c>
    </row>
    <row r="2325" spans="1:4">
      <c r="A2325" s="1" t="s">
        <v>6249</v>
      </c>
      <c r="B2325" s="1" t="s">
        <v>6291</v>
      </c>
      <c r="C2325" s="1" t="s">
        <v>38</v>
      </c>
      <c r="D2325" s="1" t="s">
        <v>1781</v>
      </c>
    </row>
    <row r="2326" spans="1:4">
      <c r="A2326" s="1" t="s">
        <v>6264</v>
      </c>
      <c r="B2326" s="1" t="s">
        <v>6292</v>
      </c>
      <c r="C2326" s="1" t="s">
        <v>38</v>
      </c>
      <c r="D2326" s="1" t="s">
        <v>1781</v>
      </c>
    </row>
    <row r="2327" spans="1:4">
      <c r="A2327" s="1" t="s">
        <v>6294</v>
      </c>
      <c r="B2327" s="1" t="s">
        <v>6293</v>
      </c>
      <c r="C2327" s="1" t="s">
        <v>38</v>
      </c>
      <c r="D2327" s="1" t="s">
        <v>1781</v>
      </c>
    </row>
    <row r="2328" spans="1:4">
      <c r="A2328" s="1" t="s">
        <v>6243</v>
      </c>
      <c r="B2328" s="1" t="s">
        <v>6295</v>
      </c>
      <c r="C2328" s="1" t="s">
        <v>38</v>
      </c>
      <c r="D2328" s="1" t="s">
        <v>1781</v>
      </c>
    </row>
    <row r="2329" spans="1:4">
      <c r="A2329" s="1" t="s">
        <v>454</v>
      </c>
      <c r="B2329" s="1" t="s">
        <v>6296</v>
      </c>
      <c r="C2329" s="1" t="s">
        <v>38</v>
      </c>
      <c r="D2329" s="1" t="s">
        <v>1781</v>
      </c>
    </row>
    <row r="2330" spans="1:4">
      <c r="A2330" s="1" t="s">
        <v>1831</v>
      </c>
      <c r="B2330" s="1" t="s">
        <v>6297</v>
      </c>
      <c r="C2330" s="1" t="s">
        <v>38</v>
      </c>
      <c r="D2330" s="1" t="s">
        <v>1781</v>
      </c>
    </row>
    <row r="2331" spans="1:4">
      <c r="A2331" s="1" t="s">
        <v>6299</v>
      </c>
      <c r="B2331" s="1" t="s">
        <v>6298</v>
      </c>
      <c r="C2331" s="1" t="s">
        <v>38</v>
      </c>
      <c r="D2331" s="1" t="s">
        <v>1781</v>
      </c>
    </row>
    <row r="2332" spans="1:4">
      <c r="A2332" s="1" t="s">
        <v>6259</v>
      </c>
      <c r="B2332" s="1" t="s">
        <v>6300</v>
      </c>
      <c r="C2332" s="1" t="s">
        <v>38</v>
      </c>
      <c r="D2332" s="1" t="s">
        <v>1781</v>
      </c>
    </row>
    <row r="2333" spans="1:4">
      <c r="A2333" s="1" t="s">
        <v>6302</v>
      </c>
      <c r="B2333" s="1" t="s">
        <v>6301</v>
      </c>
      <c r="C2333" s="1"/>
      <c r="D2333" s="1" t="s">
        <v>1781</v>
      </c>
    </row>
    <row r="2334" spans="1:4">
      <c r="A2334" s="1" t="s">
        <v>6268</v>
      </c>
      <c r="B2334" s="1" t="s">
        <v>6303</v>
      </c>
      <c r="C2334" s="1" t="s">
        <v>38</v>
      </c>
      <c r="D2334" s="1" t="s">
        <v>1781</v>
      </c>
    </row>
    <row r="2335" spans="1:4">
      <c r="A2335" s="1" t="s">
        <v>442</v>
      </c>
      <c r="B2335" s="1" t="s">
        <v>6304</v>
      </c>
      <c r="C2335" s="1" t="s">
        <v>38</v>
      </c>
      <c r="D2335" s="1" t="s">
        <v>1781</v>
      </c>
    </row>
    <row r="2336" spans="1:4">
      <c r="A2336" s="1" t="s">
        <v>5941</v>
      </c>
      <c r="B2336" s="1" t="s">
        <v>6305</v>
      </c>
      <c r="C2336" s="1" t="s">
        <v>38</v>
      </c>
      <c r="D2336" s="1" t="s">
        <v>1781</v>
      </c>
    </row>
    <row r="2337" spans="1:4">
      <c r="A2337" s="1" t="s">
        <v>6260</v>
      </c>
      <c r="B2337" s="1" t="s">
        <v>6306</v>
      </c>
      <c r="C2337" s="1" t="s">
        <v>38</v>
      </c>
      <c r="D2337" s="1" t="s">
        <v>1781</v>
      </c>
    </row>
    <row r="2338" spans="1:4">
      <c r="A2338" s="1" t="s">
        <v>6308</v>
      </c>
      <c r="B2338" s="1" t="s">
        <v>6307</v>
      </c>
      <c r="C2338" s="1" t="s">
        <v>38</v>
      </c>
      <c r="D2338" s="1" t="s">
        <v>1781</v>
      </c>
    </row>
    <row r="2339" spans="1:4">
      <c r="A2339" s="1" t="s">
        <v>6267</v>
      </c>
      <c r="B2339" s="1" t="s">
        <v>6309</v>
      </c>
      <c r="C2339" s="1" t="s">
        <v>38</v>
      </c>
      <c r="D2339" s="1" t="s">
        <v>1781</v>
      </c>
    </row>
    <row r="2340" spans="1:4">
      <c r="A2340" s="1" t="s">
        <v>6311</v>
      </c>
      <c r="B2340" s="1" t="s">
        <v>6310</v>
      </c>
      <c r="C2340" s="1" t="s">
        <v>38</v>
      </c>
      <c r="D2340" s="1" t="s">
        <v>1781</v>
      </c>
    </row>
    <row r="2341" spans="1:4">
      <c r="A2341" s="1" t="s">
        <v>6313</v>
      </c>
      <c r="B2341" s="1" t="s">
        <v>6312</v>
      </c>
      <c r="C2341" s="1" t="s">
        <v>38</v>
      </c>
      <c r="D2341" s="1" t="s">
        <v>1781</v>
      </c>
    </row>
    <row r="2342" spans="1:4">
      <c r="A2342" s="1" t="s">
        <v>6315</v>
      </c>
      <c r="B2342" s="1" t="s">
        <v>6314</v>
      </c>
      <c r="C2342" s="1" t="s">
        <v>38</v>
      </c>
      <c r="D2342" s="1" t="s">
        <v>1781</v>
      </c>
    </row>
    <row r="2343" spans="1:4">
      <c r="A2343" s="1" t="s">
        <v>6317</v>
      </c>
      <c r="B2343" s="1" t="s">
        <v>6316</v>
      </c>
      <c r="C2343" s="1" t="s">
        <v>38</v>
      </c>
      <c r="D2343" s="1" t="s">
        <v>1781</v>
      </c>
    </row>
    <row r="2344" spans="1:4">
      <c r="A2344" s="1" t="s">
        <v>6319</v>
      </c>
      <c r="B2344" s="1" t="s">
        <v>6318</v>
      </c>
      <c r="C2344" s="1" t="s">
        <v>38</v>
      </c>
      <c r="D2344" s="1" t="s">
        <v>1781</v>
      </c>
    </row>
    <row r="2345" spans="1:4">
      <c r="A2345" s="1" t="s">
        <v>6321</v>
      </c>
      <c r="B2345" s="1" t="s">
        <v>6320</v>
      </c>
      <c r="C2345" s="1" t="s">
        <v>38</v>
      </c>
      <c r="D2345" s="1" t="s">
        <v>1781</v>
      </c>
    </row>
    <row r="2346" spans="1:4">
      <c r="A2346" s="1" t="s">
        <v>6234</v>
      </c>
      <c r="B2346" s="1" t="s">
        <v>6322</v>
      </c>
      <c r="C2346" s="1" t="s">
        <v>38</v>
      </c>
      <c r="D2346" s="1" t="s">
        <v>1781</v>
      </c>
    </row>
    <row r="2347" spans="1:4">
      <c r="A2347" s="1" t="s">
        <v>6324</v>
      </c>
      <c r="B2347" s="1" t="s">
        <v>6323</v>
      </c>
      <c r="C2347" s="1" t="s">
        <v>38</v>
      </c>
      <c r="D2347" s="1" t="s">
        <v>1781</v>
      </c>
    </row>
    <row r="2348" spans="1:4">
      <c r="A2348" s="1" t="s">
        <v>6242</v>
      </c>
      <c r="B2348" s="1" t="s">
        <v>6325</v>
      </c>
      <c r="C2348" s="1" t="s">
        <v>38</v>
      </c>
      <c r="D2348" s="1" t="s">
        <v>1781</v>
      </c>
    </row>
    <row r="2349" spans="1:4">
      <c r="A2349" s="1" t="s">
        <v>6327</v>
      </c>
      <c r="B2349" s="1" t="s">
        <v>6326</v>
      </c>
      <c r="C2349" s="1" t="s">
        <v>38</v>
      </c>
      <c r="D2349" s="1" t="s">
        <v>1781</v>
      </c>
    </row>
    <row r="2350" spans="1:4">
      <c r="A2350" s="1" t="s">
        <v>6329</v>
      </c>
      <c r="B2350" s="1" t="s">
        <v>6328</v>
      </c>
      <c r="C2350" s="1" t="s">
        <v>38</v>
      </c>
      <c r="D2350" s="1" t="s">
        <v>1781</v>
      </c>
    </row>
    <row r="2351" spans="1:4">
      <c r="A2351" s="1" t="s">
        <v>6331</v>
      </c>
      <c r="B2351" s="1" t="s">
        <v>6330</v>
      </c>
      <c r="C2351" s="1" t="s">
        <v>38</v>
      </c>
      <c r="D2351" s="1" t="s">
        <v>1781</v>
      </c>
    </row>
    <row r="2352" spans="1:4">
      <c r="A2352" s="1" t="s">
        <v>6237</v>
      </c>
      <c r="B2352" s="1" t="s">
        <v>6332</v>
      </c>
      <c r="C2352" s="1" t="s">
        <v>38</v>
      </c>
      <c r="D2352" s="1" t="s">
        <v>1781</v>
      </c>
    </row>
    <row r="2353" spans="1:4">
      <c r="A2353" s="1" t="s">
        <v>6250</v>
      </c>
      <c r="B2353" s="1" t="s">
        <v>6333</v>
      </c>
      <c r="C2353" s="1" t="s">
        <v>38</v>
      </c>
      <c r="D2353" s="1" t="s">
        <v>1781</v>
      </c>
    </row>
    <row r="2354" spans="1:4">
      <c r="A2354" s="1" t="s">
        <v>6335</v>
      </c>
      <c r="B2354" s="1" t="s">
        <v>6334</v>
      </c>
      <c r="C2354" s="1" t="s">
        <v>38</v>
      </c>
      <c r="D2354" s="1" t="s">
        <v>1781</v>
      </c>
    </row>
    <row r="2355" spans="1:4">
      <c r="A2355" s="1" t="s">
        <v>6252</v>
      </c>
      <c r="B2355" s="1" t="s">
        <v>6336</v>
      </c>
      <c r="C2355" s="1" t="s">
        <v>38</v>
      </c>
      <c r="D2355" s="1" t="s">
        <v>1781</v>
      </c>
    </row>
    <row r="2356" spans="1:4">
      <c r="A2356" s="1" t="s">
        <v>6338</v>
      </c>
      <c r="B2356" s="1" t="s">
        <v>6337</v>
      </c>
      <c r="C2356" s="1" t="s">
        <v>38</v>
      </c>
      <c r="D2356" s="1" t="s">
        <v>1781</v>
      </c>
    </row>
    <row r="2357" spans="1:4">
      <c r="A2357" s="1" t="s">
        <v>6340</v>
      </c>
      <c r="B2357" s="1" t="s">
        <v>6339</v>
      </c>
      <c r="C2357" s="1" t="s">
        <v>38</v>
      </c>
      <c r="D2357" s="1" t="s">
        <v>1781</v>
      </c>
    </row>
    <row r="2358" spans="1:4">
      <c r="A2358" s="1" t="s">
        <v>6342</v>
      </c>
      <c r="B2358" s="1" t="s">
        <v>6341</v>
      </c>
      <c r="C2358" s="1"/>
      <c r="D2358" s="1" t="s">
        <v>1781</v>
      </c>
    </row>
    <row r="2359" spans="1:4">
      <c r="A2359" s="1" t="s">
        <v>6344</v>
      </c>
      <c r="B2359" s="1" t="s">
        <v>6343</v>
      </c>
      <c r="C2359" s="1" t="s">
        <v>38</v>
      </c>
      <c r="D2359" s="1" t="s">
        <v>1781</v>
      </c>
    </row>
    <row r="2360" spans="1:4">
      <c r="A2360" s="1" t="s">
        <v>6346</v>
      </c>
      <c r="B2360" s="1" t="s">
        <v>6345</v>
      </c>
      <c r="C2360" s="1" t="s">
        <v>38</v>
      </c>
      <c r="D2360" s="1" t="s">
        <v>1781</v>
      </c>
    </row>
    <row r="2361" spans="1:4">
      <c r="A2361" s="1" t="s">
        <v>6253</v>
      </c>
      <c r="B2361" s="1" t="s">
        <v>6347</v>
      </c>
      <c r="C2361" s="1" t="s">
        <v>38</v>
      </c>
      <c r="D2361" s="1" t="s">
        <v>1781</v>
      </c>
    </row>
    <row r="2362" spans="1:4">
      <c r="A2362" s="1" t="s">
        <v>6235</v>
      </c>
      <c r="B2362" s="1" t="s">
        <v>6348</v>
      </c>
      <c r="C2362" s="1" t="s">
        <v>38</v>
      </c>
      <c r="D2362" s="1" t="s">
        <v>1781</v>
      </c>
    </row>
    <row r="2363" spans="1:4">
      <c r="A2363" s="1" t="s">
        <v>558</v>
      </c>
      <c r="B2363" s="1" t="s">
        <v>6349</v>
      </c>
      <c r="C2363" s="1" t="s">
        <v>38</v>
      </c>
      <c r="D2363" s="1" t="s">
        <v>1781</v>
      </c>
    </row>
    <row r="2364" spans="1:4">
      <c r="A2364" s="1" t="s">
        <v>6257</v>
      </c>
      <c r="B2364" s="1" t="s">
        <v>6350</v>
      </c>
      <c r="C2364" s="1" t="s">
        <v>38</v>
      </c>
      <c r="D2364" s="1" t="s">
        <v>1781</v>
      </c>
    </row>
    <row r="2365" spans="1:4">
      <c r="A2365" s="1" t="s">
        <v>6245</v>
      </c>
      <c r="B2365" s="1" t="s">
        <v>6351</v>
      </c>
      <c r="C2365" s="1" t="s">
        <v>38</v>
      </c>
      <c r="D2365" s="1" t="s">
        <v>1781</v>
      </c>
    </row>
    <row r="2366" spans="1:4">
      <c r="A2366" s="1" t="s">
        <v>6353</v>
      </c>
      <c r="B2366" s="1" t="s">
        <v>6352</v>
      </c>
      <c r="C2366" s="1" t="s">
        <v>38</v>
      </c>
      <c r="D2366" s="1" t="s">
        <v>1781</v>
      </c>
    </row>
    <row r="2367" spans="1:4">
      <c r="A2367" s="1" t="s">
        <v>5952</v>
      </c>
      <c r="B2367" s="1" t="s">
        <v>6354</v>
      </c>
      <c r="C2367" s="1" t="s">
        <v>38</v>
      </c>
      <c r="D2367" s="1" t="s">
        <v>1781</v>
      </c>
    </row>
    <row r="2368" spans="1:4">
      <c r="A2368" s="1" t="s">
        <v>5949</v>
      </c>
      <c r="B2368" s="1" t="s">
        <v>6355</v>
      </c>
      <c r="C2368" s="1" t="s">
        <v>38</v>
      </c>
      <c r="D2368" s="1" t="s">
        <v>1781</v>
      </c>
    </row>
    <row r="2369" spans="1:4">
      <c r="A2369" s="1" t="s">
        <v>6357</v>
      </c>
      <c r="B2369" s="1" t="s">
        <v>6356</v>
      </c>
      <c r="C2369" s="1" t="s">
        <v>38</v>
      </c>
      <c r="D2369" s="1" t="s">
        <v>1781</v>
      </c>
    </row>
    <row r="2370" spans="1:4">
      <c r="A2370" s="1" t="s">
        <v>6273</v>
      </c>
      <c r="B2370" s="1" t="s">
        <v>6358</v>
      </c>
      <c r="C2370" s="1" t="s">
        <v>38</v>
      </c>
      <c r="D2370" s="1" t="s">
        <v>1781</v>
      </c>
    </row>
    <row r="2371" spans="1:4">
      <c r="A2371" s="1" t="s">
        <v>6360</v>
      </c>
      <c r="B2371" s="1" t="s">
        <v>6359</v>
      </c>
      <c r="C2371" s="1" t="s">
        <v>38</v>
      </c>
      <c r="D2371" s="1" t="s">
        <v>1781</v>
      </c>
    </row>
    <row r="2372" spans="1:4">
      <c r="A2372" s="1" t="s">
        <v>6362</v>
      </c>
      <c r="B2372" s="1" t="s">
        <v>6361</v>
      </c>
      <c r="C2372" s="1" t="s">
        <v>38</v>
      </c>
      <c r="D2372" s="1" t="s">
        <v>1781</v>
      </c>
    </row>
    <row r="2373" spans="1:4">
      <c r="A2373" s="1" t="s">
        <v>6265</v>
      </c>
      <c r="B2373" s="1" t="s">
        <v>6363</v>
      </c>
      <c r="C2373" s="1" t="s">
        <v>38</v>
      </c>
      <c r="D2373" s="1" t="s">
        <v>1781</v>
      </c>
    </row>
    <row r="2374" spans="1:4">
      <c r="A2374" s="1" t="s">
        <v>6266</v>
      </c>
      <c r="B2374" s="1" t="s">
        <v>6364</v>
      </c>
      <c r="C2374" s="1" t="s">
        <v>38</v>
      </c>
      <c r="D2374" s="1" t="s">
        <v>1781</v>
      </c>
    </row>
    <row r="2375" spans="1:4">
      <c r="A2375" s="1" t="s">
        <v>6272</v>
      </c>
      <c r="B2375" s="1" t="s">
        <v>6365</v>
      </c>
      <c r="C2375" s="1" t="s">
        <v>38</v>
      </c>
      <c r="D2375" s="1" t="s">
        <v>1781</v>
      </c>
    </row>
    <row r="2376" spans="1:4">
      <c r="A2376" s="1" t="s">
        <v>6367</v>
      </c>
      <c r="B2376" s="1" t="s">
        <v>6366</v>
      </c>
      <c r="C2376" s="1" t="s">
        <v>38</v>
      </c>
      <c r="D2376" s="1" t="s">
        <v>1781</v>
      </c>
    </row>
    <row r="2377" spans="1:4">
      <c r="A2377" s="1" t="s">
        <v>6256</v>
      </c>
      <c r="B2377" s="1" t="s">
        <v>6368</v>
      </c>
      <c r="C2377" s="1" t="s">
        <v>38</v>
      </c>
      <c r="D2377" s="1" t="s">
        <v>1781</v>
      </c>
    </row>
    <row r="2378" spans="1:4">
      <c r="A2378" s="1" t="s">
        <v>6254</v>
      </c>
      <c r="B2378" s="1" t="s">
        <v>6369</v>
      </c>
      <c r="C2378" s="1" t="s">
        <v>38</v>
      </c>
      <c r="D2378" s="1" t="s">
        <v>1781</v>
      </c>
    </row>
    <row r="2379" spans="1:4">
      <c r="A2379" s="1" t="s">
        <v>5951</v>
      </c>
      <c r="B2379" s="1" t="s">
        <v>6370</v>
      </c>
      <c r="C2379" s="1" t="s">
        <v>38</v>
      </c>
      <c r="D2379" s="1" t="s">
        <v>1781</v>
      </c>
    </row>
    <row r="2380" spans="1:4">
      <c r="A2380" s="1" t="s">
        <v>6372</v>
      </c>
      <c r="B2380" s="1" t="s">
        <v>6371</v>
      </c>
      <c r="C2380" s="1" t="s">
        <v>38</v>
      </c>
      <c r="D2380" s="1" t="s">
        <v>1781</v>
      </c>
    </row>
    <row r="2381" spans="1:4">
      <c r="A2381" s="1" t="s">
        <v>6374</v>
      </c>
      <c r="B2381" s="1" t="s">
        <v>6373</v>
      </c>
      <c r="C2381" s="1" t="s">
        <v>38</v>
      </c>
      <c r="D2381" s="1" t="s">
        <v>1781</v>
      </c>
    </row>
    <row r="2382" spans="1:4">
      <c r="A2382" s="1" t="s">
        <v>6376</v>
      </c>
      <c r="B2382" s="1" t="s">
        <v>6375</v>
      </c>
      <c r="C2382" s="1" t="s">
        <v>38</v>
      </c>
      <c r="D2382" s="1" t="s">
        <v>1781</v>
      </c>
    </row>
    <row r="2383" spans="1:4">
      <c r="A2383" s="1" t="s">
        <v>6271</v>
      </c>
      <c r="B2383" s="1" t="s">
        <v>6377</v>
      </c>
      <c r="C2383" s="1" t="s">
        <v>38</v>
      </c>
      <c r="D2383" s="1" t="s">
        <v>1781</v>
      </c>
    </row>
    <row r="2384" spans="1:4">
      <c r="A2384" s="1" t="s">
        <v>6379</v>
      </c>
      <c r="B2384" s="1" t="s">
        <v>6378</v>
      </c>
      <c r="C2384" s="1" t="s">
        <v>38</v>
      </c>
      <c r="D2384" s="1" t="s">
        <v>1781</v>
      </c>
    </row>
    <row r="2385" spans="1:4">
      <c r="A2385" s="1" t="s">
        <v>6258</v>
      </c>
      <c r="B2385" s="1" t="s">
        <v>6380</v>
      </c>
      <c r="C2385" s="1" t="s">
        <v>38</v>
      </c>
      <c r="D2385" s="1" t="s">
        <v>1781</v>
      </c>
    </row>
    <row r="2386" spans="1:4">
      <c r="A2386" s="1" t="s">
        <v>6236</v>
      </c>
      <c r="B2386" s="1" t="s">
        <v>6381</v>
      </c>
      <c r="C2386" s="1" t="s">
        <v>38</v>
      </c>
      <c r="D2386" s="1" t="s">
        <v>1781</v>
      </c>
    </row>
    <row r="2387" spans="1:4">
      <c r="A2387" s="1" t="s">
        <v>6278</v>
      </c>
      <c r="B2387" s="1" t="s">
        <v>6382</v>
      </c>
      <c r="C2387" s="1" t="s">
        <v>38</v>
      </c>
      <c r="D2387" s="1" t="s">
        <v>1781</v>
      </c>
    </row>
    <row r="2388" spans="1:4">
      <c r="A2388" s="1" t="s">
        <v>5943</v>
      </c>
      <c r="B2388" s="1" t="s">
        <v>6383</v>
      </c>
      <c r="C2388" s="1" t="s">
        <v>38</v>
      </c>
      <c r="D2388" s="1" t="s">
        <v>1781</v>
      </c>
    </row>
    <row r="2389" spans="1:4">
      <c r="A2389" s="1" t="s">
        <v>5954</v>
      </c>
      <c r="B2389" s="1" t="s">
        <v>6384</v>
      </c>
      <c r="C2389" s="1" t="s">
        <v>38</v>
      </c>
      <c r="D2389" s="1" t="s">
        <v>1781</v>
      </c>
    </row>
    <row r="2390" spans="1:4">
      <c r="A2390" s="1" t="s">
        <v>6386</v>
      </c>
      <c r="B2390" s="1" t="s">
        <v>6385</v>
      </c>
      <c r="C2390" s="1" t="s">
        <v>38</v>
      </c>
      <c r="D2390" s="1" t="s">
        <v>1781</v>
      </c>
    </row>
    <row r="2391" spans="1:4">
      <c r="A2391" s="1" t="s">
        <v>6388</v>
      </c>
      <c r="B2391" s="1" t="s">
        <v>6387</v>
      </c>
      <c r="C2391" s="1" t="s">
        <v>38</v>
      </c>
      <c r="D2391" s="1" t="s">
        <v>1781</v>
      </c>
    </row>
    <row r="2392" spans="1:4">
      <c r="A2392" s="1" t="s">
        <v>6390</v>
      </c>
      <c r="B2392" s="1" t="s">
        <v>6389</v>
      </c>
      <c r="C2392" s="1" t="s">
        <v>38</v>
      </c>
      <c r="D2392" s="1" t="s">
        <v>1781</v>
      </c>
    </row>
    <row r="2393" spans="1:4">
      <c r="A2393" s="1" t="s">
        <v>5953</v>
      </c>
      <c r="B2393" s="1" t="s">
        <v>6391</v>
      </c>
      <c r="C2393" s="1" t="s">
        <v>38</v>
      </c>
      <c r="D2393" s="1" t="s">
        <v>1781</v>
      </c>
    </row>
    <row r="2394" spans="1:4">
      <c r="A2394" s="1" t="s">
        <v>6261</v>
      </c>
      <c r="B2394" s="1" t="s">
        <v>6392</v>
      </c>
      <c r="C2394" s="1" t="s">
        <v>38</v>
      </c>
      <c r="D2394" s="1" t="s">
        <v>1781</v>
      </c>
    </row>
    <row r="2395" spans="1:4">
      <c r="A2395" s="1" t="s">
        <v>6394</v>
      </c>
      <c r="B2395" s="1" t="s">
        <v>6393</v>
      </c>
      <c r="C2395" s="1" t="s">
        <v>38</v>
      </c>
      <c r="D2395" s="1" t="s">
        <v>1781</v>
      </c>
    </row>
    <row r="2396" spans="1:4">
      <c r="A2396" s="1" t="s">
        <v>1840</v>
      </c>
      <c r="B2396" s="1" t="s">
        <v>6395</v>
      </c>
      <c r="C2396" s="1" t="s">
        <v>38</v>
      </c>
      <c r="D2396" s="1" t="s">
        <v>1781</v>
      </c>
    </row>
    <row r="2397" spans="1:4">
      <c r="A2397" s="1" t="s">
        <v>6397</v>
      </c>
      <c r="B2397" s="1" t="s">
        <v>6396</v>
      </c>
      <c r="C2397" s="1" t="s">
        <v>38</v>
      </c>
      <c r="D2397" s="1" t="s">
        <v>1781</v>
      </c>
    </row>
    <row r="2398" spans="1:4">
      <c r="A2398" s="1" t="s">
        <v>5950</v>
      </c>
      <c r="B2398" s="1" t="s">
        <v>6398</v>
      </c>
      <c r="C2398" s="1" t="s">
        <v>38</v>
      </c>
      <c r="D2398" s="1" t="s">
        <v>1781</v>
      </c>
    </row>
    <row r="2399" spans="1:4">
      <c r="A2399" s="1" t="s">
        <v>6400</v>
      </c>
      <c r="B2399" s="1" t="s">
        <v>6399</v>
      </c>
      <c r="C2399" s="1" t="s">
        <v>38</v>
      </c>
      <c r="D2399" s="1" t="s">
        <v>1781</v>
      </c>
    </row>
    <row r="2400" spans="1:4">
      <c r="A2400" s="1" t="s">
        <v>631</v>
      </c>
      <c r="B2400" s="1" t="s">
        <v>6401</v>
      </c>
      <c r="C2400" s="1" t="s">
        <v>38</v>
      </c>
      <c r="D2400" s="1" t="s">
        <v>1781</v>
      </c>
    </row>
    <row r="2401" spans="1:4">
      <c r="A2401" s="1" t="s">
        <v>6403</v>
      </c>
      <c r="B2401" s="1" t="s">
        <v>6402</v>
      </c>
      <c r="C2401" s="1" t="s">
        <v>38</v>
      </c>
      <c r="D2401" s="1" t="s">
        <v>1781</v>
      </c>
    </row>
    <row r="2402" spans="1:4">
      <c r="A2402" s="1" t="s">
        <v>6405</v>
      </c>
      <c r="B2402" s="1" t="s">
        <v>6404</v>
      </c>
      <c r="C2402" s="1" t="s">
        <v>38</v>
      </c>
      <c r="D2402" s="1" t="s">
        <v>1781</v>
      </c>
    </row>
    <row r="2403" spans="1:4">
      <c r="A2403" s="1" t="s">
        <v>6407</v>
      </c>
      <c r="B2403" s="1" t="s">
        <v>6406</v>
      </c>
      <c r="C2403" s="1" t="s">
        <v>38</v>
      </c>
      <c r="D2403" s="1" t="s">
        <v>1781</v>
      </c>
    </row>
    <row r="2404" spans="1:4">
      <c r="A2404" s="1" t="s">
        <v>6409</v>
      </c>
      <c r="B2404" s="1" t="s">
        <v>6408</v>
      </c>
      <c r="C2404" s="1" t="s">
        <v>38</v>
      </c>
      <c r="D2404" s="1" t="s">
        <v>1781</v>
      </c>
    </row>
    <row r="2405" spans="1:4">
      <c r="A2405" s="1" t="s">
        <v>6411</v>
      </c>
      <c r="B2405" s="1" t="s">
        <v>6410</v>
      </c>
      <c r="C2405" s="1"/>
      <c r="D2405" s="1" t="s">
        <v>1781</v>
      </c>
    </row>
    <row r="2406" spans="1:4">
      <c r="A2406" s="1" t="s">
        <v>6239</v>
      </c>
      <c r="B2406" s="1" t="s">
        <v>6412</v>
      </c>
      <c r="C2406" s="1" t="s">
        <v>38</v>
      </c>
      <c r="D2406" s="1" t="s">
        <v>1781</v>
      </c>
    </row>
    <row r="2407" spans="1:4">
      <c r="A2407" s="1" t="s">
        <v>1839</v>
      </c>
      <c r="B2407" s="1" t="s">
        <v>6413</v>
      </c>
      <c r="C2407" s="1" t="s">
        <v>38</v>
      </c>
      <c r="D2407" s="1" t="s">
        <v>1781</v>
      </c>
    </row>
    <row r="2408" spans="1:4">
      <c r="A2408" s="1" t="s">
        <v>6238</v>
      </c>
      <c r="B2408" s="1" t="s">
        <v>6414</v>
      </c>
      <c r="C2408" s="1" t="s">
        <v>38</v>
      </c>
      <c r="D2408" s="1" t="s">
        <v>1781</v>
      </c>
    </row>
    <row r="2409" spans="1:4">
      <c r="A2409" s="1" t="s">
        <v>6246</v>
      </c>
      <c r="B2409" s="1" t="s">
        <v>6415</v>
      </c>
      <c r="C2409" s="1" t="s">
        <v>38</v>
      </c>
      <c r="D2409" s="1" t="s">
        <v>1781</v>
      </c>
    </row>
    <row r="2410" spans="1:4">
      <c r="A2410" s="1" t="s">
        <v>6417</v>
      </c>
      <c r="B2410" s="1" t="s">
        <v>6416</v>
      </c>
      <c r="C2410" s="1" t="s">
        <v>38</v>
      </c>
      <c r="D2410" s="1" t="s">
        <v>1781</v>
      </c>
    </row>
    <row r="2411" spans="1:4">
      <c r="A2411" s="1" t="s">
        <v>6419</v>
      </c>
      <c r="B2411" s="1" t="s">
        <v>6418</v>
      </c>
      <c r="C2411" s="1" t="s">
        <v>38</v>
      </c>
      <c r="D2411" s="1" t="s">
        <v>1781</v>
      </c>
    </row>
    <row r="2412" spans="1:4">
      <c r="A2412" s="1" t="s">
        <v>6421</v>
      </c>
      <c r="B2412" s="1" t="s">
        <v>6420</v>
      </c>
      <c r="C2412" s="1" t="s">
        <v>38</v>
      </c>
      <c r="D2412" s="1" t="s">
        <v>1781</v>
      </c>
    </row>
    <row r="2413" spans="1:4">
      <c r="A2413" s="1" t="s">
        <v>5945</v>
      </c>
      <c r="B2413" s="1" t="s">
        <v>6422</v>
      </c>
      <c r="C2413" s="1" t="s">
        <v>38</v>
      </c>
      <c r="D2413" s="1" t="s">
        <v>1781</v>
      </c>
    </row>
    <row r="2414" spans="1:4">
      <c r="A2414" s="1" t="s">
        <v>6424</v>
      </c>
      <c r="B2414" s="1" t="s">
        <v>6423</v>
      </c>
      <c r="C2414" s="1" t="s">
        <v>38</v>
      </c>
      <c r="D2414" s="1" t="s">
        <v>1781</v>
      </c>
    </row>
    <row r="2415" spans="1:4">
      <c r="A2415" s="1" t="s">
        <v>6244</v>
      </c>
      <c r="B2415" s="1" t="s">
        <v>6425</v>
      </c>
      <c r="C2415" s="1" t="s">
        <v>38</v>
      </c>
      <c r="D2415" s="1" t="s">
        <v>1781</v>
      </c>
    </row>
    <row r="2416" spans="1:4">
      <c r="A2416" s="1" t="s">
        <v>6240</v>
      </c>
      <c r="B2416" s="1" t="s">
        <v>6426</v>
      </c>
      <c r="C2416" s="1" t="s">
        <v>38</v>
      </c>
      <c r="D2416" s="1" t="s">
        <v>1781</v>
      </c>
    </row>
    <row r="2417" spans="1:4">
      <c r="A2417" s="1" t="s">
        <v>6428</v>
      </c>
      <c r="B2417" s="1" t="s">
        <v>6427</v>
      </c>
      <c r="C2417" s="1" t="s">
        <v>38</v>
      </c>
      <c r="D2417" s="1" t="s">
        <v>1781</v>
      </c>
    </row>
    <row r="2418" spans="1:4">
      <c r="A2418" s="1" t="s">
        <v>5955</v>
      </c>
      <c r="B2418" s="1" t="s">
        <v>6429</v>
      </c>
      <c r="C2418" s="1" t="s">
        <v>38</v>
      </c>
      <c r="D2418" s="1" t="s">
        <v>1781</v>
      </c>
    </row>
    <row r="2419" spans="1:4">
      <c r="A2419" s="1" t="s">
        <v>6431</v>
      </c>
      <c r="B2419" s="1" t="s">
        <v>6430</v>
      </c>
      <c r="C2419" s="1" t="s">
        <v>38</v>
      </c>
      <c r="D2419" s="1" t="s">
        <v>1781</v>
      </c>
    </row>
    <row r="2420" spans="1:4">
      <c r="A2420" s="1" t="s">
        <v>6433</v>
      </c>
      <c r="B2420" s="1" t="s">
        <v>6432</v>
      </c>
      <c r="C2420" s="1" t="s">
        <v>38</v>
      </c>
      <c r="D2420" s="1" t="s">
        <v>1781</v>
      </c>
    </row>
    <row r="2421" spans="1:4">
      <c r="A2421" s="1" t="s">
        <v>6255</v>
      </c>
      <c r="B2421" s="1" t="s">
        <v>6434</v>
      </c>
      <c r="C2421" s="1" t="s">
        <v>38</v>
      </c>
      <c r="D2421" s="1" t="s">
        <v>1781</v>
      </c>
    </row>
    <row r="2422" spans="1:4">
      <c r="A2422" s="1" t="s">
        <v>6251</v>
      </c>
      <c r="B2422" s="1" t="s">
        <v>6435</v>
      </c>
      <c r="C2422" s="1" t="s">
        <v>38</v>
      </c>
      <c r="D2422" s="1" t="s">
        <v>1781</v>
      </c>
    </row>
    <row r="2423" spans="1:4">
      <c r="A2423" s="1" t="s">
        <v>6275</v>
      </c>
      <c r="B2423" s="1" t="s">
        <v>6436</v>
      </c>
      <c r="C2423" s="1" t="s">
        <v>38</v>
      </c>
      <c r="D2423" s="1" t="s">
        <v>1781</v>
      </c>
    </row>
    <row r="2424" spans="1:4">
      <c r="A2424" s="1" t="s">
        <v>5947</v>
      </c>
      <c r="B2424" s="1" t="s">
        <v>6437</v>
      </c>
      <c r="C2424" s="1" t="s">
        <v>38</v>
      </c>
      <c r="D2424" s="1" t="s">
        <v>1781</v>
      </c>
    </row>
    <row r="2425" spans="1:4">
      <c r="A2425" s="1" t="s">
        <v>6439</v>
      </c>
      <c r="B2425" s="1" t="s">
        <v>6438</v>
      </c>
      <c r="C2425" s="1" t="s">
        <v>38</v>
      </c>
      <c r="D2425" s="1" t="s">
        <v>1781</v>
      </c>
    </row>
    <row r="2426" spans="1:4">
      <c r="A2426" s="1" t="s">
        <v>5948</v>
      </c>
      <c r="B2426" s="1" t="s">
        <v>6440</v>
      </c>
      <c r="C2426" s="1" t="s">
        <v>38</v>
      </c>
      <c r="D2426" s="1" t="s">
        <v>1781</v>
      </c>
    </row>
    <row r="2427" spans="1:4">
      <c r="A2427" s="1" t="s">
        <v>6442</v>
      </c>
      <c r="B2427" s="1" t="s">
        <v>6441</v>
      </c>
      <c r="C2427" s="1" t="s">
        <v>38</v>
      </c>
      <c r="D2427" s="1" t="s">
        <v>1781</v>
      </c>
    </row>
    <row r="2428" spans="1:4">
      <c r="A2428" s="1" t="s">
        <v>6263</v>
      </c>
      <c r="B2428" s="1" t="s">
        <v>6443</v>
      </c>
      <c r="C2428" s="1" t="s">
        <v>38</v>
      </c>
      <c r="D2428" s="1" t="s">
        <v>1781</v>
      </c>
    </row>
    <row r="2429" spans="1:4">
      <c r="A2429" s="1" t="s">
        <v>554</v>
      </c>
      <c r="B2429" s="1" t="s">
        <v>6444</v>
      </c>
      <c r="C2429" s="1" t="s">
        <v>38</v>
      </c>
      <c r="D2429" s="1" t="s">
        <v>1781</v>
      </c>
    </row>
    <row r="2430" spans="1:4">
      <c r="A2430" s="1" t="s">
        <v>6233</v>
      </c>
      <c r="B2430" s="1" t="s">
        <v>6445</v>
      </c>
      <c r="C2430" s="1" t="s">
        <v>38</v>
      </c>
      <c r="D2430" s="1" t="s">
        <v>1781</v>
      </c>
    </row>
    <row r="2431" spans="1:4">
      <c r="A2431" s="1" t="s">
        <v>6248</v>
      </c>
      <c r="B2431" s="1" t="s">
        <v>6446</v>
      </c>
      <c r="C2431" s="1" t="s">
        <v>38</v>
      </c>
      <c r="D2431" s="1" t="s">
        <v>1781</v>
      </c>
    </row>
    <row r="2432" spans="1:4">
      <c r="A2432" s="1" t="s">
        <v>6448</v>
      </c>
      <c r="B2432" s="1" t="s">
        <v>6447</v>
      </c>
      <c r="C2432" s="1" t="s">
        <v>38</v>
      </c>
      <c r="D2432" s="1" t="s">
        <v>1781</v>
      </c>
    </row>
    <row r="2433" spans="1:4">
      <c r="A2433" s="1" t="s">
        <v>6276</v>
      </c>
      <c r="B2433" s="1" t="s">
        <v>6449</v>
      </c>
      <c r="C2433" s="1" t="s">
        <v>38</v>
      </c>
      <c r="D2433" s="1" t="s">
        <v>1781</v>
      </c>
    </row>
    <row r="2434" spans="1:4">
      <c r="A2434" s="1" t="s">
        <v>6451</v>
      </c>
      <c r="B2434" s="1" t="s">
        <v>6450</v>
      </c>
      <c r="C2434" s="1" t="s">
        <v>38</v>
      </c>
      <c r="D2434" s="1" t="s">
        <v>1781</v>
      </c>
    </row>
    <row r="2435" spans="1:4">
      <c r="A2435" s="1" t="s">
        <v>574</v>
      </c>
      <c r="B2435" s="1" t="s">
        <v>6452</v>
      </c>
      <c r="C2435" s="1" t="s">
        <v>38</v>
      </c>
      <c r="D2435" s="1" t="s">
        <v>1781</v>
      </c>
    </row>
    <row r="2436" spans="1:4">
      <c r="A2436" s="1" t="s">
        <v>438</v>
      </c>
      <c r="B2436" s="1" t="s">
        <v>6453</v>
      </c>
      <c r="C2436" s="1" t="s">
        <v>38</v>
      </c>
      <c r="D2436" s="1" t="s">
        <v>1781</v>
      </c>
    </row>
    <row r="2437" spans="1:4">
      <c r="A2437" s="1" t="s">
        <v>6455</v>
      </c>
      <c r="B2437" s="1" t="s">
        <v>6454</v>
      </c>
      <c r="C2437" s="1" t="s">
        <v>38</v>
      </c>
      <c r="D2437" s="1" t="s">
        <v>1781</v>
      </c>
    </row>
    <row r="2438" spans="1:4">
      <c r="A2438" s="1" t="s">
        <v>436</v>
      </c>
      <c r="B2438" s="1" t="s">
        <v>6456</v>
      </c>
      <c r="C2438" s="1" t="s">
        <v>38</v>
      </c>
      <c r="D2438" s="1" t="s">
        <v>1781</v>
      </c>
    </row>
    <row r="2439" spans="1:4">
      <c r="A2439" s="1" t="s">
        <v>5939</v>
      </c>
      <c r="B2439" s="1" t="s">
        <v>6457</v>
      </c>
      <c r="C2439" s="1" t="s">
        <v>38</v>
      </c>
      <c r="D2439" s="1" t="s">
        <v>1781</v>
      </c>
    </row>
    <row r="2440" spans="1:4">
      <c r="A2440" s="1" t="s">
        <v>6269</v>
      </c>
      <c r="B2440" s="1" t="s">
        <v>6458</v>
      </c>
      <c r="C2440" s="1" t="s">
        <v>38</v>
      </c>
      <c r="D2440" s="1" t="s">
        <v>1781</v>
      </c>
    </row>
    <row r="2441" spans="1:4">
      <c r="A2441" s="1" t="s">
        <v>6460</v>
      </c>
      <c r="B2441" s="1" t="s">
        <v>6459</v>
      </c>
      <c r="C2441" s="1" t="s">
        <v>38</v>
      </c>
      <c r="D2441" s="1" t="s">
        <v>1781</v>
      </c>
    </row>
    <row r="2442" spans="1:4">
      <c r="A2442" s="1" t="s">
        <v>6462</v>
      </c>
      <c r="B2442" s="1" t="s">
        <v>6461</v>
      </c>
      <c r="C2442" s="1" t="s">
        <v>38</v>
      </c>
      <c r="D2442" s="1" t="s">
        <v>1781</v>
      </c>
    </row>
    <row r="2443" spans="1:4">
      <c r="A2443" s="1" t="s">
        <v>6464</v>
      </c>
      <c r="B2443" s="1" t="s">
        <v>6463</v>
      </c>
      <c r="C2443" s="1" t="s">
        <v>38</v>
      </c>
      <c r="D2443" s="1" t="s">
        <v>1781</v>
      </c>
    </row>
    <row r="2444" spans="1:4">
      <c r="A2444" s="1" t="s">
        <v>5944</v>
      </c>
      <c r="B2444" s="1" t="s">
        <v>6465</v>
      </c>
      <c r="C2444" s="1" t="s">
        <v>38</v>
      </c>
      <c r="D2444" s="1" t="s">
        <v>1781</v>
      </c>
    </row>
    <row r="2445" spans="1:4">
      <c r="A2445" s="1" t="s">
        <v>6241</v>
      </c>
      <c r="B2445" s="1" t="s">
        <v>6466</v>
      </c>
      <c r="C2445" s="1" t="s">
        <v>38</v>
      </c>
      <c r="D2445" s="1" t="s">
        <v>1781</v>
      </c>
    </row>
    <row r="2446" spans="1:4">
      <c r="A2446" s="1" t="s">
        <v>1790</v>
      </c>
      <c r="B2446" s="1" t="s">
        <v>6467</v>
      </c>
      <c r="C2446" s="1" t="s">
        <v>38</v>
      </c>
      <c r="D2446" s="1" t="s">
        <v>1781</v>
      </c>
    </row>
    <row r="2447" spans="1:4">
      <c r="A2447" s="1" t="s">
        <v>6274</v>
      </c>
      <c r="B2447" s="1" t="s">
        <v>6468</v>
      </c>
      <c r="C2447" s="1" t="s">
        <v>38</v>
      </c>
      <c r="D2447" s="1" t="s">
        <v>1781</v>
      </c>
    </row>
    <row r="2448" spans="1:4">
      <c r="A2448" s="1" t="s">
        <v>6470</v>
      </c>
      <c r="B2448" s="1" t="s">
        <v>6469</v>
      </c>
      <c r="C2448" s="1" t="s">
        <v>38</v>
      </c>
      <c r="D2448" s="1" t="s">
        <v>1781</v>
      </c>
    </row>
    <row r="2449" spans="1:4">
      <c r="A2449" s="1" t="s">
        <v>6277</v>
      </c>
      <c r="B2449" s="1" t="s">
        <v>6471</v>
      </c>
      <c r="C2449" s="1" t="s">
        <v>38</v>
      </c>
      <c r="D2449" s="1" t="s">
        <v>1781</v>
      </c>
    </row>
    <row r="2450" spans="1:4">
      <c r="A2450" s="1" t="s">
        <v>6262</v>
      </c>
      <c r="B2450" s="1" t="s">
        <v>6472</v>
      </c>
      <c r="C2450" s="1" t="s">
        <v>38</v>
      </c>
      <c r="D2450" s="1" t="s">
        <v>1781</v>
      </c>
    </row>
    <row r="2451" spans="1:4">
      <c r="A2451" s="1" t="s">
        <v>5946</v>
      </c>
      <c r="B2451" s="1" t="s">
        <v>6473</v>
      </c>
      <c r="C2451" s="1" t="s">
        <v>38</v>
      </c>
      <c r="D2451" s="1" t="s">
        <v>1781</v>
      </c>
    </row>
    <row r="2452" spans="1:4">
      <c r="A2452" s="1" t="s">
        <v>6247</v>
      </c>
      <c r="B2452" s="1" t="s">
        <v>6474</v>
      </c>
      <c r="C2452" s="1" t="s">
        <v>38</v>
      </c>
      <c r="D2452" s="1" t="s">
        <v>1781</v>
      </c>
    </row>
    <row r="2453" spans="1:4">
      <c r="A2453" s="1" t="s">
        <v>434</v>
      </c>
      <c r="B2453" s="1" t="s">
        <v>6475</v>
      </c>
      <c r="C2453" s="1" t="s">
        <v>38</v>
      </c>
      <c r="D2453" s="1" t="s">
        <v>1781</v>
      </c>
    </row>
    <row r="2454" spans="1:4">
      <c r="A2454" s="1" t="s">
        <v>6231</v>
      </c>
      <c r="B2454" s="1" t="s">
        <v>6476</v>
      </c>
      <c r="C2454" s="1" t="s">
        <v>38</v>
      </c>
      <c r="D2454" s="1" t="s">
        <v>1781</v>
      </c>
    </row>
    <row r="2455" spans="1:4">
      <c r="A2455" s="1" t="s">
        <v>6270</v>
      </c>
      <c r="B2455" s="1" t="s">
        <v>6477</v>
      </c>
      <c r="C2455" s="1" t="s">
        <v>38</v>
      </c>
      <c r="D2455" s="1" t="s">
        <v>1781</v>
      </c>
    </row>
    <row r="2456" spans="1:4">
      <c r="A2456" s="1" t="s">
        <v>6479</v>
      </c>
      <c r="B2456" s="1" t="s">
        <v>6478</v>
      </c>
      <c r="C2456" s="1" t="s">
        <v>38</v>
      </c>
      <c r="D2456" s="1" t="s">
        <v>1781</v>
      </c>
    </row>
    <row r="2457" spans="1:4">
      <c r="A2457" s="1" t="s">
        <v>1362</v>
      </c>
      <c r="B2457" s="1" t="s">
        <v>6480</v>
      </c>
      <c r="C2457" s="1" t="s">
        <v>38</v>
      </c>
      <c r="D2457" s="1" t="s">
        <v>1781</v>
      </c>
    </row>
    <row r="2458" spans="1:4">
      <c r="A2458" s="1" t="s">
        <v>6279</v>
      </c>
      <c r="B2458" s="1" t="s">
        <v>6481</v>
      </c>
      <c r="C2458" s="1" t="s">
        <v>38</v>
      </c>
      <c r="D2458" s="1" t="s">
        <v>1781</v>
      </c>
    </row>
    <row r="2459" spans="1:4">
      <c r="A2459" s="1" t="s">
        <v>6483</v>
      </c>
      <c r="B2459" s="1" t="s">
        <v>6482</v>
      </c>
      <c r="C2459" s="1" t="s">
        <v>38</v>
      </c>
      <c r="D2459" s="1" t="s">
        <v>1781</v>
      </c>
    </row>
    <row r="2460" spans="1:4">
      <c r="A2460" s="1" t="s">
        <v>1500</v>
      </c>
      <c r="B2460" s="1" t="s">
        <v>6484</v>
      </c>
      <c r="C2460" s="1" t="s">
        <v>38</v>
      </c>
      <c r="D2460" s="1" t="s">
        <v>1781</v>
      </c>
    </row>
    <row r="2461" spans="1:4">
      <c r="A2461" s="1" t="s">
        <v>6486</v>
      </c>
      <c r="B2461" s="1" t="s">
        <v>6485</v>
      </c>
      <c r="C2461" s="1" t="s">
        <v>38</v>
      </c>
      <c r="D2461" s="1" t="s">
        <v>1781</v>
      </c>
    </row>
    <row r="2462" spans="1:4">
      <c r="A2462" s="1" t="s">
        <v>5942</v>
      </c>
      <c r="B2462" s="1" t="s">
        <v>6487</v>
      </c>
      <c r="C2462" s="1" t="s">
        <v>38</v>
      </c>
      <c r="D2462" s="1" t="s">
        <v>1781</v>
      </c>
    </row>
    <row r="2463" spans="1:4">
      <c r="A2463" s="1" t="s">
        <v>1838</v>
      </c>
      <c r="B2463" s="1" t="s">
        <v>6488</v>
      </c>
      <c r="C2463" s="1" t="s">
        <v>38</v>
      </c>
      <c r="D2463" s="1" t="s">
        <v>1781</v>
      </c>
    </row>
    <row r="2464" spans="1:4">
      <c r="A2464" s="1" t="s">
        <v>5956</v>
      </c>
      <c r="B2464" s="1" t="s">
        <v>6489</v>
      </c>
      <c r="C2464" s="1" t="s">
        <v>38</v>
      </c>
      <c r="D2464" s="1" t="s">
        <v>1781</v>
      </c>
    </row>
    <row r="2465" spans="1:4">
      <c r="A2465" s="1" t="s">
        <v>467</v>
      </c>
      <c r="B2465" s="1" t="s">
        <v>6490</v>
      </c>
      <c r="C2465" s="1" t="s">
        <v>38</v>
      </c>
      <c r="D2465" s="1" t="s">
        <v>1781</v>
      </c>
    </row>
    <row r="2466" spans="1:4">
      <c r="A2466" s="1" t="s">
        <v>6492</v>
      </c>
      <c r="B2466" s="1" t="s">
        <v>6491</v>
      </c>
      <c r="C2466" s="1" t="s">
        <v>38</v>
      </c>
      <c r="D2466" s="1" t="s">
        <v>1781</v>
      </c>
    </row>
    <row r="2467" spans="1:4">
      <c r="A2467" s="1" t="s">
        <v>5940</v>
      </c>
      <c r="B2467" s="1" t="s">
        <v>6493</v>
      </c>
      <c r="C2467" s="1" t="s">
        <v>38</v>
      </c>
      <c r="D2467" s="1" t="s">
        <v>1781</v>
      </c>
    </row>
    <row r="2468" spans="1:4">
      <c r="A2468" s="1" t="s">
        <v>6232</v>
      </c>
      <c r="B2468" s="1" t="s">
        <v>6494</v>
      </c>
      <c r="C2468" s="1" t="s">
        <v>38</v>
      </c>
      <c r="D2468" s="1" t="s">
        <v>1781</v>
      </c>
    </row>
    <row r="2469" spans="1:4">
      <c r="A2469" s="1" t="s">
        <v>1027</v>
      </c>
      <c r="B2469" s="1" t="s">
        <v>1028</v>
      </c>
      <c r="C2469" s="1" t="s">
        <v>35</v>
      </c>
      <c r="D2469" s="1" t="s">
        <v>1781</v>
      </c>
    </row>
    <row r="2470" spans="1:4">
      <c r="A2470" s="1" t="s">
        <v>6588</v>
      </c>
      <c r="B2470" s="1" t="s">
        <v>6587</v>
      </c>
      <c r="C2470" s="1" t="s">
        <v>35</v>
      </c>
      <c r="D2470" s="1" t="s">
        <v>1781</v>
      </c>
    </row>
    <row r="2471" spans="1:4">
      <c r="A2471" s="1" t="s">
        <v>6590</v>
      </c>
      <c r="B2471" s="1" t="s">
        <v>6589</v>
      </c>
      <c r="C2471" s="1" t="s">
        <v>35</v>
      </c>
      <c r="D2471" s="1" t="s">
        <v>1781</v>
      </c>
    </row>
    <row r="2472" spans="1:4">
      <c r="A2472" s="1" t="s">
        <v>6592</v>
      </c>
      <c r="B2472" s="1" t="s">
        <v>6591</v>
      </c>
      <c r="C2472" s="1" t="s">
        <v>35</v>
      </c>
      <c r="D2472" s="1" t="s">
        <v>1781</v>
      </c>
    </row>
    <row r="2473" spans="1:4">
      <c r="A2473" s="1" t="s">
        <v>6607</v>
      </c>
      <c r="B2473" s="1" t="s">
        <v>6606</v>
      </c>
      <c r="C2473" s="1" t="s">
        <v>38</v>
      </c>
      <c r="D2473" s="1" t="s">
        <v>1781</v>
      </c>
    </row>
    <row r="2474" spans="1:4">
      <c r="A2474" s="1" t="s">
        <v>6609</v>
      </c>
      <c r="B2474" s="1" t="s">
        <v>6608</v>
      </c>
      <c r="C2474" s="1" t="s">
        <v>38</v>
      </c>
      <c r="D2474" s="1" t="s">
        <v>1781</v>
      </c>
    </row>
    <row r="2475" spans="1:4">
      <c r="A2475" s="1" t="s">
        <v>6611</v>
      </c>
      <c r="B2475" s="1" t="s">
        <v>6610</v>
      </c>
      <c r="C2475" s="1" t="s">
        <v>38</v>
      </c>
      <c r="D2475" s="1" t="s">
        <v>1781</v>
      </c>
    </row>
    <row r="2476" spans="1:4">
      <c r="A2476" s="1" t="s">
        <v>6613</v>
      </c>
      <c r="B2476" s="1" t="s">
        <v>6612</v>
      </c>
      <c r="C2476" s="1" t="s">
        <v>38</v>
      </c>
      <c r="D2476" s="1" t="s">
        <v>1781</v>
      </c>
    </row>
    <row r="2477" spans="1:4">
      <c r="A2477" s="1" t="s">
        <v>6503</v>
      </c>
      <c r="B2477" s="1" t="s">
        <v>6614</v>
      </c>
      <c r="C2477" s="1" t="s">
        <v>38</v>
      </c>
      <c r="D2477" s="1" t="s">
        <v>1781</v>
      </c>
    </row>
    <row r="2478" spans="1:4">
      <c r="A2478" s="1" t="s">
        <v>6534</v>
      </c>
      <c r="B2478" s="1" t="s">
        <v>6615</v>
      </c>
      <c r="C2478" s="1" t="s">
        <v>38</v>
      </c>
      <c r="D2478" s="1" t="s">
        <v>1781</v>
      </c>
    </row>
    <row r="2479" spans="1:4">
      <c r="A2479" s="1" t="s">
        <v>6526</v>
      </c>
      <c r="B2479" s="1" t="s">
        <v>6616</v>
      </c>
      <c r="C2479" s="1" t="s">
        <v>38</v>
      </c>
      <c r="D2479" s="1" t="s">
        <v>1781</v>
      </c>
    </row>
    <row r="2480" spans="1:4">
      <c r="A2480" s="1" t="s">
        <v>6511</v>
      </c>
      <c r="B2480" s="1" t="s">
        <v>6617</v>
      </c>
      <c r="C2480" s="1" t="s">
        <v>38</v>
      </c>
      <c r="D2480" s="1" t="s">
        <v>1781</v>
      </c>
    </row>
    <row r="2481" spans="1:4">
      <c r="A2481" s="1" t="s">
        <v>6523</v>
      </c>
      <c r="B2481" s="1" t="s">
        <v>6618</v>
      </c>
      <c r="C2481" s="1" t="s">
        <v>38</v>
      </c>
      <c r="D2481" s="1" t="s">
        <v>1781</v>
      </c>
    </row>
    <row r="2482" spans="1:4">
      <c r="A2482" s="1" t="s">
        <v>6550</v>
      </c>
      <c r="B2482" s="1" t="s">
        <v>6619</v>
      </c>
      <c r="C2482" s="1" t="s">
        <v>38</v>
      </c>
      <c r="D2482" s="1" t="s">
        <v>1781</v>
      </c>
    </row>
    <row r="2483" spans="1:4">
      <c r="A2483" s="1" t="s">
        <v>6513</v>
      </c>
      <c r="B2483" s="1" t="s">
        <v>6620</v>
      </c>
      <c r="C2483" s="1" t="s">
        <v>38</v>
      </c>
      <c r="D2483" s="1" t="s">
        <v>1781</v>
      </c>
    </row>
    <row r="2484" spans="1:4">
      <c r="A2484" s="1" t="s">
        <v>6512</v>
      </c>
      <c r="B2484" s="1" t="s">
        <v>6621</v>
      </c>
      <c r="C2484" s="1" t="s">
        <v>38</v>
      </c>
      <c r="D2484" s="1" t="s">
        <v>1781</v>
      </c>
    </row>
    <row r="2485" spans="1:4">
      <c r="A2485" s="1" t="s">
        <v>6560</v>
      </c>
      <c r="B2485" s="1" t="s">
        <v>6622</v>
      </c>
      <c r="C2485" s="1" t="s">
        <v>38</v>
      </c>
      <c r="D2485" s="1" t="s">
        <v>1781</v>
      </c>
    </row>
    <row r="2486" spans="1:4">
      <c r="A2486" s="1" t="s">
        <v>1625</v>
      </c>
      <c r="B2486" s="1" t="s">
        <v>6623</v>
      </c>
      <c r="C2486" s="1" t="s">
        <v>38</v>
      </c>
      <c r="D2486" s="1" t="s">
        <v>1781</v>
      </c>
    </row>
    <row r="2487" spans="1:4">
      <c r="A2487" s="1" t="s">
        <v>6625</v>
      </c>
      <c r="B2487" s="1" t="s">
        <v>6624</v>
      </c>
      <c r="C2487" s="1" t="s">
        <v>38</v>
      </c>
      <c r="D2487" s="1" t="s">
        <v>1781</v>
      </c>
    </row>
    <row r="2488" spans="1:4">
      <c r="A2488" s="1" t="s">
        <v>6627</v>
      </c>
      <c r="B2488" s="1" t="s">
        <v>6626</v>
      </c>
      <c r="C2488" s="1" t="s">
        <v>38</v>
      </c>
      <c r="D2488" s="1" t="s">
        <v>1781</v>
      </c>
    </row>
    <row r="2489" spans="1:4">
      <c r="A2489" s="1" t="s">
        <v>6584</v>
      </c>
      <c r="B2489" s="1" t="s">
        <v>6628</v>
      </c>
      <c r="C2489" s="1" t="s">
        <v>38</v>
      </c>
      <c r="D2489" s="1" t="s">
        <v>1781</v>
      </c>
    </row>
    <row r="2490" spans="1:4">
      <c r="A2490" s="1" t="s">
        <v>6581</v>
      </c>
      <c r="B2490" s="1" t="s">
        <v>6629</v>
      </c>
      <c r="C2490" s="1" t="s">
        <v>38</v>
      </c>
      <c r="D2490" s="1" t="s">
        <v>1781</v>
      </c>
    </row>
    <row r="2491" spans="1:4">
      <c r="A2491" s="1" t="s">
        <v>6505</v>
      </c>
      <c r="B2491" s="1" t="s">
        <v>6630</v>
      </c>
      <c r="C2491" s="1" t="s">
        <v>38</v>
      </c>
      <c r="D2491" s="1" t="s">
        <v>1781</v>
      </c>
    </row>
    <row r="2492" spans="1:4">
      <c r="A2492" s="1" t="s">
        <v>6632</v>
      </c>
      <c r="B2492" s="1" t="s">
        <v>6631</v>
      </c>
      <c r="C2492" s="1" t="s">
        <v>38</v>
      </c>
      <c r="D2492" s="1" t="s">
        <v>1781</v>
      </c>
    </row>
    <row r="2493" spans="1:4">
      <c r="A2493" s="1" t="s">
        <v>449</v>
      </c>
      <c r="B2493" s="1" t="s">
        <v>6633</v>
      </c>
      <c r="C2493" s="1" t="s">
        <v>38</v>
      </c>
      <c r="D2493" s="1" t="s">
        <v>1781</v>
      </c>
    </row>
    <row r="2494" spans="1:4">
      <c r="A2494" s="1" t="s">
        <v>6635</v>
      </c>
      <c r="B2494" s="1" t="s">
        <v>6634</v>
      </c>
      <c r="C2494" s="1" t="s">
        <v>38</v>
      </c>
      <c r="D2494" s="1" t="s">
        <v>1781</v>
      </c>
    </row>
    <row r="2495" spans="1:4">
      <c r="A2495" s="1" t="s">
        <v>6637</v>
      </c>
      <c r="B2495" s="1" t="s">
        <v>6636</v>
      </c>
      <c r="C2495" s="1" t="s">
        <v>38</v>
      </c>
      <c r="D2495" s="1" t="s">
        <v>1781</v>
      </c>
    </row>
    <row r="2496" spans="1:4">
      <c r="A2496" s="1" t="s">
        <v>6508</v>
      </c>
      <c r="B2496" s="1" t="s">
        <v>6638</v>
      </c>
      <c r="C2496" s="1" t="s">
        <v>38</v>
      </c>
      <c r="D2496" s="1" t="s">
        <v>1781</v>
      </c>
    </row>
    <row r="2497" spans="1:4">
      <c r="A2497" s="1" t="s">
        <v>6640</v>
      </c>
      <c r="B2497" s="1" t="s">
        <v>6639</v>
      </c>
      <c r="C2497" s="1" t="s">
        <v>38</v>
      </c>
      <c r="D2497" s="1" t="s">
        <v>1781</v>
      </c>
    </row>
    <row r="2498" spans="1:4">
      <c r="A2498" s="1" t="s">
        <v>6642</v>
      </c>
      <c r="B2498" s="1" t="s">
        <v>6641</v>
      </c>
      <c r="C2498" s="1" t="s">
        <v>38</v>
      </c>
      <c r="D2498" s="1" t="s">
        <v>1781</v>
      </c>
    </row>
    <row r="2499" spans="1:4">
      <c r="A2499" s="1" t="s">
        <v>6644</v>
      </c>
      <c r="B2499" s="1" t="s">
        <v>6643</v>
      </c>
      <c r="C2499" s="1"/>
      <c r="D2499" s="1" t="s">
        <v>1781</v>
      </c>
    </row>
    <row r="2500" spans="1:4">
      <c r="A2500" s="1" t="s">
        <v>198</v>
      </c>
      <c r="B2500" s="1" t="s">
        <v>6645</v>
      </c>
      <c r="C2500" s="1" t="s">
        <v>38</v>
      </c>
      <c r="D2500" s="1" t="s">
        <v>1781</v>
      </c>
    </row>
    <row r="2501" spans="1:4">
      <c r="A2501" s="1" t="s">
        <v>6510</v>
      </c>
      <c r="B2501" s="1" t="s">
        <v>6646</v>
      </c>
      <c r="C2501" s="1" t="s">
        <v>38</v>
      </c>
      <c r="D2501" s="1" t="s">
        <v>1781</v>
      </c>
    </row>
    <row r="2502" spans="1:4">
      <c r="A2502" s="1" t="s">
        <v>6516</v>
      </c>
      <c r="B2502" s="1" t="s">
        <v>6647</v>
      </c>
      <c r="C2502" s="1" t="s">
        <v>38</v>
      </c>
      <c r="D2502" s="1" t="s">
        <v>1781</v>
      </c>
    </row>
    <row r="2503" spans="1:4">
      <c r="A2503" s="1" t="s">
        <v>6532</v>
      </c>
      <c r="B2503" s="1" t="s">
        <v>6648</v>
      </c>
      <c r="C2503" s="1" t="s">
        <v>38</v>
      </c>
      <c r="D2503" s="1" t="s">
        <v>1781</v>
      </c>
    </row>
    <row r="2504" spans="1:4">
      <c r="A2504" s="1" t="s">
        <v>1633</v>
      </c>
      <c r="B2504" s="1" t="s">
        <v>6649</v>
      </c>
      <c r="C2504" s="1" t="s">
        <v>38</v>
      </c>
      <c r="D2504" s="1" t="s">
        <v>1781</v>
      </c>
    </row>
    <row r="2505" spans="1:4">
      <c r="A2505" s="1" t="s">
        <v>6521</v>
      </c>
      <c r="B2505" s="1" t="s">
        <v>6650</v>
      </c>
      <c r="C2505" s="1" t="s">
        <v>38</v>
      </c>
      <c r="D2505" s="1" t="s">
        <v>1781</v>
      </c>
    </row>
    <row r="2506" spans="1:4">
      <c r="A2506" s="1" t="s">
        <v>6652</v>
      </c>
      <c r="B2506" s="1" t="s">
        <v>6651</v>
      </c>
      <c r="C2506" s="1" t="s">
        <v>38</v>
      </c>
      <c r="D2506" s="1" t="s">
        <v>1781</v>
      </c>
    </row>
    <row r="2507" spans="1:4">
      <c r="A2507" s="1" t="s">
        <v>6654</v>
      </c>
      <c r="B2507" s="1" t="s">
        <v>6653</v>
      </c>
      <c r="C2507" s="1" t="s">
        <v>38</v>
      </c>
      <c r="D2507" s="1" t="s">
        <v>1781</v>
      </c>
    </row>
    <row r="2508" spans="1:4">
      <c r="A2508" s="1" t="s">
        <v>6656</v>
      </c>
      <c r="B2508" s="1" t="s">
        <v>6655</v>
      </c>
      <c r="C2508" s="1"/>
      <c r="D2508" s="1" t="s">
        <v>1781</v>
      </c>
    </row>
    <row r="2509" spans="1:4">
      <c r="A2509" s="1" t="s">
        <v>6586</v>
      </c>
      <c r="B2509" s="1" t="s">
        <v>6657</v>
      </c>
      <c r="C2509" s="1" t="s">
        <v>38</v>
      </c>
      <c r="D2509" s="1" t="s">
        <v>1781</v>
      </c>
    </row>
    <row r="2510" spans="1:4">
      <c r="A2510" s="1" t="s">
        <v>6529</v>
      </c>
      <c r="B2510" s="1" t="s">
        <v>6658</v>
      </c>
      <c r="C2510" s="1" t="s">
        <v>38</v>
      </c>
      <c r="D2510" s="1" t="s">
        <v>1781</v>
      </c>
    </row>
    <row r="2511" spans="1:4">
      <c r="A2511" s="1" t="s">
        <v>6595</v>
      </c>
      <c r="B2511" s="1" t="s">
        <v>6659</v>
      </c>
      <c r="C2511" s="1" t="s">
        <v>38</v>
      </c>
      <c r="D2511" s="1" t="s">
        <v>1781</v>
      </c>
    </row>
    <row r="2512" spans="1:4">
      <c r="A2512" s="1" t="s">
        <v>6520</v>
      </c>
      <c r="B2512" s="1" t="s">
        <v>6660</v>
      </c>
      <c r="C2512" s="1" t="s">
        <v>38</v>
      </c>
      <c r="D2512" s="1" t="s">
        <v>1781</v>
      </c>
    </row>
    <row r="2513" spans="1:4">
      <c r="A2513" s="1" t="s">
        <v>6539</v>
      </c>
      <c r="B2513" s="1" t="s">
        <v>6661</v>
      </c>
      <c r="C2513" s="1" t="s">
        <v>38</v>
      </c>
      <c r="D2513" s="1" t="s">
        <v>1781</v>
      </c>
    </row>
    <row r="2514" spans="1:4">
      <c r="A2514" s="1" t="s">
        <v>6663</v>
      </c>
      <c r="B2514" s="1" t="s">
        <v>6662</v>
      </c>
      <c r="C2514" s="1" t="s">
        <v>38</v>
      </c>
      <c r="D2514" s="1" t="s">
        <v>1781</v>
      </c>
    </row>
    <row r="2515" spans="1:4">
      <c r="A2515" s="1" t="s">
        <v>6540</v>
      </c>
      <c r="B2515" s="1" t="s">
        <v>6664</v>
      </c>
      <c r="C2515" s="1" t="s">
        <v>38</v>
      </c>
      <c r="D2515" s="1" t="s">
        <v>1781</v>
      </c>
    </row>
    <row r="2516" spans="1:4">
      <c r="A2516" s="1" t="s">
        <v>6557</v>
      </c>
      <c r="B2516" s="1" t="s">
        <v>6665</v>
      </c>
      <c r="C2516" s="1" t="s">
        <v>38</v>
      </c>
      <c r="D2516" s="1" t="s">
        <v>1781</v>
      </c>
    </row>
    <row r="2517" spans="1:4">
      <c r="A2517" s="1" t="s">
        <v>6667</v>
      </c>
      <c r="B2517" s="1" t="s">
        <v>6666</v>
      </c>
      <c r="C2517" s="1" t="s">
        <v>38</v>
      </c>
      <c r="D2517" s="1" t="s">
        <v>1781</v>
      </c>
    </row>
    <row r="2518" spans="1:4">
      <c r="A2518" s="1" t="s">
        <v>6543</v>
      </c>
      <c r="B2518" s="1" t="s">
        <v>6668</v>
      </c>
      <c r="C2518" s="1" t="s">
        <v>38</v>
      </c>
      <c r="D2518" s="1" t="s">
        <v>1781</v>
      </c>
    </row>
    <row r="2519" spans="1:4">
      <c r="A2519" s="1" t="s">
        <v>6670</v>
      </c>
      <c r="B2519" s="1" t="s">
        <v>6669</v>
      </c>
      <c r="C2519" s="1" t="s">
        <v>38</v>
      </c>
      <c r="D2519" s="1" t="s">
        <v>1781</v>
      </c>
    </row>
    <row r="2520" spans="1:4">
      <c r="A2520" s="1" t="s">
        <v>132</v>
      </c>
      <c r="B2520" s="1" t="s">
        <v>6671</v>
      </c>
      <c r="C2520" s="1" t="s">
        <v>38</v>
      </c>
      <c r="D2520" s="1" t="s">
        <v>1781</v>
      </c>
    </row>
    <row r="2521" spans="1:4">
      <c r="A2521" s="1" t="s">
        <v>6517</v>
      </c>
      <c r="B2521" s="1" t="s">
        <v>6672</v>
      </c>
      <c r="C2521" s="1" t="s">
        <v>38</v>
      </c>
      <c r="D2521" s="1" t="s">
        <v>1781</v>
      </c>
    </row>
    <row r="2522" spans="1:4">
      <c r="A2522" s="1" t="s">
        <v>6674</v>
      </c>
      <c r="B2522" s="1" t="s">
        <v>6673</v>
      </c>
      <c r="C2522" s="1" t="s">
        <v>38</v>
      </c>
      <c r="D2522" s="1" t="s">
        <v>1781</v>
      </c>
    </row>
    <row r="2523" spans="1:4">
      <c r="A2523" s="1" t="s">
        <v>6559</v>
      </c>
      <c r="B2523" s="1" t="s">
        <v>6675</v>
      </c>
      <c r="C2523" s="1" t="s">
        <v>38</v>
      </c>
      <c r="D2523" s="1" t="s">
        <v>1781</v>
      </c>
    </row>
    <row r="2524" spans="1:4">
      <c r="A2524" s="1" t="s">
        <v>6528</v>
      </c>
      <c r="B2524" s="1" t="s">
        <v>6676</v>
      </c>
      <c r="C2524" s="1" t="s">
        <v>38</v>
      </c>
      <c r="D2524" s="1" t="s">
        <v>1781</v>
      </c>
    </row>
    <row r="2525" spans="1:4">
      <c r="A2525" s="1" t="s">
        <v>6507</v>
      </c>
      <c r="B2525" s="1" t="s">
        <v>6677</v>
      </c>
      <c r="C2525" s="1" t="s">
        <v>38</v>
      </c>
      <c r="D2525" s="1" t="s">
        <v>1781</v>
      </c>
    </row>
    <row r="2526" spans="1:4">
      <c r="A2526" s="1" t="s">
        <v>6679</v>
      </c>
      <c r="B2526" s="1" t="s">
        <v>6678</v>
      </c>
      <c r="C2526" s="1"/>
      <c r="D2526" s="1" t="s">
        <v>1781</v>
      </c>
    </row>
    <row r="2527" spans="1:4">
      <c r="A2527" s="1" t="s">
        <v>6681</v>
      </c>
      <c r="B2527" s="1" t="s">
        <v>6680</v>
      </c>
      <c r="C2527" s="1" t="s">
        <v>38</v>
      </c>
      <c r="D2527" s="1" t="s">
        <v>1781</v>
      </c>
    </row>
    <row r="2528" spans="1:4">
      <c r="A2528" s="1" t="s">
        <v>6575</v>
      </c>
      <c r="B2528" s="1" t="s">
        <v>6682</v>
      </c>
      <c r="C2528" s="1" t="s">
        <v>38</v>
      </c>
      <c r="D2528" s="1" t="s">
        <v>1781</v>
      </c>
    </row>
    <row r="2529" spans="1:4">
      <c r="A2529" s="1" t="s">
        <v>6684</v>
      </c>
      <c r="B2529" s="1" t="s">
        <v>6683</v>
      </c>
      <c r="C2529" s="1" t="s">
        <v>38</v>
      </c>
      <c r="D2529" s="1" t="s">
        <v>1781</v>
      </c>
    </row>
    <row r="2530" spans="1:4">
      <c r="A2530" s="1" t="s">
        <v>6686</v>
      </c>
      <c r="B2530" s="1" t="s">
        <v>6685</v>
      </c>
      <c r="C2530" s="1" t="s">
        <v>38</v>
      </c>
      <c r="D2530" s="1" t="s">
        <v>1781</v>
      </c>
    </row>
    <row r="2531" spans="1:4">
      <c r="A2531" s="1" t="s">
        <v>6593</v>
      </c>
      <c r="B2531" s="1" t="s">
        <v>6687</v>
      </c>
      <c r="C2531" s="1" t="s">
        <v>38</v>
      </c>
      <c r="D2531" s="1" t="s">
        <v>1781</v>
      </c>
    </row>
    <row r="2532" spans="1:4">
      <c r="A2532" s="1" t="s">
        <v>6689</v>
      </c>
      <c r="B2532" s="1" t="s">
        <v>6688</v>
      </c>
      <c r="C2532" s="1" t="s">
        <v>38</v>
      </c>
      <c r="D2532" s="1" t="s">
        <v>1781</v>
      </c>
    </row>
    <row r="2533" spans="1:4">
      <c r="A2533" s="1" t="s">
        <v>6571</v>
      </c>
      <c r="B2533" s="1" t="s">
        <v>6690</v>
      </c>
      <c r="C2533" s="1" t="s">
        <v>38</v>
      </c>
      <c r="D2533" s="1" t="s">
        <v>1781</v>
      </c>
    </row>
    <row r="2534" spans="1:4">
      <c r="A2534" s="1" t="s">
        <v>6572</v>
      </c>
      <c r="B2534" s="1" t="s">
        <v>6691</v>
      </c>
      <c r="C2534" s="1" t="s">
        <v>38</v>
      </c>
      <c r="D2534" s="1" t="s">
        <v>1781</v>
      </c>
    </row>
    <row r="2535" spans="1:4">
      <c r="A2535" s="1" t="s">
        <v>6693</v>
      </c>
      <c r="B2535" s="1" t="s">
        <v>6692</v>
      </c>
      <c r="C2535" s="1" t="s">
        <v>38</v>
      </c>
      <c r="D2535" s="1" t="s">
        <v>1781</v>
      </c>
    </row>
    <row r="2536" spans="1:4">
      <c r="A2536" s="1" t="s">
        <v>6573</v>
      </c>
      <c r="B2536" s="1" t="s">
        <v>6694</v>
      </c>
      <c r="C2536" s="1" t="s">
        <v>38</v>
      </c>
      <c r="D2536" s="1" t="s">
        <v>1781</v>
      </c>
    </row>
    <row r="2537" spans="1:4">
      <c r="A2537" s="1" t="s">
        <v>6696</v>
      </c>
      <c r="B2537" s="1" t="s">
        <v>6695</v>
      </c>
      <c r="C2537" s="1" t="s">
        <v>38</v>
      </c>
      <c r="D2537" s="1" t="s">
        <v>1781</v>
      </c>
    </row>
    <row r="2538" spans="1:4">
      <c r="A2538" s="1" t="s">
        <v>6698</v>
      </c>
      <c r="B2538" s="1" t="s">
        <v>6697</v>
      </c>
      <c r="C2538" s="1" t="s">
        <v>38</v>
      </c>
      <c r="D2538" s="1" t="s">
        <v>1781</v>
      </c>
    </row>
    <row r="2539" spans="1:4">
      <c r="A2539" s="1" t="s">
        <v>6598</v>
      </c>
      <c r="B2539" s="1" t="s">
        <v>6699</v>
      </c>
      <c r="C2539" s="1" t="s">
        <v>38</v>
      </c>
      <c r="D2539" s="1" t="s">
        <v>1781</v>
      </c>
    </row>
    <row r="2540" spans="1:4">
      <c r="A2540" s="1" t="s">
        <v>1246</v>
      </c>
      <c r="B2540" s="1" t="s">
        <v>6700</v>
      </c>
      <c r="C2540" s="1" t="s">
        <v>38</v>
      </c>
      <c r="D2540" s="1" t="s">
        <v>1781</v>
      </c>
    </row>
    <row r="2541" spans="1:4">
      <c r="A2541" s="1" t="s">
        <v>6702</v>
      </c>
      <c r="B2541" s="1" t="s">
        <v>6701</v>
      </c>
      <c r="C2541" s="1" t="s">
        <v>38</v>
      </c>
      <c r="D2541" s="1" t="s">
        <v>1781</v>
      </c>
    </row>
    <row r="2542" spans="1:4">
      <c r="A2542" s="1" t="s">
        <v>6704</v>
      </c>
      <c r="B2542" s="1" t="s">
        <v>6703</v>
      </c>
      <c r="C2542" s="1" t="s">
        <v>38</v>
      </c>
      <c r="D2542" s="1" t="s">
        <v>1781</v>
      </c>
    </row>
    <row r="2543" spans="1:4">
      <c r="A2543" s="1" t="s">
        <v>1826</v>
      </c>
      <c r="B2543" s="1" t="s">
        <v>6705</v>
      </c>
      <c r="C2543" s="1" t="s">
        <v>38</v>
      </c>
      <c r="D2543" s="1" t="s">
        <v>1781</v>
      </c>
    </row>
    <row r="2544" spans="1:4">
      <c r="A2544" s="1" t="s">
        <v>6707</v>
      </c>
      <c r="B2544" s="1" t="s">
        <v>6706</v>
      </c>
      <c r="C2544" s="1" t="s">
        <v>38</v>
      </c>
      <c r="D2544" s="1" t="s">
        <v>1781</v>
      </c>
    </row>
    <row r="2545" spans="1:4">
      <c r="A2545" s="1" t="s">
        <v>180</v>
      </c>
      <c r="B2545" s="1" t="s">
        <v>6708</v>
      </c>
      <c r="C2545" s="1" t="s">
        <v>38</v>
      </c>
      <c r="D2545" s="1" t="s">
        <v>1781</v>
      </c>
    </row>
    <row r="2546" spans="1:4">
      <c r="A2546" s="1" t="s">
        <v>1821</v>
      </c>
      <c r="B2546" s="1" t="s">
        <v>6709</v>
      </c>
      <c r="C2546" s="1" t="s">
        <v>38</v>
      </c>
      <c r="D2546" s="1" t="s">
        <v>1781</v>
      </c>
    </row>
    <row r="2547" spans="1:4">
      <c r="A2547" s="1" t="s">
        <v>6711</v>
      </c>
      <c r="B2547" s="1" t="s">
        <v>6710</v>
      </c>
      <c r="C2547" s="1" t="s">
        <v>38</v>
      </c>
      <c r="D2547" s="1" t="s">
        <v>1781</v>
      </c>
    </row>
    <row r="2548" spans="1:4">
      <c r="A2548" s="1" t="s">
        <v>6713</v>
      </c>
      <c r="B2548" s="1" t="s">
        <v>6712</v>
      </c>
      <c r="C2548" s="1" t="s">
        <v>38</v>
      </c>
      <c r="D2548" s="1" t="s">
        <v>1781</v>
      </c>
    </row>
    <row r="2549" spans="1:4">
      <c r="A2549" s="1" t="s">
        <v>1822</v>
      </c>
      <c r="B2549" s="1" t="s">
        <v>6714</v>
      </c>
      <c r="C2549" s="1" t="s">
        <v>38</v>
      </c>
      <c r="D2549" s="1" t="s">
        <v>1781</v>
      </c>
    </row>
    <row r="2550" spans="1:4">
      <c r="A2550" s="1" t="s">
        <v>635</v>
      </c>
      <c r="B2550" s="1" t="s">
        <v>6715</v>
      </c>
      <c r="C2550" s="1" t="s">
        <v>38</v>
      </c>
      <c r="D2550" s="1" t="s">
        <v>1781</v>
      </c>
    </row>
    <row r="2551" spans="1:4">
      <c r="A2551" s="1" t="s">
        <v>6582</v>
      </c>
      <c r="B2551" s="1" t="s">
        <v>6716</v>
      </c>
      <c r="C2551" s="1" t="s">
        <v>38</v>
      </c>
      <c r="D2551" s="1" t="s">
        <v>1781</v>
      </c>
    </row>
    <row r="2552" spans="1:4">
      <c r="A2552" s="1" t="s">
        <v>6496</v>
      </c>
      <c r="B2552" s="1" t="s">
        <v>6717</v>
      </c>
      <c r="C2552" s="1" t="s">
        <v>38</v>
      </c>
      <c r="D2552" s="1" t="s">
        <v>1781</v>
      </c>
    </row>
    <row r="2553" spans="1:4">
      <c r="A2553" s="1" t="s">
        <v>6719</v>
      </c>
      <c r="B2553" s="1" t="s">
        <v>6718</v>
      </c>
      <c r="C2553" s="1" t="s">
        <v>38</v>
      </c>
      <c r="D2553" s="1" t="s">
        <v>1781</v>
      </c>
    </row>
    <row r="2554" spans="1:4">
      <c r="A2554" s="1" t="s">
        <v>6721</v>
      </c>
      <c r="B2554" s="1" t="s">
        <v>6720</v>
      </c>
      <c r="C2554" s="1" t="s">
        <v>38</v>
      </c>
      <c r="D2554" s="1" t="s">
        <v>1781</v>
      </c>
    </row>
    <row r="2555" spans="1:4">
      <c r="A2555" s="1" t="s">
        <v>6723</v>
      </c>
      <c r="B2555" s="1" t="s">
        <v>6722</v>
      </c>
      <c r="C2555" s="1" t="s">
        <v>38</v>
      </c>
      <c r="D2555" s="1" t="s">
        <v>1781</v>
      </c>
    </row>
    <row r="2556" spans="1:4">
      <c r="A2556" s="1" t="s">
        <v>1834</v>
      </c>
      <c r="B2556" s="1" t="s">
        <v>6724</v>
      </c>
      <c r="C2556" s="1" t="s">
        <v>38</v>
      </c>
      <c r="D2556" s="1" t="s">
        <v>1781</v>
      </c>
    </row>
    <row r="2557" spans="1:4">
      <c r="A2557" s="1" t="s">
        <v>288</v>
      </c>
      <c r="B2557" s="1" t="s">
        <v>6725</v>
      </c>
      <c r="C2557" s="1" t="s">
        <v>38</v>
      </c>
      <c r="D2557" s="1" t="s">
        <v>1781</v>
      </c>
    </row>
    <row r="2558" spans="1:4">
      <c r="A2558" s="1" t="s">
        <v>6602</v>
      </c>
      <c r="B2558" s="1" t="s">
        <v>6726</v>
      </c>
      <c r="C2558" s="1" t="s">
        <v>38</v>
      </c>
      <c r="D2558" s="1" t="s">
        <v>1781</v>
      </c>
    </row>
    <row r="2559" spans="1:4">
      <c r="A2559" s="1" t="s">
        <v>6561</v>
      </c>
      <c r="B2559" s="1" t="s">
        <v>6727</v>
      </c>
      <c r="C2559" s="1" t="s">
        <v>38</v>
      </c>
      <c r="D2559" s="1" t="s">
        <v>1781</v>
      </c>
    </row>
    <row r="2560" spans="1:4">
      <c r="A2560" s="1" t="s">
        <v>6535</v>
      </c>
      <c r="B2560" s="1" t="s">
        <v>6728</v>
      </c>
      <c r="C2560" s="1" t="s">
        <v>38</v>
      </c>
      <c r="D2560" s="1" t="s">
        <v>1781</v>
      </c>
    </row>
    <row r="2561" spans="1:4">
      <c r="A2561" s="1" t="s">
        <v>6504</v>
      </c>
      <c r="B2561" s="1" t="s">
        <v>6729</v>
      </c>
      <c r="C2561" s="1" t="s">
        <v>38</v>
      </c>
      <c r="D2561" s="1" t="s">
        <v>1781</v>
      </c>
    </row>
    <row r="2562" spans="1:4">
      <c r="A2562" s="1" t="s">
        <v>1845</v>
      </c>
      <c r="B2562" s="1" t="s">
        <v>6730</v>
      </c>
      <c r="C2562" s="1" t="s">
        <v>38</v>
      </c>
      <c r="D2562" s="1" t="s">
        <v>1781</v>
      </c>
    </row>
    <row r="2563" spans="1:4">
      <c r="A2563" s="1" t="s">
        <v>6542</v>
      </c>
      <c r="B2563" s="1" t="s">
        <v>6731</v>
      </c>
      <c r="C2563" s="1" t="s">
        <v>38</v>
      </c>
      <c r="D2563" s="1" t="s">
        <v>1781</v>
      </c>
    </row>
    <row r="2564" spans="1:4">
      <c r="A2564" s="1" t="s">
        <v>6527</v>
      </c>
      <c r="B2564" s="1" t="s">
        <v>6732</v>
      </c>
      <c r="C2564" s="1" t="s">
        <v>38</v>
      </c>
      <c r="D2564" s="1" t="s">
        <v>1781</v>
      </c>
    </row>
    <row r="2565" spans="1:4">
      <c r="A2565" s="1" t="s">
        <v>1240</v>
      </c>
      <c r="B2565" s="1" t="s">
        <v>6733</v>
      </c>
      <c r="C2565" s="1" t="s">
        <v>38</v>
      </c>
      <c r="D2565" s="1" t="s">
        <v>1781</v>
      </c>
    </row>
    <row r="2566" spans="1:4">
      <c r="A2566" s="1" t="s">
        <v>6735</v>
      </c>
      <c r="B2566" s="1" t="s">
        <v>6734</v>
      </c>
      <c r="C2566" s="1" t="s">
        <v>38</v>
      </c>
      <c r="D2566" s="1" t="s">
        <v>1781</v>
      </c>
    </row>
    <row r="2567" spans="1:4">
      <c r="A2567" s="1" t="s">
        <v>6549</v>
      </c>
      <c r="B2567" s="1" t="s">
        <v>6736</v>
      </c>
      <c r="C2567" s="1" t="s">
        <v>38</v>
      </c>
      <c r="D2567" s="1" t="s">
        <v>1781</v>
      </c>
    </row>
    <row r="2568" spans="1:4">
      <c r="A2568" s="1" t="s">
        <v>6546</v>
      </c>
      <c r="B2568" s="1" t="s">
        <v>6737</v>
      </c>
      <c r="C2568" s="1" t="s">
        <v>38</v>
      </c>
      <c r="D2568" s="1" t="s">
        <v>1781</v>
      </c>
    </row>
    <row r="2569" spans="1:4">
      <c r="A2569" s="1" t="s">
        <v>6739</v>
      </c>
      <c r="B2569" s="1" t="s">
        <v>6738</v>
      </c>
      <c r="C2569" s="1" t="s">
        <v>38</v>
      </c>
      <c r="D2569" s="1" t="s">
        <v>1781</v>
      </c>
    </row>
    <row r="2570" spans="1:4">
      <c r="A2570" s="1" t="s">
        <v>6548</v>
      </c>
      <c r="B2570" s="1" t="s">
        <v>6740</v>
      </c>
      <c r="C2570" s="1" t="s">
        <v>38</v>
      </c>
      <c r="D2570" s="1" t="s">
        <v>1781</v>
      </c>
    </row>
    <row r="2571" spans="1:4">
      <c r="A2571" s="1" t="s">
        <v>6544</v>
      </c>
      <c r="B2571" s="1" t="s">
        <v>6741</v>
      </c>
      <c r="C2571" s="1" t="s">
        <v>38</v>
      </c>
      <c r="D2571" s="1" t="s">
        <v>1781</v>
      </c>
    </row>
    <row r="2572" spans="1:4">
      <c r="A2572" s="1" t="s">
        <v>6596</v>
      </c>
      <c r="B2572" s="1" t="s">
        <v>6742</v>
      </c>
      <c r="C2572" s="1" t="s">
        <v>38</v>
      </c>
      <c r="D2572" s="1" t="s">
        <v>1781</v>
      </c>
    </row>
    <row r="2573" spans="1:4">
      <c r="A2573" s="1" t="s">
        <v>1783</v>
      </c>
      <c r="B2573" s="1" t="s">
        <v>6743</v>
      </c>
      <c r="C2573" s="1" t="s">
        <v>38</v>
      </c>
      <c r="D2573" s="1" t="s">
        <v>1781</v>
      </c>
    </row>
    <row r="2574" spans="1:4">
      <c r="A2574" s="1" t="s">
        <v>6745</v>
      </c>
      <c r="B2574" s="1" t="s">
        <v>6744</v>
      </c>
      <c r="C2574" s="1" t="s">
        <v>38</v>
      </c>
      <c r="D2574" s="1" t="s">
        <v>1781</v>
      </c>
    </row>
    <row r="2575" spans="1:4">
      <c r="A2575" s="1" t="s">
        <v>6747</v>
      </c>
      <c r="B2575" s="1" t="s">
        <v>6746</v>
      </c>
      <c r="C2575" s="1" t="s">
        <v>38</v>
      </c>
      <c r="D2575" s="1" t="s">
        <v>1781</v>
      </c>
    </row>
    <row r="2576" spans="1:4">
      <c r="A2576" s="1" t="s">
        <v>6538</v>
      </c>
      <c r="B2576" s="1" t="s">
        <v>6748</v>
      </c>
      <c r="C2576" s="1" t="s">
        <v>38</v>
      </c>
      <c r="D2576" s="1" t="s">
        <v>1781</v>
      </c>
    </row>
    <row r="2577" spans="1:4">
      <c r="A2577" s="1" t="s">
        <v>6547</v>
      </c>
      <c r="B2577" s="1" t="s">
        <v>6749</v>
      </c>
      <c r="C2577" s="1" t="s">
        <v>38</v>
      </c>
      <c r="D2577" s="1" t="s">
        <v>1781</v>
      </c>
    </row>
    <row r="2578" spans="1:4">
      <c r="A2578" s="1" t="s">
        <v>6509</v>
      </c>
      <c r="B2578" s="1" t="s">
        <v>6750</v>
      </c>
      <c r="C2578" s="1" t="s">
        <v>38</v>
      </c>
      <c r="D2578" s="1" t="s">
        <v>1781</v>
      </c>
    </row>
    <row r="2579" spans="1:4">
      <c r="A2579" s="1" t="s">
        <v>6574</v>
      </c>
      <c r="B2579" s="1" t="s">
        <v>6751</v>
      </c>
      <c r="C2579" s="1" t="s">
        <v>38</v>
      </c>
      <c r="D2579" s="1" t="s">
        <v>1781</v>
      </c>
    </row>
    <row r="2580" spans="1:4">
      <c r="A2580" s="1" t="s">
        <v>6753</v>
      </c>
      <c r="B2580" s="1" t="s">
        <v>6752</v>
      </c>
      <c r="C2580" s="1" t="s">
        <v>38</v>
      </c>
      <c r="D2580" s="1" t="s">
        <v>1781</v>
      </c>
    </row>
    <row r="2581" spans="1:4">
      <c r="A2581" s="1" t="s">
        <v>6501</v>
      </c>
      <c r="B2581" s="1" t="s">
        <v>6754</v>
      </c>
      <c r="C2581" s="1" t="s">
        <v>38</v>
      </c>
      <c r="D2581" s="1" t="s">
        <v>1781</v>
      </c>
    </row>
    <row r="2582" spans="1:4">
      <c r="A2582" s="1" t="s">
        <v>6570</v>
      </c>
      <c r="B2582" s="1" t="s">
        <v>6755</v>
      </c>
      <c r="C2582" s="1" t="s">
        <v>38</v>
      </c>
      <c r="D2582" s="1" t="s">
        <v>1781</v>
      </c>
    </row>
    <row r="2583" spans="1:4">
      <c r="A2583" s="1" t="s">
        <v>6757</v>
      </c>
      <c r="B2583" s="1" t="s">
        <v>6756</v>
      </c>
      <c r="C2583" s="1" t="s">
        <v>38</v>
      </c>
      <c r="D2583" s="1" t="s">
        <v>1781</v>
      </c>
    </row>
    <row r="2584" spans="1:4">
      <c r="A2584" s="1" t="s">
        <v>6533</v>
      </c>
      <c r="B2584" s="1" t="s">
        <v>6758</v>
      </c>
      <c r="C2584" s="1" t="s">
        <v>38</v>
      </c>
      <c r="D2584" s="1" t="s">
        <v>1781</v>
      </c>
    </row>
    <row r="2585" spans="1:4">
      <c r="A2585" s="1" t="s">
        <v>6518</v>
      </c>
      <c r="B2585" s="1" t="s">
        <v>6759</v>
      </c>
      <c r="C2585" s="1" t="s">
        <v>38</v>
      </c>
      <c r="D2585" s="1" t="s">
        <v>1781</v>
      </c>
    </row>
    <row r="2586" spans="1:4">
      <c r="A2586" s="1" t="s">
        <v>6585</v>
      </c>
      <c r="B2586" s="1" t="s">
        <v>6760</v>
      </c>
      <c r="C2586" s="1" t="s">
        <v>38</v>
      </c>
      <c r="D2586" s="1" t="s">
        <v>1781</v>
      </c>
    </row>
    <row r="2587" spans="1:4">
      <c r="A2587" s="1" t="s">
        <v>6558</v>
      </c>
      <c r="B2587" s="1" t="s">
        <v>6761</v>
      </c>
      <c r="C2587" s="1" t="s">
        <v>38</v>
      </c>
      <c r="D2587" s="1" t="s">
        <v>1781</v>
      </c>
    </row>
    <row r="2588" spans="1:4">
      <c r="A2588" s="1" t="s">
        <v>6763</v>
      </c>
      <c r="B2588" s="1" t="s">
        <v>6762</v>
      </c>
      <c r="C2588" s="1" t="s">
        <v>38</v>
      </c>
      <c r="D2588" s="1" t="s">
        <v>1781</v>
      </c>
    </row>
    <row r="2589" spans="1:4">
      <c r="A2589" s="1" t="s">
        <v>6566</v>
      </c>
      <c r="B2589" s="1" t="s">
        <v>6764</v>
      </c>
      <c r="C2589" s="1" t="s">
        <v>38</v>
      </c>
      <c r="D2589" s="1" t="s">
        <v>1781</v>
      </c>
    </row>
    <row r="2590" spans="1:4">
      <c r="A2590" s="1" t="s">
        <v>6766</v>
      </c>
      <c r="B2590" s="1" t="s">
        <v>6765</v>
      </c>
      <c r="C2590" s="1" t="s">
        <v>38</v>
      </c>
      <c r="D2590" s="1" t="s">
        <v>1781</v>
      </c>
    </row>
    <row r="2591" spans="1:4">
      <c r="A2591" s="1" t="s">
        <v>6531</v>
      </c>
      <c r="B2591" s="1" t="s">
        <v>6767</v>
      </c>
      <c r="C2591" s="1" t="s">
        <v>38</v>
      </c>
      <c r="D2591" s="1" t="s">
        <v>1781</v>
      </c>
    </row>
    <row r="2592" spans="1:4">
      <c r="A2592" s="1" t="s">
        <v>6769</v>
      </c>
      <c r="B2592" s="1" t="s">
        <v>6768</v>
      </c>
      <c r="C2592" s="1" t="s">
        <v>38</v>
      </c>
      <c r="D2592" s="1" t="s">
        <v>1781</v>
      </c>
    </row>
    <row r="2593" spans="1:4">
      <c r="A2593" s="1" t="s">
        <v>6771</v>
      </c>
      <c r="B2593" s="1" t="s">
        <v>6770</v>
      </c>
      <c r="C2593" s="1" t="s">
        <v>38</v>
      </c>
      <c r="D2593" s="1" t="s">
        <v>1781</v>
      </c>
    </row>
    <row r="2594" spans="1:4">
      <c r="A2594" s="1" t="s">
        <v>6603</v>
      </c>
      <c r="B2594" s="1" t="s">
        <v>6772</v>
      </c>
      <c r="C2594" s="1" t="s">
        <v>38</v>
      </c>
      <c r="D2594" s="1" t="s">
        <v>1781</v>
      </c>
    </row>
    <row r="2595" spans="1:4">
      <c r="A2595" s="1" t="s">
        <v>6774</v>
      </c>
      <c r="B2595" s="1" t="s">
        <v>6773</v>
      </c>
      <c r="C2595" s="1" t="s">
        <v>38</v>
      </c>
      <c r="D2595" s="1" t="s">
        <v>1781</v>
      </c>
    </row>
    <row r="2596" spans="1:4">
      <c r="A2596" s="1" t="s">
        <v>6776</v>
      </c>
      <c r="B2596" s="1" t="s">
        <v>6775</v>
      </c>
      <c r="C2596" s="1" t="s">
        <v>38</v>
      </c>
      <c r="D2596" s="1" t="s">
        <v>1781</v>
      </c>
    </row>
    <row r="2597" spans="1:4">
      <c r="A2597" s="1" t="s">
        <v>6583</v>
      </c>
      <c r="B2597" s="1" t="s">
        <v>6777</v>
      </c>
      <c r="C2597" s="1" t="s">
        <v>38</v>
      </c>
      <c r="D2597" s="1" t="s">
        <v>1781</v>
      </c>
    </row>
    <row r="2598" spans="1:4">
      <c r="A2598" s="1" t="s">
        <v>6779</v>
      </c>
      <c r="B2598" s="1" t="s">
        <v>6778</v>
      </c>
      <c r="C2598" s="1" t="s">
        <v>38</v>
      </c>
      <c r="D2598" s="1" t="s">
        <v>1781</v>
      </c>
    </row>
    <row r="2599" spans="1:4">
      <c r="A2599" s="1" t="s">
        <v>6537</v>
      </c>
      <c r="B2599" s="1" t="s">
        <v>6780</v>
      </c>
      <c r="C2599" s="1" t="s">
        <v>38</v>
      </c>
      <c r="D2599" s="1" t="s">
        <v>1781</v>
      </c>
    </row>
    <row r="2600" spans="1:4">
      <c r="A2600" s="1" t="s">
        <v>6541</v>
      </c>
      <c r="B2600" s="1" t="s">
        <v>6781</v>
      </c>
      <c r="C2600" s="1" t="s">
        <v>38</v>
      </c>
      <c r="D2600" s="1" t="s">
        <v>1781</v>
      </c>
    </row>
    <row r="2601" spans="1:4">
      <c r="A2601" s="1" t="s">
        <v>6545</v>
      </c>
      <c r="B2601" s="1" t="s">
        <v>6782</v>
      </c>
      <c r="C2601" s="1" t="s">
        <v>38</v>
      </c>
      <c r="D2601" s="1" t="s">
        <v>1781</v>
      </c>
    </row>
    <row r="2602" spans="1:4">
      <c r="A2602" s="1" t="s">
        <v>6522</v>
      </c>
      <c r="B2602" s="1" t="s">
        <v>6783</v>
      </c>
      <c r="C2602" s="1" t="s">
        <v>38</v>
      </c>
      <c r="D2602" s="1" t="s">
        <v>1781</v>
      </c>
    </row>
    <row r="2603" spans="1:4">
      <c r="A2603" s="1" t="s">
        <v>6785</v>
      </c>
      <c r="B2603" s="1" t="s">
        <v>6784</v>
      </c>
      <c r="C2603" s="1" t="s">
        <v>38</v>
      </c>
      <c r="D2603" s="1" t="s">
        <v>1781</v>
      </c>
    </row>
    <row r="2604" spans="1:4">
      <c r="A2604" s="1" t="s">
        <v>6552</v>
      </c>
      <c r="B2604" s="1" t="s">
        <v>6786</v>
      </c>
      <c r="C2604" s="1" t="s">
        <v>38</v>
      </c>
      <c r="D2604" s="1" t="s">
        <v>1781</v>
      </c>
    </row>
    <row r="2605" spans="1:4">
      <c r="A2605" s="1" t="s">
        <v>6500</v>
      </c>
      <c r="B2605" s="1" t="s">
        <v>6787</v>
      </c>
      <c r="C2605" s="1" t="s">
        <v>38</v>
      </c>
      <c r="D2605" s="1" t="s">
        <v>1781</v>
      </c>
    </row>
    <row r="2606" spans="1:4">
      <c r="A2606" s="1" t="s">
        <v>6789</v>
      </c>
      <c r="B2606" s="1" t="s">
        <v>6788</v>
      </c>
      <c r="C2606" s="1" t="s">
        <v>38</v>
      </c>
      <c r="D2606" s="1" t="s">
        <v>1781</v>
      </c>
    </row>
    <row r="2607" spans="1:4">
      <c r="A2607" s="1" t="s">
        <v>6594</v>
      </c>
      <c r="B2607" s="1" t="s">
        <v>6790</v>
      </c>
      <c r="C2607" s="1" t="s">
        <v>38</v>
      </c>
      <c r="D2607" s="1" t="s">
        <v>1781</v>
      </c>
    </row>
    <row r="2608" spans="1:4">
      <c r="A2608" s="1" t="s">
        <v>6506</v>
      </c>
      <c r="B2608" s="1" t="s">
        <v>6791</v>
      </c>
      <c r="C2608" s="1" t="s">
        <v>38</v>
      </c>
      <c r="D2608" s="1" t="s">
        <v>1781</v>
      </c>
    </row>
    <row r="2609" spans="1:4">
      <c r="A2609" s="1" t="s">
        <v>6793</v>
      </c>
      <c r="B2609" s="1" t="s">
        <v>6792</v>
      </c>
      <c r="C2609" s="1" t="s">
        <v>38</v>
      </c>
      <c r="D2609" s="1" t="s">
        <v>1781</v>
      </c>
    </row>
    <row r="2610" spans="1:4">
      <c r="A2610" s="1" t="s">
        <v>6795</v>
      </c>
      <c r="B2610" s="1" t="s">
        <v>6794</v>
      </c>
      <c r="C2610" s="1" t="s">
        <v>38</v>
      </c>
      <c r="D2610" s="1" t="s">
        <v>1781</v>
      </c>
    </row>
    <row r="2611" spans="1:4">
      <c r="A2611" s="1" t="s">
        <v>6797</v>
      </c>
      <c r="B2611" s="1" t="s">
        <v>6796</v>
      </c>
      <c r="C2611" s="1" t="s">
        <v>38</v>
      </c>
      <c r="D2611" s="1" t="s">
        <v>1781</v>
      </c>
    </row>
    <row r="2612" spans="1:4">
      <c r="A2612" s="1" t="s">
        <v>6563</v>
      </c>
      <c r="B2612" s="1" t="s">
        <v>6798</v>
      </c>
      <c r="C2612" s="1" t="s">
        <v>38</v>
      </c>
      <c r="D2612" s="1" t="s">
        <v>1781</v>
      </c>
    </row>
    <row r="2613" spans="1:4">
      <c r="A2613" s="1" t="s">
        <v>6565</v>
      </c>
      <c r="B2613" s="1" t="s">
        <v>6799</v>
      </c>
      <c r="C2613" s="1" t="s">
        <v>38</v>
      </c>
      <c r="D2613" s="1" t="s">
        <v>1781</v>
      </c>
    </row>
    <row r="2614" spans="1:4">
      <c r="A2614" s="1" t="s">
        <v>1406</v>
      </c>
      <c r="B2614" s="1" t="s">
        <v>6800</v>
      </c>
      <c r="C2614" s="1" t="s">
        <v>38</v>
      </c>
      <c r="D2614" s="1" t="s">
        <v>1781</v>
      </c>
    </row>
    <row r="2615" spans="1:4">
      <c r="A2615" s="1" t="s">
        <v>6802</v>
      </c>
      <c r="B2615" s="1" t="s">
        <v>6801</v>
      </c>
      <c r="C2615" s="1" t="s">
        <v>38</v>
      </c>
      <c r="D2615" s="1" t="s">
        <v>1781</v>
      </c>
    </row>
    <row r="2616" spans="1:4">
      <c r="A2616" s="1" t="s">
        <v>6577</v>
      </c>
      <c r="B2616" s="1" t="s">
        <v>6803</v>
      </c>
      <c r="C2616" s="1" t="s">
        <v>38</v>
      </c>
      <c r="D2616" s="1" t="s">
        <v>1781</v>
      </c>
    </row>
    <row r="2617" spans="1:4">
      <c r="A2617" s="1" t="s">
        <v>6515</v>
      </c>
      <c r="B2617" s="1" t="s">
        <v>6804</v>
      </c>
      <c r="C2617" s="1" t="s">
        <v>38</v>
      </c>
      <c r="D2617" s="1" t="s">
        <v>1781</v>
      </c>
    </row>
    <row r="2618" spans="1:4">
      <c r="A2618" s="1" t="s">
        <v>6568</v>
      </c>
      <c r="B2618" s="1" t="s">
        <v>6805</v>
      </c>
      <c r="C2618" s="1" t="s">
        <v>38</v>
      </c>
      <c r="D2618" s="1" t="s">
        <v>1781</v>
      </c>
    </row>
    <row r="2619" spans="1:4">
      <c r="A2619" s="1" t="s">
        <v>6576</v>
      </c>
      <c r="B2619" s="1" t="s">
        <v>6806</v>
      </c>
      <c r="C2619" s="1" t="s">
        <v>38</v>
      </c>
      <c r="D2619" s="1" t="s">
        <v>1781</v>
      </c>
    </row>
    <row r="2620" spans="1:4">
      <c r="A2620" s="1" t="s">
        <v>1370</v>
      </c>
      <c r="B2620" s="1" t="s">
        <v>6807</v>
      </c>
      <c r="C2620" s="1" t="s">
        <v>38</v>
      </c>
      <c r="D2620" s="1" t="s">
        <v>1781</v>
      </c>
    </row>
    <row r="2621" spans="1:4">
      <c r="A2621" s="1" t="s">
        <v>6601</v>
      </c>
      <c r="B2621" s="1" t="s">
        <v>6808</v>
      </c>
      <c r="C2621" s="1" t="s">
        <v>38</v>
      </c>
      <c r="D2621" s="1" t="s">
        <v>1781</v>
      </c>
    </row>
    <row r="2622" spans="1:4">
      <c r="A2622" s="1" t="s">
        <v>142</v>
      </c>
      <c r="B2622" s="1" t="s">
        <v>6809</v>
      </c>
      <c r="C2622" s="1" t="s">
        <v>38</v>
      </c>
      <c r="D2622" s="1" t="s">
        <v>1781</v>
      </c>
    </row>
    <row r="2623" spans="1:4">
      <c r="A2623" s="1" t="s">
        <v>812</v>
      </c>
      <c r="B2623" s="1" t="s">
        <v>6810</v>
      </c>
      <c r="C2623" s="1" t="s">
        <v>38</v>
      </c>
      <c r="D2623" s="1" t="s">
        <v>1781</v>
      </c>
    </row>
    <row r="2624" spans="1:4">
      <c r="A2624" s="1" t="s">
        <v>6605</v>
      </c>
      <c r="B2624" s="1" t="s">
        <v>6811</v>
      </c>
      <c r="C2624" s="1" t="s">
        <v>38</v>
      </c>
      <c r="D2624" s="1" t="s">
        <v>1781</v>
      </c>
    </row>
    <row r="2625" spans="1:4">
      <c r="A2625" s="1" t="s">
        <v>6599</v>
      </c>
      <c r="B2625" s="1" t="s">
        <v>6812</v>
      </c>
      <c r="C2625" s="1" t="s">
        <v>38</v>
      </c>
      <c r="D2625" s="1" t="s">
        <v>1781</v>
      </c>
    </row>
    <row r="2626" spans="1:4">
      <c r="A2626" s="1" t="s">
        <v>6814</v>
      </c>
      <c r="B2626" s="1" t="s">
        <v>6813</v>
      </c>
      <c r="C2626" s="1" t="s">
        <v>38</v>
      </c>
      <c r="D2626" s="1" t="s">
        <v>1781</v>
      </c>
    </row>
    <row r="2627" spans="1:4">
      <c r="A2627" s="1" t="s">
        <v>6816</v>
      </c>
      <c r="B2627" s="1" t="s">
        <v>6815</v>
      </c>
      <c r="C2627" s="1" t="s">
        <v>38</v>
      </c>
      <c r="D2627" s="1" t="s">
        <v>1781</v>
      </c>
    </row>
    <row r="2628" spans="1:4">
      <c r="A2628" s="1" t="s">
        <v>6562</v>
      </c>
      <c r="B2628" s="1" t="s">
        <v>6817</v>
      </c>
      <c r="C2628" s="1" t="s">
        <v>38</v>
      </c>
      <c r="D2628" s="1" t="s">
        <v>1781</v>
      </c>
    </row>
    <row r="2629" spans="1:4">
      <c r="A2629" s="1" t="s">
        <v>6567</v>
      </c>
      <c r="B2629" s="1" t="s">
        <v>6818</v>
      </c>
      <c r="C2629" s="1" t="s">
        <v>38</v>
      </c>
      <c r="D2629" s="1" t="s">
        <v>1781</v>
      </c>
    </row>
    <row r="2630" spans="1:4">
      <c r="A2630" s="1" t="s">
        <v>6597</v>
      </c>
      <c r="B2630" s="1" t="s">
        <v>6819</v>
      </c>
      <c r="C2630" s="1" t="s">
        <v>38</v>
      </c>
      <c r="D2630" s="1" t="s">
        <v>1781</v>
      </c>
    </row>
    <row r="2631" spans="1:4">
      <c r="A2631" s="1" t="s">
        <v>1827</v>
      </c>
      <c r="B2631" s="1" t="s">
        <v>6820</v>
      </c>
      <c r="C2631" s="1" t="s">
        <v>38</v>
      </c>
      <c r="D2631" s="1" t="s">
        <v>1781</v>
      </c>
    </row>
    <row r="2632" spans="1:4">
      <c r="A2632" s="1" t="s">
        <v>6519</v>
      </c>
      <c r="B2632" s="1" t="s">
        <v>6821</v>
      </c>
      <c r="C2632" s="1" t="s">
        <v>38</v>
      </c>
      <c r="D2632" s="1" t="s">
        <v>1781</v>
      </c>
    </row>
    <row r="2633" spans="1:4">
      <c r="A2633" s="1" t="s">
        <v>1842</v>
      </c>
      <c r="B2633" s="1" t="s">
        <v>6822</v>
      </c>
      <c r="C2633" s="1"/>
      <c r="D2633" s="1" t="s">
        <v>1781</v>
      </c>
    </row>
    <row r="2634" spans="1:4">
      <c r="A2634" s="1" t="s">
        <v>6824</v>
      </c>
      <c r="B2634" s="1" t="s">
        <v>6823</v>
      </c>
      <c r="C2634" s="1" t="s">
        <v>38</v>
      </c>
      <c r="D2634" s="1" t="s">
        <v>1781</v>
      </c>
    </row>
    <row r="2635" spans="1:4">
      <c r="A2635" s="1" t="s">
        <v>1179</v>
      </c>
      <c r="B2635" s="1" t="s">
        <v>6825</v>
      </c>
      <c r="C2635" s="1" t="s">
        <v>38</v>
      </c>
      <c r="D2635" s="1" t="s">
        <v>1781</v>
      </c>
    </row>
    <row r="2636" spans="1:4">
      <c r="A2636" s="1" t="s">
        <v>6530</v>
      </c>
      <c r="B2636" s="1" t="s">
        <v>6826</v>
      </c>
      <c r="C2636" s="1" t="s">
        <v>38</v>
      </c>
      <c r="D2636" s="1" t="s">
        <v>1781</v>
      </c>
    </row>
    <row r="2637" spans="1:4">
      <c r="A2637" s="1" t="s">
        <v>6553</v>
      </c>
      <c r="B2637" s="1" t="s">
        <v>6827</v>
      </c>
      <c r="C2637" s="1" t="s">
        <v>38</v>
      </c>
      <c r="D2637" s="1" t="s">
        <v>1781</v>
      </c>
    </row>
    <row r="2638" spans="1:4">
      <c r="A2638" s="1" t="s">
        <v>6829</v>
      </c>
      <c r="B2638" s="1" t="s">
        <v>6828</v>
      </c>
      <c r="C2638" s="1" t="s">
        <v>38</v>
      </c>
      <c r="D2638" s="1" t="s">
        <v>1781</v>
      </c>
    </row>
    <row r="2639" spans="1:4">
      <c r="A2639" s="1" t="s">
        <v>285</v>
      </c>
      <c r="B2639" s="1" t="s">
        <v>6830</v>
      </c>
      <c r="C2639" s="1" t="s">
        <v>38</v>
      </c>
      <c r="D2639" s="1" t="s">
        <v>1781</v>
      </c>
    </row>
    <row r="2640" spans="1:4">
      <c r="A2640" s="1" t="s">
        <v>1837</v>
      </c>
      <c r="B2640" s="1" t="s">
        <v>6831</v>
      </c>
      <c r="C2640" s="1" t="s">
        <v>38</v>
      </c>
      <c r="D2640" s="1" t="s">
        <v>1781</v>
      </c>
    </row>
    <row r="2641" spans="1:4">
      <c r="A2641" s="1" t="s">
        <v>1848</v>
      </c>
      <c r="B2641" s="1" t="s">
        <v>6832</v>
      </c>
      <c r="C2641" s="1" t="s">
        <v>38</v>
      </c>
      <c r="D2641" s="1" t="s">
        <v>1781</v>
      </c>
    </row>
    <row r="2642" spans="1:4">
      <c r="A2642" s="1" t="s">
        <v>1835</v>
      </c>
      <c r="B2642" s="1" t="s">
        <v>6833</v>
      </c>
      <c r="C2642" s="1" t="s">
        <v>38</v>
      </c>
      <c r="D2642" s="1" t="s">
        <v>1781</v>
      </c>
    </row>
    <row r="2643" spans="1:4">
      <c r="A2643" s="1" t="s">
        <v>1196</v>
      </c>
      <c r="B2643" s="1" t="s">
        <v>6834</v>
      </c>
      <c r="C2643" s="1" t="s">
        <v>38</v>
      </c>
      <c r="D2643" s="1" t="s">
        <v>1781</v>
      </c>
    </row>
    <row r="2644" spans="1:4">
      <c r="A2644" s="1" t="s">
        <v>1170</v>
      </c>
      <c r="B2644" s="1" t="s">
        <v>6835</v>
      </c>
      <c r="C2644" s="1" t="s">
        <v>38</v>
      </c>
      <c r="D2644" s="1" t="s">
        <v>1781</v>
      </c>
    </row>
    <row r="2645" spans="1:4">
      <c r="A2645" s="1" t="s">
        <v>1154</v>
      </c>
      <c r="B2645" s="1" t="s">
        <v>6836</v>
      </c>
      <c r="C2645" s="1" t="s">
        <v>38</v>
      </c>
      <c r="D2645" s="1" t="s">
        <v>1781</v>
      </c>
    </row>
    <row r="2646" spans="1:4">
      <c r="A2646" s="1" t="s">
        <v>432</v>
      </c>
      <c r="B2646" s="1" t="s">
        <v>6837</v>
      </c>
      <c r="C2646" s="1" t="s">
        <v>38</v>
      </c>
      <c r="D2646" s="1" t="s">
        <v>1781</v>
      </c>
    </row>
    <row r="2647" spans="1:4">
      <c r="A2647" s="1" t="s">
        <v>6839</v>
      </c>
      <c r="B2647" s="1" t="s">
        <v>6838</v>
      </c>
      <c r="C2647" s="1" t="s">
        <v>38</v>
      </c>
      <c r="D2647" s="1" t="s">
        <v>1781</v>
      </c>
    </row>
    <row r="2648" spans="1:4">
      <c r="A2648" s="1" t="s">
        <v>6525</v>
      </c>
      <c r="B2648" s="1" t="s">
        <v>6840</v>
      </c>
      <c r="C2648" s="1" t="s">
        <v>38</v>
      </c>
      <c r="D2648" s="1" t="s">
        <v>1781</v>
      </c>
    </row>
    <row r="2649" spans="1:4">
      <c r="A2649" s="1" t="s">
        <v>6579</v>
      </c>
      <c r="B2649" s="1" t="s">
        <v>6841</v>
      </c>
      <c r="C2649" s="1" t="s">
        <v>38</v>
      </c>
      <c r="D2649" s="1" t="s">
        <v>1781</v>
      </c>
    </row>
    <row r="2650" spans="1:4">
      <c r="A2650" s="1" t="s">
        <v>1830</v>
      </c>
      <c r="B2650" s="1" t="s">
        <v>6842</v>
      </c>
      <c r="C2650" s="1" t="s">
        <v>38</v>
      </c>
      <c r="D2650" s="1" t="s">
        <v>1781</v>
      </c>
    </row>
    <row r="2651" spans="1:4">
      <c r="A2651" s="1" t="s">
        <v>6524</v>
      </c>
      <c r="B2651" s="1" t="s">
        <v>6843</v>
      </c>
      <c r="C2651" s="1" t="s">
        <v>38</v>
      </c>
      <c r="D2651" s="1" t="s">
        <v>1781</v>
      </c>
    </row>
    <row r="2652" spans="1:4">
      <c r="A2652" s="1" t="s">
        <v>6845</v>
      </c>
      <c r="B2652" s="1" t="s">
        <v>6844</v>
      </c>
      <c r="C2652" s="1" t="s">
        <v>38</v>
      </c>
      <c r="D2652" s="1" t="s">
        <v>1781</v>
      </c>
    </row>
    <row r="2653" spans="1:4">
      <c r="A2653" s="1" t="s">
        <v>6514</v>
      </c>
      <c r="B2653" s="1" t="s">
        <v>6846</v>
      </c>
      <c r="C2653" s="1" t="s">
        <v>38</v>
      </c>
      <c r="D2653" s="1" t="s">
        <v>1781</v>
      </c>
    </row>
    <row r="2654" spans="1:4">
      <c r="A2654" s="1" t="s">
        <v>6554</v>
      </c>
      <c r="B2654" s="1" t="s">
        <v>6847</v>
      </c>
      <c r="C2654" s="1" t="s">
        <v>38</v>
      </c>
      <c r="D2654" s="1" t="s">
        <v>1781</v>
      </c>
    </row>
    <row r="2655" spans="1:4">
      <c r="A2655" s="1" t="s">
        <v>1850</v>
      </c>
      <c r="B2655" s="1" t="s">
        <v>6848</v>
      </c>
      <c r="C2655" s="1" t="s">
        <v>38</v>
      </c>
      <c r="D2655" s="1" t="s">
        <v>1781</v>
      </c>
    </row>
    <row r="2656" spans="1:4">
      <c r="A2656" s="1" t="s">
        <v>244</v>
      </c>
      <c r="B2656" s="1" t="s">
        <v>6849</v>
      </c>
      <c r="C2656" s="1" t="s">
        <v>38</v>
      </c>
      <c r="D2656" s="1" t="s">
        <v>1781</v>
      </c>
    </row>
    <row r="2657" spans="1:4">
      <c r="A2657" s="1" t="s">
        <v>6551</v>
      </c>
      <c r="B2657" s="1" t="s">
        <v>6850</v>
      </c>
      <c r="C2657" s="1" t="s">
        <v>38</v>
      </c>
      <c r="D2657" s="1" t="s">
        <v>1781</v>
      </c>
    </row>
    <row r="2658" spans="1:4">
      <c r="A2658" s="1" t="s">
        <v>1150</v>
      </c>
      <c r="B2658" s="1" t="s">
        <v>6851</v>
      </c>
      <c r="C2658" s="1" t="s">
        <v>38</v>
      </c>
      <c r="D2658" s="1" t="s">
        <v>1781</v>
      </c>
    </row>
    <row r="2659" spans="1:4">
      <c r="A2659" s="1" t="s">
        <v>1145</v>
      </c>
      <c r="B2659" s="1" t="s">
        <v>6852</v>
      </c>
      <c r="C2659" s="1" t="s">
        <v>38</v>
      </c>
      <c r="D2659" s="1" t="s">
        <v>1781</v>
      </c>
    </row>
    <row r="2660" spans="1:4">
      <c r="A2660" s="1" t="s">
        <v>1127</v>
      </c>
      <c r="B2660" s="1" t="s">
        <v>6853</v>
      </c>
      <c r="C2660" s="1" t="s">
        <v>38</v>
      </c>
      <c r="D2660" s="1" t="s">
        <v>1781</v>
      </c>
    </row>
    <row r="2661" spans="1:4">
      <c r="A2661" s="1" t="s">
        <v>6855</v>
      </c>
      <c r="B2661" s="1" t="s">
        <v>6854</v>
      </c>
      <c r="C2661" s="1" t="s">
        <v>38</v>
      </c>
      <c r="D2661" s="1" t="s">
        <v>1781</v>
      </c>
    </row>
    <row r="2662" spans="1:4">
      <c r="A2662" s="1" t="s">
        <v>6555</v>
      </c>
      <c r="B2662" s="1" t="s">
        <v>6856</v>
      </c>
      <c r="C2662" s="1" t="s">
        <v>38</v>
      </c>
      <c r="D2662" s="1" t="s">
        <v>1781</v>
      </c>
    </row>
    <row r="2663" spans="1:4">
      <c r="A2663" s="1" t="s">
        <v>6536</v>
      </c>
      <c r="B2663" s="1" t="s">
        <v>6857</v>
      </c>
      <c r="C2663" s="1" t="s">
        <v>38</v>
      </c>
      <c r="D2663" s="1" t="s">
        <v>1781</v>
      </c>
    </row>
    <row r="2664" spans="1:4">
      <c r="A2664" s="1" t="s">
        <v>6580</v>
      </c>
      <c r="B2664" s="1" t="s">
        <v>6858</v>
      </c>
      <c r="C2664" s="1" t="s">
        <v>38</v>
      </c>
      <c r="D2664" s="1" t="s">
        <v>1781</v>
      </c>
    </row>
    <row r="2665" spans="1:4">
      <c r="A2665" s="1" t="s">
        <v>6860</v>
      </c>
      <c r="B2665" s="1" t="s">
        <v>6859</v>
      </c>
      <c r="C2665" s="1" t="s">
        <v>38</v>
      </c>
      <c r="D2665" s="1" t="s">
        <v>1781</v>
      </c>
    </row>
    <row r="2666" spans="1:4">
      <c r="A2666" s="1" t="s">
        <v>6862</v>
      </c>
      <c r="B2666" s="1" t="s">
        <v>6861</v>
      </c>
      <c r="C2666" s="1" t="s">
        <v>38</v>
      </c>
      <c r="D2666" s="1" t="s">
        <v>1781</v>
      </c>
    </row>
    <row r="2667" spans="1:4">
      <c r="A2667" s="1" t="s">
        <v>1793</v>
      </c>
      <c r="B2667" s="1" t="s">
        <v>6863</v>
      </c>
      <c r="C2667" s="1" t="s">
        <v>38</v>
      </c>
      <c r="D2667" s="1" t="s">
        <v>1781</v>
      </c>
    </row>
    <row r="2668" spans="1:4">
      <c r="A2668" s="1" t="s">
        <v>1233</v>
      </c>
      <c r="B2668" s="1" t="s">
        <v>6864</v>
      </c>
      <c r="C2668" s="1" t="s">
        <v>38</v>
      </c>
      <c r="D2668" s="1" t="s">
        <v>1781</v>
      </c>
    </row>
    <row r="2669" spans="1:4">
      <c r="A2669" s="1" t="s">
        <v>1836</v>
      </c>
      <c r="B2669" s="1" t="s">
        <v>6865</v>
      </c>
      <c r="C2669" s="1" t="s">
        <v>38</v>
      </c>
      <c r="D2669" s="1" t="s">
        <v>1781</v>
      </c>
    </row>
    <row r="2670" spans="1:4">
      <c r="A2670" s="1" t="s">
        <v>451</v>
      </c>
      <c r="B2670" s="1" t="s">
        <v>6866</v>
      </c>
      <c r="C2670" s="1" t="s">
        <v>38</v>
      </c>
      <c r="D2670" s="1" t="s">
        <v>1781</v>
      </c>
    </row>
    <row r="2671" spans="1:4">
      <c r="A2671" s="1" t="s">
        <v>283</v>
      </c>
      <c r="B2671" s="1" t="s">
        <v>6867</v>
      </c>
      <c r="C2671" s="1" t="s">
        <v>38</v>
      </c>
      <c r="D2671" s="1" t="s">
        <v>1781</v>
      </c>
    </row>
    <row r="2672" spans="1:4">
      <c r="A2672" s="1" t="s">
        <v>531</v>
      </c>
      <c r="B2672" s="1" t="s">
        <v>6868</v>
      </c>
      <c r="C2672" s="1" t="s">
        <v>38</v>
      </c>
      <c r="D2672" s="1" t="s">
        <v>1781</v>
      </c>
    </row>
    <row r="2673" spans="1:4">
      <c r="A2673" s="1" t="s">
        <v>524</v>
      </c>
      <c r="B2673" s="1" t="s">
        <v>6869</v>
      </c>
      <c r="C2673" s="1" t="s">
        <v>38</v>
      </c>
      <c r="D2673" s="1" t="s">
        <v>1781</v>
      </c>
    </row>
    <row r="2674" spans="1:4">
      <c r="A2674" s="1" t="s">
        <v>6498</v>
      </c>
      <c r="B2674" s="1" t="s">
        <v>6870</v>
      </c>
      <c r="C2674" s="1" t="s">
        <v>38</v>
      </c>
      <c r="D2674" s="1" t="s">
        <v>1781</v>
      </c>
    </row>
    <row r="2675" spans="1:4">
      <c r="A2675" s="1" t="s">
        <v>6569</v>
      </c>
      <c r="B2675" s="1" t="s">
        <v>6871</v>
      </c>
      <c r="C2675" s="1" t="s">
        <v>38</v>
      </c>
      <c r="D2675" s="1" t="s">
        <v>1781</v>
      </c>
    </row>
    <row r="2676" spans="1:4">
      <c r="A2676" s="1" t="s">
        <v>6873</v>
      </c>
      <c r="B2676" s="1" t="s">
        <v>6872</v>
      </c>
      <c r="C2676" s="1" t="s">
        <v>38</v>
      </c>
      <c r="D2676" s="1" t="s">
        <v>1781</v>
      </c>
    </row>
    <row r="2677" spans="1:4">
      <c r="A2677" s="1" t="s">
        <v>6497</v>
      </c>
      <c r="B2677" s="1" t="s">
        <v>6874</v>
      </c>
      <c r="C2677" s="1" t="s">
        <v>38</v>
      </c>
      <c r="D2677" s="1" t="s">
        <v>1781</v>
      </c>
    </row>
    <row r="2678" spans="1:4">
      <c r="A2678" s="1" t="s">
        <v>6499</v>
      </c>
      <c r="B2678" s="1" t="s">
        <v>6875</v>
      </c>
      <c r="C2678" s="1" t="s">
        <v>38</v>
      </c>
      <c r="D2678" s="1" t="s">
        <v>1781</v>
      </c>
    </row>
    <row r="2679" spans="1:4">
      <c r="A2679" s="1" t="s">
        <v>6495</v>
      </c>
      <c r="B2679" s="1" t="s">
        <v>6876</v>
      </c>
      <c r="C2679" s="1" t="s">
        <v>38</v>
      </c>
      <c r="D2679" s="1" t="s">
        <v>1781</v>
      </c>
    </row>
    <row r="2680" spans="1:4">
      <c r="A2680" s="1" t="s">
        <v>135</v>
      </c>
      <c r="B2680" s="1" t="s">
        <v>6877</v>
      </c>
      <c r="C2680" s="1" t="s">
        <v>38</v>
      </c>
      <c r="D2680" s="1" t="s">
        <v>1781</v>
      </c>
    </row>
    <row r="2681" spans="1:4">
      <c r="A2681" s="1" t="s">
        <v>1162</v>
      </c>
      <c r="B2681" s="1" t="s">
        <v>6878</v>
      </c>
      <c r="C2681" s="1" t="s">
        <v>38</v>
      </c>
      <c r="D2681" s="1" t="s">
        <v>1781</v>
      </c>
    </row>
    <row r="2682" spans="1:4">
      <c r="A2682" s="1" t="s">
        <v>1140</v>
      </c>
      <c r="B2682" s="1" t="s">
        <v>6879</v>
      </c>
      <c r="C2682" s="1" t="s">
        <v>38</v>
      </c>
      <c r="D2682" s="1" t="s">
        <v>1781</v>
      </c>
    </row>
    <row r="2683" spans="1:4">
      <c r="A2683" s="1" t="s">
        <v>6502</v>
      </c>
      <c r="B2683" s="1" t="s">
        <v>6880</v>
      </c>
      <c r="C2683" s="1" t="s">
        <v>38</v>
      </c>
      <c r="D2683" s="1" t="s">
        <v>1781</v>
      </c>
    </row>
    <row r="2684" spans="1:4">
      <c r="A2684" s="1" t="s">
        <v>6578</v>
      </c>
      <c r="B2684" s="1" t="s">
        <v>6881</v>
      </c>
      <c r="C2684" s="1" t="s">
        <v>38</v>
      </c>
      <c r="D2684" s="1" t="s">
        <v>1781</v>
      </c>
    </row>
    <row r="2685" spans="1:4">
      <c r="A2685" s="1" t="s">
        <v>6883</v>
      </c>
      <c r="B2685" s="1" t="s">
        <v>6882</v>
      </c>
      <c r="C2685" s="1" t="s">
        <v>38</v>
      </c>
      <c r="D2685" s="1" t="s">
        <v>1781</v>
      </c>
    </row>
    <row r="2686" spans="1:4">
      <c r="A2686" s="1" t="s">
        <v>446</v>
      </c>
      <c r="B2686" s="1" t="s">
        <v>6884</v>
      </c>
      <c r="C2686" s="1" t="s">
        <v>38</v>
      </c>
      <c r="D2686" s="1" t="s">
        <v>1781</v>
      </c>
    </row>
    <row r="2687" spans="1:4">
      <c r="A2687" s="1" t="s">
        <v>1136</v>
      </c>
      <c r="B2687" s="1" t="s">
        <v>6885</v>
      </c>
      <c r="C2687" s="1" t="s">
        <v>38</v>
      </c>
      <c r="D2687" s="1" t="s">
        <v>1781</v>
      </c>
    </row>
    <row r="2688" spans="1:4">
      <c r="A2688" s="1" t="s">
        <v>463</v>
      </c>
      <c r="B2688" s="1" t="s">
        <v>6886</v>
      </c>
      <c r="C2688" s="1" t="s">
        <v>38</v>
      </c>
      <c r="D2688" s="1" t="s">
        <v>1781</v>
      </c>
    </row>
    <row r="2689" spans="1:4">
      <c r="A2689" s="1" t="s">
        <v>428</v>
      </c>
      <c r="B2689" s="1" t="s">
        <v>6887</v>
      </c>
      <c r="C2689" s="1" t="s">
        <v>38</v>
      </c>
      <c r="D2689" s="1" t="s">
        <v>1781</v>
      </c>
    </row>
    <row r="2690" spans="1:4">
      <c r="A2690" s="1" t="s">
        <v>1833</v>
      </c>
      <c r="B2690" s="1" t="s">
        <v>6888</v>
      </c>
      <c r="C2690" s="1" t="s">
        <v>38</v>
      </c>
      <c r="D2690" s="1" t="s">
        <v>1781</v>
      </c>
    </row>
    <row r="2691" spans="1:4">
      <c r="A2691" s="1" t="s">
        <v>560</v>
      </c>
      <c r="B2691" s="1" t="s">
        <v>6889</v>
      </c>
      <c r="C2691" s="1" t="s">
        <v>38</v>
      </c>
      <c r="D2691" s="1" t="s">
        <v>1781</v>
      </c>
    </row>
    <row r="2692" spans="1:4">
      <c r="A2692" s="1" t="s">
        <v>1792</v>
      </c>
      <c r="B2692" s="1" t="s">
        <v>6890</v>
      </c>
      <c r="C2692" s="1" t="s">
        <v>38</v>
      </c>
      <c r="D2692" s="1" t="s">
        <v>1781</v>
      </c>
    </row>
    <row r="2693" spans="1:4">
      <c r="A2693" s="1" t="s">
        <v>6564</v>
      </c>
      <c r="B2693" s="1" t="s">
        <v>6891</v>
      </c>
      <c r="C2693" s="1" t="s">
        <v>38</v>
      </c>
      <c r="D2693" s="1" t="s">
        <v>1781</v>
      </c>
    </row>
    <row r="2694" spans="1:4">
      <c r="A2694" s="1" t="s">
        <v>1832</v>
      </c>
      <c r="B2694" s="1" t="s">
        <v>6892</v>
      </c>
      <c r="C2694" s="1" t="s">
        <v>38</v>
      </c>
      <c r="D2694" s="1" t="s">
        <v>1781</v>
      </c>
    </row>
    <row r="2695" spans="1:4">
      <c r="A2695" s="1" t="s">
        <v>641</v>
      </c>
      <c r="B2695" s="1" t="s">
        <v>6893</v>
      </c>
      <c r="C2695" s="1" t="s">
        <v>38</v>
      </c>
      <c r="D2695" s="1" t="s">
        <v>1781</v>
      </c>
    </row>
    <row r="2696" spans="1:4">
      <c r="A2696" s="1" t="s">
        <v>6556</v>
      </c>
      <c r="B2696" s="1" t="s">
        <v>6894</v>
      </c>
      <c r="C2696" s="1" t="s">
        <v>38</v>
      </c>
      <c r="D2696" s="1" t="s">
        <v>1781</v>
      </c>
    </row>
    <row r="2697" spans="1:4">
      <c r="A2697" s="1" t="s">
        <v>549</v>
      </c>
      <c r="B2697" s="1" t="s">
        <v>6922</v>
      </c>
      <c r="C2697" s="1" t="s">
        <v>35</v>
      </c>
      <c r="D2697" s="1" t="s">
        <v>1781</v>
      </c>
    </row>
    <row r="2698" spans="1:4">
      <c r="A2698" s="1" t="s">
        <v>6927</v>
      </c>
      <c r="B2698" s="1" t="s">
        <v>6926</v>
      </c>
      <c r="C2698" s="1"/>
      <c r="D2698" s="1" t="s">
        <v>1781</v>
      </c>
    </row>
    <row r="2699" spans="1:4">
      <c r="A2699" s="1" t="s">
        <v>6924</v>
      </c>
      <c r="B2699" s="1" t="s">
        <v>6928</v>
      </c>
      <c r="C2699" s="1" t="s">
        <v>38</v>
      </c>
      <c r="D2699" s="1" t="s">
        <v>1781</v>
      </c>
    </row>
    <row r="2700" spans="1:4">
      <c r="A2700" s="1" t="s">
        <v>6925</v>
      </c>
      <c r="B2700" s="1" t="s">
        <v>6929</v>
      </c>
      <c r="C2700" s="1" t="s">
        <v>38</v>
      </c>
      <c r="D2700" s="1" t="s">
        <v>1781</v>
      </c>
    </row>
    <row r="2701" spans="1:4">
      <c r="A2701" s="1" t="s">
        <v>6896</v>
      </c>
      <c r="B2701" s="1" t="s">
        <v>6930</v>
      </c>
      <c r="C2701" s="1" t="s">
        <v>38</v>
      </c>
      <c r="D2701" s="1" t="s">
        <v>1781</v>
      </c>
    </row>
    <row r="2702" spans="1:4">
      <c r="A2702" s="1" t="s">
        <v>475</v>
      </c>
      <c r="B2702" s="1" t="s">
        <v>6931</v>
      </c>
      <c r="C2702" s="1" t="s">
        <v>38</v>
      </c>
      <c r="D2702" s="1" t="s">
        <v>1781</v>
      </c>
    </row>
    <row r="2703" spans="1:4">
      <c r="A2703" s="1" t="s">
        <v>6933</v>
      </c>
      <c r="B2703" s="1" t="s">
        <v>6932</v>
      </c>
      <c r="C2703" s="1"/>
      <c r="D2703" s="1" t="s">
        <v>1781</v>
      </c>
    </row>
    <row r="2704" spans="1:4">
      <c r="A2704" s="1" t="s">
        <v>6935</v>
      </c>
      <c r="B2704" s="1" t="s">
        <v>6934</v>
      </c>
      <c r="C2704" s="1" t="s">
        <v>38</v>
      </c>
      <c r="D2704" s="1" t="s">
        <v>1781</v>
      </c>
    </row>
    <row r="2705" spans="1:4">
      <c r="A2705" s="1" t="s">
        <v>6895</v>
      </c>
      <c r="B2705" s="1" t="s">
        <v>6936</v>
      </c>
      <c r="C2705" s="1" t="s">
        <v>38</v>
      </c>
      <c r="D2705" s="1" t="s">
        <v>1781</v>
      </c>
    </row>
    <row r="2706" spans="1:4">
      <c r="A2706" s="1" t="s">
        <v>1325</v>
      </c>
      <c r="B2706" s="1" t="s">
        <v>6937</v>
      </c>
      <c r="C2706" s="1" t="s">
        <v>38</v>
      </c>
      <c r="D2706" s="1" t="s">
        <v>1781</v>
      </c>
    </row>
    <row r="2707" spans="1:4">
      <c r="A2707" s="1" t="s">
        <v>6921</v>
      </c>
      <c r="B2707" s="1" t="s">
        <v>6938</v>
      </c>
      <c r="C2707" s="1" t="s">
        <v>38</v>
      </c>
      <c r="D2707" s="1" t="s">
        <v>1781</v>
      </c>
    </row>
    <row r="2708" spans="1:4">
      <c r="A2708" s="1" t="s">
        <v>6923</v>
      </c>
      <c r="B2708" s="1" t="s">
        <v>6939</v>
      </c>
      <c r="C2708" s="1" t="s">
        <v>38</v>
      </c>
      <c r="D2708" s="1" t="s">
        <v>1781</v>
      </c>
    </row>
    <row r="2709" spans="1:4">
      <c r="A2709" s="1" t="s">
        <v>6919</v>
      </c>
      <c r="B2709" s="1" t="s">
        <v>6940</v>
      </c>
      <c r="C2709" s="1" t="s">
        <v>38</v>
      </c>
      <c r="D2709" s="1" t="s">
        <v>1781</v>
      </c>
    </row>
    <row r="2710" spans="1:4">
      <c r="A2710" s="1" t="s">
        <v>6920</v>
      </c>
      <c r="B2710" s="1" t="s">
        <v>6941</v>
      </c>
      <c r="C2710" s="1" t="s">
        <v>38</v>
      </c>
      <c r="D2710" s="1" t="s">
        <v>1781</v>
      </c>
    </row>
    <row r="2711" spans="1:4">
      <c r="A2711" s="1" t="s">
        <v>6943</v>
      </c>
      <c r="B2711" s="1" t="s">
        <v>6942</v>
      </c>
      <c r="C2711" s="1" t="s">
        <v>38</v>
      </c>
      <c r="D2711" s="1" t="s">
        <v>1781</v>
      </c>
    </row>
    <row r="2712" spans="1:4">
      <c r="A2712" s="1" t="s">
        <v>6955</v>
      </c>
      <c r="B2712" s="1" t="s">
        <v>6954</v>
      </c>
      <c r="C2712" s="1" t="s">
        <v>38</v>
      </c>
      <c r="D2712" s="1" t="s">
        <v>1781</v>
      </c>
    </row>
    <row r="2713" spans="1:4">
      <c r="A2713" s="1" t="s">
        <v>1502</v>
      </c>
      <c r="B2713" s="1" t="s">
        <v>6956</v>
      </c>
      <c r="C2713" s="1" t="s">
        <v>38</v>
      </c>
      <c r="D2713" s="1" t="s">
        <v>1781</v>
      </c>
    </row>
    <row r="2714" spans="1:4">
      <c r="A2714" s="1" t="s">
        <v>6958</v>
      </c>
      <c r="B2714" s="1" t="s">
        <v>6957</v>
      </c>
      <c r="C2714" s="1" t="s">
        <v>38</v>
      </c>
      <c r="D2714" s="1" t="s">
        <v>1781</v>
      </c>
    </row>
    <row r="2715" spans="1:4">
      <c r="A2715" s="1" t="s">
        <v>6947</v>
      </c>
      <c r="B2715" s="1" t="s">
        <v>6959</v>
      </c>
      <c r="C2715" s="1" t="s">
        <v>38</v>
      </c>
      <c r="D2715" s="1" t="s">
        <v>1781</v>
      </c>
    </row>
    <row r="2716" spans="1:4">
      <c r="A2716" s="1" t="s">
        <v>6948</v>
      </c>
      <c r="B2716" s="1" t="s">
        <v>6960</v>
      </c>
      <c r="C2716" s="1" t="s">
        <v>38</v>
      </c>
      <c r="D2716" s="1" t="s">
        <v>1781</v>
      </c>
    </row>
    <row r="2717" spans="1:4">
      <c r="A2717" s="1" t="s">
        <v>6962</v>
      </c>
      <c r="B2717" s="1" t="s">
        <v>6961</v>
      </c>
      <c r="C2717" s="1" t="s">
        <v>38</v>
      </c>
      <c r="D2717" s="1" t="s">
        <v>1781</v>
      </c>
    </row>
    <row r="2718" spans="1:4">
      <c r="A2718" s="1" t="s">
        <v>6964</v>
      </c>
      <c r="B2718" s="1" t="s">
        <v>6963</v>
      </c>
      <c r="C2718" s="1" t="s">
        <v>38</v>
      </c>
      <c r="D2718" s="1" t="s">
        <v>1781</v>
      </c>
    </row>
    <row r="2719" spans="1:4">
      <c r="A2719" s="1" t="s">
        <v>6966</v>
      </c>
      <c r="B2719" s="1" t="s">
        <v>6965</v>
      </c>
      <c r="C2719" s="1" t="s">
        <v>38</v>
      </c>
      <c r="D2719" s="1" t="s">
        <v>1781</v>
      </c>
    </row>
    <row r="2720" spans="1:4">
      <c r="A2720" s="1" t="s">
        <v>238</v>
      </c>
      <c r="B2720" s="1" t="s">
        <v>6967</v>
      </c>
      <c r="C2720" s="1" t="s">
        <v>38</v>
      </c>
      <c r="D2720" s="1" t="s">
        <v>1781</v>
      </c>
    </row>
    <row r="2721" spans="1:4">
      <c r="A2721" s="1" t="s">
        <v>6945</v>
      </c>
      <c r="B2721" s="1" t="s">
        <v>6968</v>
      </c>
      <c r="C2721" s="1" t="s">
        <v>38</v>
      </c>
      <c r="D2721" s="1" t="s">
        <v>1781</v>
      </c>
    </row>
    <row r="2722" spans="1:4">
      <c r="A2722" s="1" t="s">
        <v>126</v>
      </c>
      <c r="B2722" s="1" t="s">
        <v>6969</v>
      </c>
      <c r="C2722" s="1" t="s">
        <v>38</v>
      </c>
      <c r="D2722" s="1" t="s">
        <v>1781</v>
      </c>
    </row>
    <row r="2723" spans="1:4">
      <c r="A2723" s="1" t="s">
        <v>6946</v>
      </c>
      <c r="B2723" s="1" t="s">
        <v>6970</v>
      </c>
      <c r="C2723" s="1" t="s">
        <v>38</v>
      </c>
      <c r="D2723" s="1" t="s">
        <v>1781</v>
      </c>
    </row>
    <row r="2724" spans="1:4">
      <c r="A2724" s="1" t="s">
        <v>6972</v>
      </c>
      <c r="B2724" s="1" t="s">
        <v>6971</v>
      </c>
      <c r="C2724" s="1" t="s">
        <v>38</v>
      </c>
      <c r="D2724" s="1" t="s">
        <v>1781</v>
      </c>
    </row>
    <row r="2725" spans="1:4">
      <c r="A2725" s="1" t="s">
        <v>6950</v>
      </c>
      <c r="B2725" s="1" t="s">
        <v>6973</v>
      </c>
      <c r="C2725" s="1" t="s">
        <v>38</v>
      </c>
      <c r="D2725" s="1" t="s">
        <v>1781</v>
      </c>
    </row>
    <row r="2726" spans="1:4">
      <c r="A2726" s="1" t="s">
        <v>6949</v>
      </c>
      <c r="B2726" s="1" t="s">
        <v>6974</v>
      </c>
      <c r="C2726" s="1" t="s">
        <v>38</v>
      </c>
      <c r="D2726" s="1" t="s">
        <v>1781</v>
      </c>
    </row>
    <row r="2727" spans="1:4">
      <c r="A2727" s="1" t="s">
        <v>6951</v>
      </c>
      <c r="B2727" s="1" t="s">
        <v>6975</v>
      </c>
      <c r="C2727" s="1" t="s">
        <v>38</v>
      </c>
      <c r="D2727" s="1" t="s">
        <v>1781</v>
      </c>
    </row>
    <row r="2728" spans="1:4">
      <c r="A2728" s="1" t="s">
        <v>6977</v>
      </c>
      <c r="B2728" s="1" t="s">
        <v>6976</v>
      </c>
      <c r="C2728" s="1" t="s">
        <v>38</v>
      </c>
      <c r="D2728" s="1" t="s">
        <v>1781</v>
      </c>
    </row>
    <row r="2729" spans="1:4">
      <c r="A2729" s="1" t="s">
        <v>6979</v>
      </c>
      <c r="B2729" s="1" t="s">
        <v>6978</v>
      </c>
      <c r="C2729" s="1" t="s">
        <v>38</v>
      </c>
      <c r="D2729" s="1" t="s">
        <v>1781</v>
      </c>
    </row>
    <row r="2730" spans="1:4">
      <c r="A2730" s="1" t="s">
        <v>6952</v>
      </c>
      <c r="B2730" s="1" t="s">
        <v>6980</v>
      </c>
      <c r="C2730" s="1" t="s">
        <v>38</v>
      </c>
      <c r="D2730" s="1" t="s">
        <v>1781</v>
      </c>
    </row>
    <row r="2731" spans="1:4">
      <c r="A2731" s="1" t="s">
        <v>6982</v>
      </c>
      <c r="B2731" s="1" t="s">
        <v>6981</v>
      </c>
      <c r="C2731" s="1" t="s">
        <v>38</v>
      </c>
      <c r="D2731" s="1" t="s">
        <v>1781</v>
      </c>
    </row>
    <row r="2732" spans="1:4">
      <c r="A2732" s="1" t="s">
        <v>6953</v>
      </c>
      <c r="B2732" s="1" t="s">
        <v>6983</v>
      </c>
      <c r="C2732" s="1" t="s">
        <v>38</v>
      </c>
      <c r="D2732" s="1" t="s">
        <v>1781</v>
      </c>
    </row>
    <row r="2733" spans="1:4">
      <c r="A2733" s="1" t="s">
        <v>6985</v>
      </c>
      <c r="B2733" s="1" t="s">
        <v>6984</v>
      </c>
      <c r="C2733" s="1" t="s">
        <v>38</v>
      </c>
      <c r="D2733" s="1" t="s">
        <v>1781</v>
      </c>
    </row>
    <row r="2734" spans="1:4">
      <c r="A2734" s="1" t="s">
        <v>6899</v>
      </c>
      <c r="B2734" s="1" t="s">
        <v>6986</v>
      </c>
      <c r="C2734" s="1" t="s">
        <v>38</v>
      </c>
      <c r="D2734" s="1" t="s">
        <v>1781</v>
      </c>
    </row>
    <row r="2735" spans="1:4">
      <c r="A2735" s="1" t="s">
        <v>6988</v>
      </c>
      <c r="B2735" s="1" t="s">
        <v>6987</v>
      </c>
      <c r="C2735" s="1" t="s">
        <v>38</v>
      </c>
      <c r="D2735" s="1" t="s">
        <v>1781</v>
      </c>
    </row>
    <row r="2736" spans="1:4">
      <c r="A2736" s="1" t="s">
        <v>6911</v>
      </c>
      <c r="B2736" s="1" t="s">
        <v>6989</v>
      </c>
      <c r="C2736" s="1" t="s">
        <v>38</v>
      </c>
      <c r="D2736" s="1" t="s">
        <v>1781</v>
      </c>
    </row>
    <row r="2737" spans="1:4">
      <c r="A2737" s="1" t="s">
        <v>6910</v>
      </c>
      <c r="B2737" s="1" t="s">
        <v>6990</v>
      </c>
      <c r="C2737" s="1" t="s">
        <v>38</v>
      </c>
      <c r="D2737" s="1" t="s">
        <v>1781</v>
      </c>
    </row>
    <row r="2738" spans="1:4">
      <c r="A2738" s="1" t="s">
        <v>6992</v>
      </c>
      <c r="B2738" s="1" t="s">
        <v>6991</v>
      </c>
      <c r="C2738" s="1" t="s">
        <v>38</v>
      </c>
      <c r="D2738" s="1" t="s">
        <v>1781</v>
      </c>
    </row>
    <row r="2739" spans="1:4">
      <c r="A2739" s="1" t="s">
        <v>6905</v>
      </c>
      <c r="B2739" s="1" t="s">
        <v>6993</v>
      </c>
      <c r="C2739" s="1" t="s">
        <v>38</v>
      </c>
      <c r="D2739" s="1" t="s">
        <v>1781</v>
      </c>
    </row>
    <row r="2740" spans="1:4">
      <c r="A2740" s="1" t="s">
        <v>6913</v>
      </c>
      <c r="B2740" s="1" t="s">
        <v>6994</v>
      </c>
      <c r="C2740" s="1" t="s">
        <v>38</v>
      </c>
      <c r="D2740" s="1" t="s">
        <v>1781</v>
      </c>
    </row>
    <row r="2741" spans="1:4">
      <c r="A2741" s="1" t="s">
        <v>6906</v>
      </c>
      <c r="B2741" s="1" t="s">
        <v>6995</v>
      </c>
      <c r="C2741" s="1" t="s">
        <v>38</v>
      </c>
      <c r="D2741" s="1" t="s">
        <v>1781</v>
      </c>
    </row>
    <row r="2742" spans="1:4">
      <c r="A2742" s="1" t="s">
        <v>6914</v>
      </c>
      <c r="B2742" s="1" t="s">
        <v>6996</v>
      </c>
      <c r="C2742" s="1" t="s">
        <v>38</v>
      </c>
      <c r="D2742" s="1" t="s">
        <v>1781</v>
      </c>
    </row>
    <row r="2743" spans="1:4">
      <c r="A2743" s="1" t="s">
        <v>6908</v>
      </c>
      <c r="B2743" s="1" t="s">
        <v>6997</v>
      </c>
      <c r="C2743" s="1" t="s">
        <v>38</v>
      </c>
      <c r="D2743" s="1" t="s">
        <v>1781</v>
      </c>
    </row>
    <row r="2744" spans="1:4">
      <c r="A2744" s="1" t="s">
        <v>6999</v>
      </c>
      <c r="B2744" s="1" t="s">
        <v>6998</v>
      </c>
      <c r="C2744" s="1" t="s">
        <v>38</v>
      </c>
      <c r="D2744" s="1" t="s">
        <v>1781</v>
      </c>
    </row>
    <row r="2745" spans="1:4">
      <c r="A2745" s="1" t="s">
        <v>152</v>
      </c>
      <c r="B2745" s="1" t="s">
        <v>7000</v>
      </c>
      <c r="C2745" s="1" t="s">
        <v>38</v>
      </c>
      <c r="D2745" s="1" t="s">
        <v>1781</v>
      </c>
    </row>
    <row r="2746" spans="1:4">
      <c r="A2746" s="1" t="s">
        <v>6898</v>
      </c>
      <c r="B2746" s="1" t="s">
        <v>7001</v>
      </c>
      <c r="C2746" s="1" t="s">
        <v>38</v>
      </c>
      <c r="D2746" s="1" t="s">
        <v>1781</v>
      </c>
    </row>
    <row r="2747" spans="1:4">
      <c r="A2747" s="1" t="s">
        <v>7003</v>
      </c>
      <c r="B2747" s="1" t="s">
        <v>7002</v>
      </c>
      <c r="C2747" s="1" t="s">
        <v>38</v>
      </c>
      <c r="D2747" s="1" t="s">
        <v>1781</v>
      </c>
    </row>
    <row r="2748" spans="1:4">
      <c r="A2748" s="1" t="s">
        <v>6912</v>
      </c>
      <c r="B2748" s="1" t="s">
        <v>7004</v>
      </c>
      <c r="C2748" s="1" t="s">
        <v>38</v>
      </c>
      <c r="D2748" s="1" t="s">
        <v>1781</v>
      </c>
    </row>
    <row r="2749" spans="1:4">
      <c r="A2749" s="1" t="s">
        <v>6897</v>
      </c>
      <c r="B2749" s="1" t="s">
        <v>7005</v>
      </c>
      <c r="C2749" s="1" t="s">
        <v>38</v>
      </c>
      <c r="D2749" s="1" t="s">
        <v>1781</v>
      </c>
    </row>
    <row r="2750" spans="1:4">
      <c r="A2750" s="1" t="s">
        <v>6915</v>
      </c>
      <c r="B2750" s="1" t="s">
        <v>7006</v>
      </c>
      <c r="C2750" s="1" t="s">
        <v>38</v>
      </c>
      <c r="D2750" s="1" t="s">
        <v>1781</v>
      </c>
    </row>
    <row r="2751" spans="1:4">
      <c r="A2751" s="1" t="s">
        <v>6904</v>
      </c>
      <c r="B2751" s="1" t="s">
        <v>7007</v>
      </c>
      <c r="C2751" s="1" t="s">
        <v>38</v>
      </c>
      <c r="D2751" s="1" t="s">
        <v>1781</v>
      </c>
    </row>
    <row r="2752" spans="1:4">
      <c r="A2752" s="1" t="s">
        <v>7009</v>
      </c>
      <c r="B2752" s="1" t="s">
        <v>7008</v>
      </c>
      <c r="C2752" s="1" t="s">
        <v>38</v>
      </c>
      <c r="D2752" s="1" t="s">
        <v>1781</v>
      </c>
    </row>
    <row r="2753" spans="1:4">
      <c r="A2753" s="1" t="s">
        <v>7011</v>
      </c>
      <c r="B2753" s="1" t="s">
        <v>7010</v>
      </c>
      <c r="C2753" s="1" t="s">
        <v>38</v>
      </c>
      <c r="D2753" s="1" t="s">
        <v>1781</v>
      </c>
    </row>
    <row r="2754" spans="1:4">
      <c r="A2754" s="1" t="s">
        <v>6903</v>
      </c>
      <c r="B2754" s="1" t="s">
        <v>7012</v>
      </c>
      <c r="C2754" s="1" t="s">
        <v>38</v>
      </c>
      <c r="D2754" s="1" t="s">
        <v>1781</v>
      </c>
    </row>
    <row r="2755" spans="1:4">
      <c r="A2755" s="1" t="s">
        <v>6907</v>
      </c>
      <c r="B2755" s="1" t="s">
        <v>7013</v>
      </c>
      <c r="C2755" s="1" t="s">
        <v>38</v>
      </c>
      <c r="D2755" s="1" t="s">
        <v>1781</v>
      </c>
    </row>
    <row r="2756" spans="1:4">
      <c r="A2756" s="1" t="s">
        <v>6916</v>
      </c>
      <c r="B2756" s="1" t="s">
        <v>7014</v>
      </c>
      <c r="C2756" s="1" t="s">
        <v>38</v>
      </c>
      <c r="D2756" s="1" t="s">
        <v>1781</v>
      </c>
    </row>
    <row r="2757" spans="1:4">
      <c r="A2757" s="1" t="s">
        <v>6917</v>
      </c>
      <c r="B2757" s="1" t="s">
        <v>7015</v>
      </c>
      <c r="C2757" s="1" t="s">
        <v>38</v>
      </c>
      <c r="D2757" s="1" t="s">
        <v>1781</v>
      </c>
    </row>
    <row r="2758" spans="1:4">
      <c r="A2758" s="1" t="s">
        <v>6901</v>
      </c>
      <c r="B2758" s="1" t="s">
        <v>7016</v>
      </c>
      <c r="C2758" s="1" t="s">
        <v>38</v>
      </c>
      <c r="D2758" s="1" t="s">
        <v>1781</v>
      </c>
    </row>
    <row r="2759" spans="1:4">
      <c r="A2759" s="1" t="s">
        <v>296</v>
      </c>
      <c r="B2759" s="1" t="s">
        <v>7017</v>
      </c>
      <c r="C2759" s="1" t="s">
        <v>38</v>
      </c>
      <c r="D2759" s="1" t="s">
        <v>1781</v>
      </c>
    </row>
    <row r="2760" spans="1:4">
      <c r="A2760" s="1" t="s">
        <v>6902</v>
      </c>
      <c r="B2760" s="1" t="s">
        <v>7018</v>
      </c>
      <c r="C2760" s="1" t="s">
        <v>38</v>
      </c>
      <c r="D2760" s="1" t="s">
        <v>1781</v>
      </c>
    </row>
    <row r="2761" spans="1:4">
      <c r="A2761" s="1" t="s">
        <v>6909</v>
      </c>
      <c r="B2761" s="1" t="s">
        <v>7019</v>
      </c>
      <c r="C2761" s="1" t="s">
        <v>38</v>
      </c>
      <c r="D2761" s="1" t="s">
        <v>1781</v>
      </c>
    </row>
    <row r="2762" spans="1:4">
      <c r="A2762" s="1" t="s">
        <v>6944</v>
      </c>
      <c r="B2762" s="1" t="s">
        <v>7020</v>
      </c>
      <c r="C2762" s="1" t="s">
        <v>38</v>
      </c>
      <c r="D2762" s="1" t="s">
        <v>1781</v>
      </c>
    </row>
    <row r="2763" spans="1:4">
      <c r="A2763" s="1" t="s">
        <v>7022</v>
      </c>
      <c r="B2763" s="1" t="s">
        <v>7021</v>
      </c>
      <c r="C2763" s="1" t="s">
        <v>38</v>
      </c>
      <c r="D2763" s="1" t="s">
        <v>1781</v>
      </c>
    </row>
    <row r="2764" spans="1:4">
      <c r="A2764" s="1" t="s">
        <v>6918</v>
      </c>
      <c r="B2764" s="1" t="s">
        <v>7023</v>
      </c>
      <c r="C2764" s="1" t="s">
        <v>38</v>
      </c>
      <c r="D2764" s="1" t="s">
        <v>1781</v>
      </c>
    </row>
    <row r="2765" spans="1:4">
      <c r="A2765" s="1" t="s">
        <v>7025</v>
      </c>
      <c r="B2765" s="1" t="s">
        <v>7024</v>
      </c>
      <c r="C2765" s="1" t="s">
        <v>38</v>
      </c>
      <c r="D2765" s="1" t="s">
        <v>1781</v>
      </c>
    </row>
    <row r="2766" spans="1:4">
      <c r="A2766" s="1" t="s">
        <v>6900</v>
      </c>
      <c r="B2766" s="1" t="s">
        <v>7026</v>
      </c>
      <c r="C2766" s="1" t="s">
        <v>38</v>
      </c>
      <c r="D2766" s="1" t="s">
        <v>1781</v>
      </c>
    </row>
    <row r="2767" spans="1:4">
      <c r="A2767" s="1" t="s">
        <v>7028</v>
      </c>
      <c r="B2767" s="1" t="s">
        <v>7027</v>
      </c>
      <c r="C2767" s="1" t="s">
        <v>38</v>
      </c>
      <c r="D2767" s="1" t="s">
        <v>1781</v>
      </c>
    </row>
    <row r="2768" spans="1:4">
      <c r="A2768" s="1" t="s">
        <v>7030</v>
      </c>
      <c r="B2768" s="1" t="s">
        <v>7029</v>
      </c>
      <c r="C2768" s="1" t="s">
        <v>35</v>
      </c>
      <c r="D2768" s="1" t="s">
        <v>1781</v>
      </c>
    </row>
    <row r="2769" spans="1:4">
      <c r="A2769" s="1" t="s">
        <v>7032</v>
      </c>
      <c r="B2769" s="1" t="s">
        <v>7031</v>
      </c>
      <c r="C2769" s="1" t="s">
        <v>35</v>
      </c>
      <c r="D2769" s="1" t="s">
        <v>1781</v>
      </c>
    </row>
    <row r="2770" spans="1:4">
      <c r="A2770" s="1" t="s">
        <v>7122</v>
      </c>
      <c r="B2770" s="1" t="s">
        <v>7146</v>
      </c>
      <c r="C2770" s="1" t="s">
        <v>38</v>
      </c>
      <c r="D2770" s="1" t="s">
        <v>1781</v>
      </c>
    </row>
    <row r="2771" spans="1:4">
      <c r="A2771" s="1" t="s">
        <v>7101</v>
      </c>
      <c r="B2771" s="1" t="s">
        <v>7147</v>
      </c>
      <c r="C2771" s="1" t="s">
        <v>38</v>
      </c>
      <c r="D2771" s="1" t="s">
        <v>1781</v>
      </c>
    </row>
    <row r="2772" spans="1:4">
      <c r="A2772" s="1" t="s">
        <v>7149</v>
      </c>
      <c r="B2772" s="1" t="s">
        <v>7148</v>
      </c>
      <c r="C2772" s="1" t="s">
        <v>38</v>
      </c>
      <c r="D2772" s="1" t="s">
        <v>1781</v>
      </c>
    </row>
    <row r="2773" spans="1:4">
      <c r="A2773" s="1" t="s">
        <v>7151</v>
      </c>
      <c r="B2773" s="1" t="s">
        <v>7150</v>
      </c>
      <c r="C2773" s="1" t="s">
        <v>38</v>
      </c>
      <c r="D2773" s="1" t="s">
        <v>1781</v>
      </c>
    </row>
    <row r="2774" spans="1:4">
      <c r="A2774" s="1" t="s">
        <v>7153</v>
      </c>
      <c r="B2774" s="1" t="s">
        <v>7152</v>
      </c>
      <c r="C2774" s="1" t="s">
        <v>38</v>
      </c>
      <c r="D2774" s="1" t="s">
        <v>1781</v>
      </c>
    </row>
    <row r="2775" spans="1:4">
      <c r="A2775" s="1" t="s">
        <v>7155</v>
      </c>
      <c r="B2775" s="1" t="s">
        <v>7154</v>
      </c>
      <c r="C2775" s="1" t="s">
        <v>38</v>
      </c>
      <c r="D2775" s="1" t="s">
        <v>1781</v>
      </c>
    </row>
    <row r="2776" spans="1:4">
      <c r="A2776" s="1" t="s">
        <v>7157</v>
      </c>
      <c r="B2776" s="1" t="s">
        <v>7156</v>
      </c>
      <c r="C2776" s="1" t="s">
        <v>38</v>
      </c>
      <c r="D2776" s="1" t="s">
        <v>1781</v>
      </c>
    </row>
    <row r="2777" spans="1:4">
      <c r="A2777" s="1" t="s">
        <v>7159</v>
      </c>
      <c r="B2777" s="1" t="s">
        <v>7158</v>
      </c>
      <c r="C2777" s="1" t="s">
        <v>38</v>
      </c>
      <c r="D2777" s="1" t="s">
        <v>1781</v>
      </c>
    </row>
    <row r="2778" spans="1:4">
      <c r="A2778" s="1" t="s">
        <v>7161</v>
      </c>
      <c r="B2778" s="1" t="s">
        <v>7160</v>
      </c>
      <c r="C2778" s="1" t="s">
        <v>38</v>
      </c>
      <c r="D2778" s="1" t="s">
        <v>1781</v>
      </c>
    </row>
    <row r="2779" spans="1:4">
      <c r="A2779" s="1" t="s">
        <v>1854</v>
      </c>
      <c r="B2779" s="1" t="s">
        <v>7162</v>
      </c>
      <c r="C2779" s="1" t="s">
        <v>38</v>
      </c>
      <c r="D2779" s="1" t="s">
        <v>1781</v>
      </c>
    </row>
    <row r="2780" spans="1:4">
      <c r="A2780" s="1" t="s">
        <v>7117</v>
      </c>
      <c r="B2780" s="1" t="s">
        <v>7163</v>
      </c>
      <c r="C2780" s="1" t="s">
        <v>38</v>
      </c>
      <c r="D2780" s="1" t="s">
        <v>1781</v>
      </c>
    </row>
    <row r="2781" spans="1:4">
      <c r="A2781" s="1" t="s">
        <v>7165</v>
      </c>
      <c r="B2781" s="1" t="s">
        <v>7164</v>
      </c>
      <c r="C2781" s="1" t="s">
        <v>38</v>
      </c>
      <c r="D2781" s="1" t="s">
        <v>1781</v>
      </c>
    </row>
    <row r="2782" spans="1:4">
      <c r="A2782" s="1" t="s">
        <v>312</v>
      </c>
      <c r="B2782" s="1" t="s">
        <v>7166</v>
      </c>
      <c r="C2782" s="1" t="s">
        <v>38</v>
      </c>
      <c r="D2782" s="1" t="s">
        <v>1781</v>
      </c>
    </row>
    <row r="2783" spans="1:4">
      <c r="A2783" s="1" t="s">
        <v>7076</v>
      </c>
      <c r="B2783" s="1" t="s">
        <v>7167</v>
      </c>
      <c r="C2783" s="1" t="s">
        <v>38</v>
      </c>
      <c r="D2783" s="1" t="s">
        <v>1781</v>
      </c>
    </row>
    <row r="2784" spans="1:4">
      <c r="A2784" s="1" t="s">
        <v>7037</v>
      </c>
      <c r="B2784" s="1" t="s">
        <v>7168</v>
      </c>
      <c r="C2784" s="1" t="s">
        <v>38</v>
      </c>
      <c r="D2784" s="1" t="s">
        <v>1781</v>
      </c>
    </row>
    <row r="2785" spans="1:4">
      <c r="A2785" s="1" t="s">
        <v>7054</v>
      </c>
      <c r="B2785" s="1" t="s">
        <v>7169</v>
      </c>
      <c r="C2785" s="1" t="s">
        <v>38</v>
      </c>
      <c r="D2785" s="1" t="s">
        <v>1781</v>
      </c>
    </row>
    <row r="2786" spans="1:4">
      <c r="A2786" s="1" t="s">
        <v>7042</v>
      </c>
      <c r="B2786" s="1" t="s">
        <v>7170</v>
      </c>
      <c r="C2786" s="1" t="s">
        <v>38</v>
      </c>
      <c r="D2786" s="1" t="s">
        <v>1781</v>
      </c>
    </row>
    <row r="2787" spans="1:4">
      <c r="A2787" s="1" t="s">
        <v>7172</v>
      </c>
      <c r="B2787" s="1" t="s">
        <v>7171</v>
      </c>
      <c r="C2787" s="1" t="s">
        <v>38</v>
      </c>
      <c r="D2787" s="1" t="s">
        <v>1781</v>
      </c>
    </row>
    <row r="2788" spans="1:4">
      <c r="A2788" s="1" t="s">
        <v>7038</v>
      </c>
      <c r="B2788" s="1" t="s">
        <v>7173</v>
      </c>
      <c r="C2788" s="1" t="s">
        <v>38</v>
      </c>
      <c r="D2788" s="1" t="s">
        <v>1781</v>
      </c>
    </row>
    <row r="2789" spans="1:4">
      <c r="A2789" s="1" t="s">
        <v>7072</v>
      </c>
      <c r="B2789" s="1" t="s">
        <v>7174</v>
      </c>
      <c r="C2789" s="1" t="s">
        <v>38</v>
      </c>
      <c r="D2789" s="1" t="s">
        <v>1781</v>
      </c>
    </row>
    <row r="2790" spans="1:4">
      <c r="A2790" s="1" t="s">
        <v>7053</v>
      </c>
      <c r="B2790" s="1" t="s">
        <v>7175</v>
      </c>
      <c r="C2790" s="1" t="s">
        <v>38</v>
      </c>
      <c r="D2790" s="1" t="s">
        <v>1781</v>
      </c>
    </row>
    <row r="2791" spans="1:4">
      <c r="A2791" s="1" t="s">
        <v>7082</v>
      </c>
      <c r="B2791" s="1" t="s">
        <v>7176</v>
      </c>
      <c r="C2791" s="1" t="s">
        <v>38</v>
      </c>
      <c r="D2791" s="1" t="s">
        <v>1781</v>
      </c>
    </row>
    <row r="2792" spans="1:4">
      <c r="A2792" s="1" t="s">
        <v>7044</v>
      </c>
      <c r="B2792" s="1" t="s">
        <v>7177</v>
      </c>
      <c r="C2792" s="1" t="s">
        <v>38</v>
      </c>
      <c r="D2792" s="1" t="s">
        <v>1781</v>
      </c>
    </row>
    <row r="2793" spans="1:4">
      <c r="A2793" s="1" t="s">
        <v>7091</v>
      </c>
      <c r="B2793" s="1" t="s">
        <v>7178</v>
      </c>
      <c r="C2793" s="1" t="s">
        <v>38</v>
      </c>
      <c r="D2793" s="1" t="s">
        <v>1781</v>
      </c>
    </row>
    <row r="2794" spans="1:4">
      <c r="A2794" s="1" t="s">
        <v>7180</v>
      </c>
      <c r="B2794" s="1" t="s">
        <v>7179</v>
      </c>
      <c r="C2794" s="1" t="s">
        <v>38</v>
      </c>
      <c r="D2794" s="1" t="s">
        <v>1781</v>
      </c>
    </row>
    <row r="2795" spans="1:4">
      <c r="A2795" s="1" t="s">
        <v>7139</v>
      </c>
      <c r="B2795" s="1" t="s">
        <v>7181</v>
      </c>
      <c r="C2795" s="1" t="s">
        <v>38</v>
      </c>
      <c r="D2795" s="1" t="s">
        <v>1781</v>
      </c>
    </row>
    <row r="2796" spans="1:4">
      <c r="A2796" s="1" t="s">
        <v>1815</v>
      </c>
      <c r="B2796" s="1" t="s">
        <v>7182</v>
      </c>
      <c r="C2796" s="1" t="s">
        <v>38</v>
      </c>
      <c r="D2796" s="1" t="s">
        <v>1781</v>
      </c>
    </row>
    <row r="2797" spans="1:4">
      <c r="A2797" s="1" t="s">
        <v>7058</v>
      </c>
      <c r="B2797" s="1" t="s">
        <v>7183</v>
      </c>
      <c r="C2797" s="1" t="s">
        <v>38</v>
      </c>
      <c r="D2797" s="1" t="s">
        <v>1781</v>
      </c>
    </row>
    <row r="2798" spans="1:4">
      <c r="A2798" s="1" t="s">
        <v>7115</v>
      </c>
      <c r="B2798" s="1" t="s">
        <v>7184</v>
      </c>
      <c r="C2798" s="1" t="s">
        <v>38</v>
      </c>
      <c r="D2798" s="1" t="s">
        <v>1781</v>
      </c>
    </row>
    <row r="2799" spans="1:4">
      <c r="A2799" s="1" t="s">
        <v>7186</v>
      </c>
      <c r="B2799" s="1" t="s">
        <v>7185</v>
      </c>
      <c r="C2799" s="1" t="s">
        <v>38</v>
      </c>
      <c r="D2799" s="1" t="s">
        <v>1781</v>
      </c>
    </row>
    <row r="2800" spans="1:4">
      <c r="A2800" s="1" t="s">
        <v>7120</v>
      </c>
      <c r="B2800" s="1" t="s">
        <v>7187</v>
      </c>
      <c r="C2800" s="1" t="s">
        <v>38</v>
      </c>
      <c r="D2800" s="1" t="s">
        <v>1781</v>
      </c>
    </row>
    <row r="2801" spans="1:4">
      <c r="A2801" s="1" t="s">
        <v>7059</v>
      </c>
      <c r="B2801" s="1" t="s">
        <v>7188</v>
      </c>
      <c r="C2801" s="1" t="s">
        <v>38</v>
      </c>
      <c r="D2801" s="1" t="s">
        <v>1781</v>
      </c>
    </row>
    <row r="2802" spans="1:4">
      <c r="A2802" s="1" t="s">
        <v>7057</v>
      </c>
      <c r="B2802" s="1" t="s">
        <v>7189</v>
      </c>
      <c r="C2802" s="1" t="s">
        <v>38</v>
      </c>
      <c r="D2802" s="1" t="s">
        <v>1781</v>
      </c>
    </row>
    <row r="2803" spans="1:4">
      <c r="A2803" s="1" t="s">
        <v>7125</v>
      </c>
      <c r="B2803" s="1" t="s">
        <v>7190</v>
      </c>
      <c r="C2803" s="1" t="s">
        <v>38</v>
      </c>
      <c r="D2803" s="1" t="s">
        <v>1781</v>
      </c>
    </row>
    <row r="2804" spans="1:4">
      <c r="A2804" s="1" t="s">
        <v>7041</v>
      </c>
      <c r="B2804" s="1" t="s">
        <v>7191</v>
      </c>
      <c r="C2804" s="1" t="s">
        <v>38</v>
      </c>
      <c r="D2804" s="1" t="s">
        <v>1781</v>
      </c>
    </row>
    <row r="2805" spans="1:4">
      <c r="A2805" s="1" t="s">
        <v>7039</v>
      </c>
      <c r="B2805" s="1" t="s">
        <v>7192</v>
      </c>
      <c r="C2805" s="1" t="s">
        <v>38</v>
      </c>
      <c r="D2805" s="1" t="s">
        <v>1781</v>
      </c>
    </row>
    <row r="2806" spans="1:4">
      <c r="A2806" s="1" t="s">
        <v>7194</v>
      </c>
      <c r="B2806" s="1" t="s">
        <v>7193</v>
      </c>
      <c r="C2806" s="1" t="s">
        <v>38</v>
      </c>
      <c r="D2806" s="1" t="s">
        <v>1781</v>
      </c>
    </row>
    <row r="2807" spans="1:4">
      <c r="A2807" s="1" t="s">
        <v>7196</v>
      </c>
      <c r="B2807" s="1" t="s">
        <v>7195</v>
      </c>
      <c r="C2807" s="1" t="s">
        <v>38</v>
      </c>
      <c r="D2807" s="1" t="s">
        <v>1781</v>
      </c>
    </row>
    <row r="2808" spans="1:4">
      <c r="A2808" s="1" t="s">
        <v>7049</v>
      </c>
      <c r="B2808" s="1" t="s">
        <v>7197</v>
      </c>
      <c r="C2808" s="1" t="s">
        <v>38</v>
      </c>
      <c r="D2808" s="1" t="s">
        <v>1781</v>
      </c>
    </row>
    <row r="2809" spans="1:4">
      <c r="A2809" s="1" t="s">
        <v>7079</v>
      </c>
      <c r="B2809" s="1" t="s">
        <v>7198</v>
      </c>
      <c r="C2809" s="1" t="s">
        <v>38</v>
      </c>
      <c r="D2809" s="1" t="s">
        <v>1781</v>
      </c>
    </row>
    <row r="2810" spans="1:4">
      <c r="A2810" s="1" t="s">
        <v>7200</v>
      </c>
      <c r="B2810" s="1" t="s">
        <v>7199</v>
      </c>
      <c r="C2810" s="1" t="s">
        <v>38</v>
      </c>
      <c r="D2810" s="1" t="s">
        <v>1781</v>
      </c>
    </row>
    <row r="2811" spans="1:4">
      <c r="A2811" s="1" t="s">
        <v>7083</v>
      </c>
      <c r="B2811" s="1" t="s">
        <v>7201</v>
      </c>
      <c r="C2811" s="1" t="s">
        <v>38</v>
      </c>
      <c r="D2811" s="1" t="s">
        <v>1781</v>
      </c>
    </row>
    <row r="2812" spans="1:4">
      <c r="A2812" s="1" t="s">
        <v>7066</v>
      </c>
      <c r="B2812" s="1" t="s">
        <v>7202</v>
      </c>
      <c r="C2812" s="1" t="s">
        <v>38</v>
      </c>
      <c r="D2812" s="1" t="s">
        <v>1781</v>
      </c>
    </row>
    <row r="2813" spans="1:4">
      <c r="A2813" s="1" t="s">
        <v>7068</v>
      </c>
      <c r="B2813" s="1" t="s">
        <v>7203</v>
      </c>
      <c r="C2813" s="1" t="s">
        <v>38</v>
      </c>
      <c r="D2813" s="1" t="s">
        <v>1781</v>
      </c>
    </row>
    <row r="2814" spans="1:4">
      <c r="A2814" s="1" t="s">
        <v>7077</v>
      </c>
      <c r="B2814" s="1" t="s">
        <v>7204</v>
      </c>
      <c r="C2814" s="1" t="s">
        <v>38</v>
      </c>
      <c r="D2814" s="1" t="s">
        <v>1781</v>
      </c>
    </row>
    <row r="2815" spans="1:4">
      <c r="A2815" s="1" t="s">
        <v>7078</v>
      </c>
      <c r="B2815" s="1" t="s">
        <v>7205</v>
      </c>
      <c r="C2815" s="1" t="s">
        <v>38</v>
      </c>
      <c r="D2815" s="1" t="s">
        <v>1781</v>
      </c>
    </row>
    <row r="2816" spans="1:4">
      <c r="A2816" s="1" t="s">
        <v>7207</v>
      </c>
      <c r="B2816" s="1" t="s">
        <v>7206</v>
      </c>
      <c r="C2816" s="1" t="s">
        <v>38</v>
      </c>
      <c r="D2816" s="1" t="s">
        <v>1781</v>
      </c>
    </row>
    <row r="2817" spans="1:4">
      <c r="A2817" s="1" t="s">
        <v>7034</v>
      </c>
      <c r="B2817" s="1" t="s">
        <v>7208</v>
      </c>
      <c r="C2817" s="1" t="s">
        <v>38</v>
      </c>
      <c r="D2817" s="1" t="s">
        <v>1781</v>
      </c>
    </row>
    <row r="2818" spans="1:4">
      <c r="A2818" s="1" t="s">
        <v>7048</v>
      </c>
      <c r="B2818" s="1" t="s">
        <v>7209</v>
      </c>
      <c r="C2818" s="1" t="s">
        <v>38</v>
      </c>
      <c r="D2818" s="1" t="s">
        <v>1781</v>
      </c>
    </row>
    <row r="2819" spans="1:4">
      <c r="A2819" s="1" t="s">
        <v>7211</v>
      </c>
      <c r="B2819" s="1" t="s">
        <v>7210</v>
      </c>
      <c r="C2819" s="1" t="s">
        <v>38</v>
      </c>
      <c r="D2819" s="1" t="s">
        <v>1781</v>
      </c>
    </row>
    <row r="2820" spans="1:4">
      <c r="A2820" s="1" t="s">
        <v>7047</v>
      </c>
      <c r="B2820" s="1" t="s">
        <v>7212</v>
      </c>
      <c r="C2820" s="1" t="s">
        <v>38</v>
      </c>
      <c r="D2820" s="1" t="s">
        <v>1781</v>
      </c>
    </row>
    <row r="2821" spans="1:4">
      <c r="A2821" s="1" t="s">
        <v>7036</v>
      </c>
      <c r="B2821" s="1" t="s">
        <v>7213</v>
      </c>
      <c r="C2821" s="1" t="s">
        <v>38</v>
      </c>
      <c r="D2821" s="1" t="s">
        <v>1781</v>
      </c>
    </row>
    <row r="2822" spans="1:4">
      <c r="A2822" s="1" t="s">
        <v>7215</v>
      </c>
      <c r="B2822" s="1" t="s">
        <v>7214</v>
      </c>
      <c r="C2822" s="1" t="s">
        <v>38</v>
      </c>
      <c r="D2822" s="1" t="s">
        <v>1781</v>
      </c>
    </row>
    <row r="2823" spans="1:4">
      <c r="A2823" s="1" t="s">
        <v>401</v>
      </c>
      <c r="B2823" s="1" t="s">
        <v>7216</v>
      </c>
      <c r="C2823" s="1" t="s">
        <v>38</v>
      </c>
      <c r="D2823" s="1" t="s">
        <v>1781</v>
      </c>
    </row>
    <row r="2824" spans="1:4">
      <c r="A2824" s="1" t="s">
        <v>7069</v>
      </c>
      <c r="B2824" s="1" t="s">
        <v>7217</v>
      </c>
      <c r="C2824" s="1" t="s">
        <v>38</v>
      </c>
      <c r="D2824" s="1" t="s">
        <v>1781</v>
      </c>
    </row>
    <row r="2825" spans="1:4">
      <c r="A2825" s="1" t="s">
        <v>7121</v>
      </c>
      <c r="B2825" s="1" t="s">
        <v>7218</v>
      </c>
      <c r="C2825" s="1" t="s">
        <v>38</v>
      </c>
      <c r="D2825" s="1" t="s">
        <v>1781</v>
      </c>
    </row>
    <row r="2826" spans="1:4">
      <c r="A2826" s="1" t="s">
        <v>7220</v>
      </c>
      <c r="B2826" s="1" t="s">
        <v>7219</v>
      </c>
      <c r="C2826" s="1" t="s">
        <v>38</v>
      </c>
      <c r="D2826" s="1" t="s">
        <v>1781</v>
      </c>
    </row>
    <row r="2827" spans="1:4">
      <c r="A2827" s="1" t="s">
        <v>7140</v>
      </c>
      <c r="B2827" s="1" t="s">
        <v>7221</v>
      </c>
      <c r="C2827" s="1" t="s">
        <v>38</v>
      </c>
      <c r="D2827" s="1" t="s">
        <v>1781</v>
      </c>
    </row>
    <row r="2828" spans="1:4">
      <c r="A2828" s="1" t="s">
        <v>7223</v>
      </c>
      <c r="B2828" s="1" t="s">
        <v>7222</v>
      </c>
      <c r="C2828" s="1" t="s">
        <v>38</v>
      </c>
      <c r="D2828" s="1" t="s">
        <v>1781</v>
      </c>
    </row>
    <row r="2829" spans="1:4">
      <c r="A2829" s="1" t="s">
        <v>7045</v>
      </c>
      <c r="B2829" s="1" t="s">
        <v>7224</v>
      </c>
      <c r="C2829" s="1" t="s">
        <v>38</v>
      </c>
      <c r="D2829" s="1" t="s">
        <v>1781</v>
      </c>
    </row>
    <row r="2830" spans="1:4">
      <c r="A2830" s="1" t="s">
        <v>7080</v>
      </c>
      <c r="B2830" s="1" t="s">
        <v>7225</v>
      </c>
      <c r="C2830" s="1" t="s">
        <v>38</v>
      </c>
      <c r="D2830" s="1" t="s">
        <v>1781</v>
      </c>
    </row>
    <row r="2831" spans="1:4">
      <c r="A2831" s="1" t="s">
        <v>7067</v>
      </c>
      <c r="B2831" s="1" t="s">
        <v>7226</v>
      </c>
      <c r="C2831" s="1" t="s">
        <v>38</v>
      </c>
      <c r="D2831" s="1" t="s">
        <v>1781</v>
      </c>
    </row>
    <row r="2832" spans="1:4">
      <c r="A2832" s="1" t="s">
        <v>414</v>
      </c>
      <c r="B2832" s="1" t="s">
        <v>7227</v>
      </c>
      <c r="C2832" s="1" t="s">
        <v>38</v>
      </c>
      <c r="D2832" s="1" t="s">
        <v>1781</v>
      </c>
    </row>
    <row r="2833" spans="1:4">
      <c r="A2833" s="1" t="s">
        <v>7081</v>
      </c>
      <c r="B2833" s="1" t="s">
        <v>7228</v>
      </c>
      <c r="C2833" s="1" t="s">
        <v>38</v>
      </c>
      <c r="D2833" s="1" t="s">
        <v>1781</v>
      </c>
    </row>
    <row r="2834" spans="1:4">
      <c r="A2834" s="1" t="s">
        <v>7230</v>
      </c>
      <c r="B2834" s="1" t="s">
        <v>7229</v>
      </c>
      <c r="C2834" s="1" t="s">
        <v>38</v>
      </c>
      <c r="D2834" s="1" t="s">
        <v>1781</v>
      </c>
    </row>
    <row r="2835" spans="1:4">
      <c r="A2835" s="1" t="s">
        <v>7128</v>
      </c>
      <c r="B2835" s="1" t="s">
        <v>7231</v>
      </c>
      <c r="C2835" s="1" t="s">
        <v>38</v>
      </c>
      <c r="D2835" s="1" t="s">
        <v>1781</v>
      </c>
    </row>
    <row r="2836" spans="1:4">
      <c r="A2836" s="1" t="s">
        <v>7127</v>
      </c>
      <c r="B2836" s="1" t="s">
        <v>7232</v>
      </c>
      <c r="C2836" s="1" t="s">
        <v>38</v>
      </c>
      <c r="D2836" s="1" t="s">
        <v>1781</v>
      </c>
    </row>
    <row r="2837" spans="1:4">
      <c r="A2837" s="1" t="s">
        <v>7234</v>
      </c>
      <c r="B2837" s="1" t="s">
        <v>7233</v>
      </c>
      <c r="C2837" s="1" t="s">
        <v>38</v>
      </c>
      <c r="D2837" s="1" t="s">
        <v>1781</v>
      </c>
    </row>
    <row r="2838" spans="1:4">
      <c r="A2838" s="1" t="s">
        <v>7064</v>
      </c>
      <c r="B2838" s="1" t="s">
        <v>7235</v>
      </c>
      <c r="C2838" s="1" t="s">
        <v>38</v>
      </c>
      <c r="D2838" s="1" t="s">
        <v>1781</v>
      </c>
    </row>
    <row r="2839" spans="1:4">
      <c r="A2839" s="1" t="s">
        <v>7092</v>
      </c>
      <c r="B2839" s="1" t="s">
        <v>7236</v>
      </c>
      <c r="C2839" s="1" t="s">
        <v>38</v>
      </c>
      <c r="D2839" s="1" t="s">
        <v>1781</v>
      </c>
    </row>
    <row r="2840" spans="1:4">
      <c r="A2840" s="1" t="s">
        <v>7102</v>
      </c>
      <c r="B2840" s="1" t="s">
        <v>7237</v>
      </c>
      <c r="C2840" s="1" t="s">
        <v>38</v>
      </c>
      <c r="D2840" s="1" t="s">
        <v>1781</v>
      </c>
    </row>
    <row r="2841" spans="1:4">
      <c r="A2841" s="1" t="s">
        <v>7063</v>
      </c>
      <c r="B2841" s="1" t="s">
        <v>7238</v>
      </c>
      <c r="C2841" s="1" t="s">
        <v>38</v>
      </c>
      <c r="D2841" s="1" t="s">
        <v>1781</v>
      </c>
    </row>
    <row r="2842" spans="1:4">
      <c r="A2842" s="1" t="s">
        <v>7240</v>
      </c>
      <c r="B2842" s="1" t="s">
        <v>7239</v>
      </c>
      <c r="C2842" s="1" t="s">
        <v>38</v>
      </c>
      <c r="D2842" s="1" t="s">
        <v>1781</v>
      </c>
    </row>
    <row r="2843" spans="1:4">
      <c r="A2843" s="1" t="s">
        <v>7103</v>
      </c>
      <c r="B2843" s="1" t="s">
        <v>7241</v>
      </c>
      <c r="C2843" s="1" t="s">
        <v>38</v>
      </c>
      <c r="D2843" s="1" t="s">
        <v>1781</v>
      </c>
    </row>
    <row r="2844" spans="1:4">
      <c r="A2844" s="1" t="s">
        <v>486</v>
      </c>
      <c r="B2844" s="1" t="s">
        <v>7242</v>
      </c>
      <c r="C2844" s="1" t="s">
        <v>38</v>
      </c>
      <c r="D2844" s="1" t="s">
        <v>1781</v>
      </c>
    </row>
    <row r="2845" spans="1:4">
      <c r="A2845" s="1" t="s">
        <v>7050</v>
      </c>
      <c r="B2845" s="1" t="s">
        <v>7243</v>
      </c>
      <c r="C2845" s="1" t="s">
        <v>38</v>
      </c>
      <c r="D2845" s="1" t="s">
        <v>1781</v>
      </c>
    </row>
    <row r="2846" spans="1:4">
      <c r="A2846" s="1" t="s">
        <v>7141</v>
      </c>
      <c r="B2846" s="1" t="s">
        <v>7244</v>
      </c>
      <c r="C2846" s="1" t="s">
        <v>38</v>
      </c>
      <c r="D2846" s="1" t="s">
        <v>1781</v>
      </c>
    </row>
    <row r="2847" spans="1:4">
      <c r="A2847" s="1" t="s">
        <v>7145</v>
      </c>
      <c r="B2847" s="1" t="s">
        <v>7245</v>
      </c>
      <c r="C2847" s="1" t="s">
        <v>38</v>
      </c>
      <c r="D2847" s="1" t="s">
        <v>1781</v>
      </c>
    </row>
    <row r="2848" spans="1:4">
      <c r="A2848" s="1" t="s">
        <v>7061</v>
      </c>
      <c r="B2848" s="1" t="s">
        <v>7246</v>
      </c>
      <c r="C2848" s="1" t="s">
        <v>38</v>
      </c>
      <c r="D2848" s="1" t="s">
        <v>1781</v>
      </c>
    </row>
    <row r="2849" spans="1:4">
      <c r="A2849" s="1" t="s">
        <v>7118</v>
      </c>
      <c r="B2849" s="1" t="s">
        <v>7247</v>
      </c>
      <c r="C2849" s="1" t="s">
        <v>38</v>
      </c>
      <c r="D2849" s="1" t="s">
        <v>1781</v>
      </c>
    </row>
    <row r="2850" spans="1:4">
      <c r="A2850" s="1" t="s">
        <v>7046</v>
      </c>
      <c r="B2850" s="1" t="s">
        <v>7248</v>
      </c>
      <c r="C2850" s="1" t="s">
        <v>38</v>
      </c>
      <c r="D2850" s="1" t="s">
        <v>1781</v>
      </c>
    </row>
    <row r="2851" spans="1:4">
      <c r="A2851" s="1" t="s">
        <v>7250</v>
      </c>
      <c r="B2851" s="1" t="s">
        <v>7249</v>
      </c>
      <c r="C2851" s="1" t="s">
        <v>38</v>
      </c>
      <c r="D2851" s="1" t="s">
        <v>1781</v>
      </c>
    </row>
    <row r="2852" spans="1:4">
      <c r="A2852" s="1" t="s">
        <v>7252</v>
      </c>
      <c r="B2852" s="1" t="s">
        <v>7251</v>
      </c>
      <c r="C2852" s="1" t="s">
        <v>38</v>
      </c>
      <c r="D2852" s="1" t="s">
        <v>1781</v>
      </c>
    </row>
    <row r="2853" spans="1:4">
      <c r="A2853" s="1" t="s">
        <v>7035</v>
      </c>
      <c r="B2853" s="1" t="s">
        <v>7253</v>
      </c>
      <c r="C2853" s="1" t="s">
        <v>38</v>
      </c>
      <c r="D2853" s="1" t="s">
        <v>1781</v>
      </c>
    </row>
    <row r="2854" spans="1:4">
      <c r="A2854" s="1" t="s">
        <v>7129</v>
      </c>
      <c r="B2854" s="1" t="s">
        <v>7254</v>
      </c>
      <c r="C2854" s="1" t="s">
        <v>38</v>
      </c>
      <c r="D2854" s="1" t="s">
        <v>1781</v>
      </c>
    </row>
    <row r="2855" spans="1:4">
      <c r="A2855" s="1" t="s">
        <v>7142</v>
      </c>
      <c r="B2855" s="1" t="s">
        <v>7255</v>
      </c>
      <c r="C2855" s="1" t="s">
        <v>38</v>
      </c>
      <c r="D2855" s="1" t="s">
        <v>1781</v>
      </c>
    </row>
    <row r="2856" spans="1:4">
      <c r="A2856" s="1" t="s">
        <v>7093</v>
      </c>
      <c r="B2856" s="1" t="s">
        <v>7256</v>
      </c>
      <c r="C2856" s="1" t="s">
        <v>38</v>
      </c>
      <c r="D2856" s="1" t="s">
        <v>1781</v>
      </c>
    </row>
    <row r="2857" spans="1:4">
      <c r="A2857" s="1" t="s">
        <v>7133</v>
      </c>
      <c r="B2857" s="1" t="s">
        <v>7257</v>
      </c>
      <c r="C2857" s="1" t="s">
        <v>38</v>
      </c>
      <c r="D2857" s="1" t="s">
        <v>1781</v>
      </c>
    </row>
    <row r="2858" spans="1:4">
      <c r="A2858" s="1" t="s">
        <v>7086</v>
      </c>
      <c r="B2858" s="1" t="s">
        <v>7258</v>
      </c>
      <c r="C2858" s="1" t="s">
        <v>38</v>
      </c>
      <c r="D2858" s="1" t="s">
        <v>1781</v>
      </c>
    </row>
    <row r="2859" spans="1:4">
      <c r="A2859" s="1" t="s">
        <v>7104</v>
      </c>
      <c r="B2859" s="1" t="s">
        <v>7259</v>
      </c>
      <c r="C2859" s="1" t="s">
        <v>38</v>
      </c>
      <c r="D2859" s="1" t="s">
        <v>1781</v>
      </c>
    </row>
    <row r="2860" spans="1:4">
      <c r="A2860" s="1" t="s">
        <v>7040</v>
      </c>
      <c r="B2860" s="1" t="s">
        <v>7260</v>
      </c>
      <c r="C2860" s="1" t="s">
        <v>38</v>
      </c>
      <c r="D2860" s="1" t="s">
        <v>1781</v>
      </c>
    </row>
    <row r="2861" spans="1:4">
      <c r="A2861" s="1" t="s">
        <v>7143</v>
      </c>
      <c r="B2861" s="1" t="s">
        <v>7261</v>
      </c>
      <c r="C2861" s="1" t="s">
        <v>38</v>
      </c>
      <c r="D2861" s="1" t="s">
        <v>1781</v>
      </c>
    </row>
    <row r="2862" spans="1:4">
      <c r="A2862" s="1" t="s">
        <v>7105</v>
      </c>
      <c r="B2862" s="1" t="s">
        <v>7262</v>
      </c>
      <c r="C2862" s="1" t="s">
        <v>38</v>
      </c>
      <c r="D2862" s="1" t="s">
        <v>1781</v>
      </c>
    </row>
    <row r="2863" spans="1:4">
      <c r="A2863" s="1" t="s">
        <v>7144</v>
      </c>
      <c r="B2863" s="1" t="s">
        <v>7263</v>
      </c>
      <c r="C2863" s="1" t="s">
        <v>38</v>
      </c>
      <c r="D2863" s="1" t="s">
        <v>1781</v>
      </c>
    </row>
    <row r="2864" spans="1:4">
      <c r="A2864" s="1" t="s">
        <v>7265</v>
      </c>
      <c r="B2864" s="1" t="s">
        <v>7264</v>
      </c>
      <c r="C2864" s="1" t="s">
        <v>38</v>
      </c>
      <c r="D2864" s="1" t="s">
        <v>1781</v>
      </c>
    </row>
    <row r="2865" spans="1:4">
      <c r="A2865" s="1" t="s">
        <v>7106</v>
      </c>
      <c r="B2865" s="1" t="s">
        <v>7266</v>
      </c>
      <c r="C2865" s="1" t="s">
        <v>38</v>
      </c>
      <c r="D2865" s="1" t="s">
        <v>1781</v>
      </c>
    </row>
    <row r="2866" spans="1:4">
      <c r="A2866" s="1" t="s">
        <v>7073</v>
      </c>
      <c r="B2866" s="1" t="s">
        <v>7267</v>
      </c>
      <c r="C2866" s="1" t="s">
        <v>38</v>
      </c>
      <c r="D2866" s="1" t="s">
        <v>1781</v>
      </c>
    </row>
    <row r="2867" spans="1:4">
      <c r="A2867" s="1" t="s">
        <v>7126</v>
      </c>
      <c r="B2867" s="1" t="s">
        <v>7268</v>
      </c>
      <c r="C2867" s="1" t="s">
        <v>38</v>
      </c>
      <c r="D2867" s="1" t="s">
        <v>1781</v>
      </c>
    </row>
    <row r="2868" spans="1:4">
      <c r="A2868" s="1" t="s">
        <v>7033</v>
      </c>
      <c r="B2868" s="1" t="s">
        <v>7269</v>
      </c>
      <c r="C2868" s="1" t="s">
        <v>38</v>
      </c>
      <c r="D2868" s="1" t="s">
        <v>1781</v>
      </c>
    </row>
    <row r="2869" spans="1:4">
      <c r="A2869" s="1" t="s">
        <v>7075</v>
      </c>
      <c r="B2869" s="1" t="s">
        <v>7270</v>
      </c>
      <c r="C2869" s="1" t="s">
        <v>38</v>
      </c>
      <c r="D2869" s="1" t="s">
        <v>1781</v>
      </c>
    </row>
    <row r="2870" spans="1:4">
      <c r="A2870" s="1" t="s">
        <v>7272</v>
      </c>
      <c r="B2870" s="1" t="s">
        <v>7271</v>
      </c>
      <c r="C2870" s="1" t="s">
        <v>38</v>
      </c>
      <c r="D2870" s="1" t="s">
        <v>1781</v>
      </c>
    </row>
    <row r="2871" spans="1:4">
      <c r="A2871" s="1" t="s">
        <v>7096</v>
      </c>
      <c r="B2871" s="1" t="s">
        <v>7273</v>
      </c>
      <c r="C2871" s="1" t="s">
        <v>38</v>
      </c>
      <c r="D2871" s="1" t="s">
        <v>1781</v>
      </c>
    </row>
    <row r="2872" spans="1:4">
      <c r="A2872" s="1" t="s">
        <v>7113</v>
      </c>
      <c r="B2872" s="1" t="s">
        <v>7274</v>
      </c>
      <c r="C2872" s="1" t="s">
        <v>38</v>
      </c>
      <c r="D2872" s="1" t="s">
        <v>1781</v>
      </c>
    </row>
    <row r="2873" spans="1:4">
      <c r="A2873" s="1" t="s">
        <v>1817</v>
      </c>
      <c r="B2873" s="1" t="s">
        <v>7275</v>
      </c>
      <c r="C2873" s="1" t="s">
        <v>38</v>
      </c>
      <c r="D2873" s="1" t="s">
        <v>1781</v>
      </c>
    </row>
    <row r="2874" spans="1:4">
      <c r="A2874" s="1" t="s">
        <v>7114</v>
      </c>
      <c r="B2874" s="1" t="s">
        <v>7276</v>
      </c>
      <c r="C2874" s="1" t="s">
        <v>38</v>
      </c>
      <c r="D2874" s="1" t="s">
        <v>1781</v>
      </c>
    </row>
    <row r="2875" spans="1:4">
      <c r="A2875" s="1" t="s">
        <v>7097</v>
      </c>
      <c r="B2875" s="1" t="s">
        <v>7277</v>
      </c>
      <c r="C2875" s="1" t="s">
        <v>38</v>
      </c>
      <c r="D2875" s="1" t="s">
        <v>1781</v>
      </c>
    </row>
    <row r="2876" spans="1:4">
      <c r="A2876" s="1" t="s">
        <v>7098</v>
      </c>
      <c r="B2876" s="1" t="s">
        <v>7278</v>
      </c>
      <c r="C2876" s="1" t="s">
        <v>38</v>
      </c>
      <c r="D2876" s="1" t="s">
        <v>1781</v>
      </c>
    </row>
    <row r="2877" spans="1:4">
      <c r="A2877" s="1" t="s">
        <v>403</v>
      </c>
      <c r="B2877" s="1" t="s">
        <v>7279</v>
      </c>
      <c r="C2877" s="1" t="s">
        <v>38</v>
      </c>
      <c r="D2877" s="1" t="s">
        <v>1781</v>
      </c>
    </row>
    <row r="2878" spans="1:4">
      <c r="A2878" s="1" t="s">
        <v>1818</v>
      </c>
      <c r="B2878" s="1" t="s">
        <v>7280</v>
      </c>
      <c r="C2878" s="1" t="s">
        <v>38</v>
      </c>
      <c r="D2878" s="1" t="s">
        <v>1781</v>
      </c>
    </row>
    <row r="2879" spans="1:4">
      <c r="A2879" s="1" t="s">
        <v>7137</v>
      </c>
      <c r="B2879" s="1" t="s">
        <v>7281</v>
      </c>
      <c r="C2879" s="1" t="s">
        <v>38</v>
      </c>
      <c r="D2879" s="1" t="s">
        <v>1781</v>
      </c>
    </row>
    <row r="2880" spans="1:4">
      <c r="A2880" s="1" t="s">
        <v>411</v>
      </c>
      <c r="B2880" s="1" t="s">
        <v>7282</v>
      </c>
      <c r="C2880" s="1" t="s">
        <v>38</v>
      </c>
      <c r="D2880" s="1" t="s">
        <v>1781</v>
      </c>
    </row>
    <row r="2881" spans="1:4">
      <c r="A2881" s="1" t="s">
        <v>384</v>
      </c>
      <c r="B2881" s="1" t="s">
        <v>7283</v>
      </c>
      <c r="C2881" s="1" t="s">
        <v>38</v>
      </c>
      <c r="D2881" s="1" t="s">
        <v>1781</v>
      </c>
    </row>
    <row r="2882" spans="1:4">
      <c r="A2882" s="1" t="s">
        <v>7099</v>
      </c>
      <c r="B2882" s="1" t="s">
        <v>7284</v>
      </c>
      <c r="C2882" s="1" t="s">
        <v>38</v>
      </c>
      <c r="D2882" s="1" t="s">
        <v>1781</v>
      </c>
    </row>
    <row r="2883" spans="1:4">
      <c r="A2883" s="1" t="s">
        <v>405</v>
      </c>
      <c r="B2883" s="1" t="s">
        <v>7285</v>
      </c>
      <c r="C2883" s="1" t="s">
        <v>38</v>
      </c>
      <c r="D2883" s="1" t="s">
        <v>1781</v>
      </c>
    </row>
    <row r="2884" spans="1:4">
      <c r="A2884" s="1" t="s">
        <v>409</v>
      </c>
      <c r="B2884" s="1" t="s">
        <v>7286</v>
      </c>
      <c r="C2884" s="1" t="s">
        <v>38</v>
      </c>
      <c r="D2884" s="1" t="s">
        <v>1781</v>
      </c>
    </row>
    <row r="2885" spans="1:4">
      <c r="A2885" s="1" t="s">
        <v>7100</v>
      </c>
      <c r="B2885" s="1" t="s">
        <v>7287</v>
      </c>
      <c r="C2885" s="1" t="s">
        <v>38</v>
      </c>
      <c r="D2885" s="1" t="s">
        <v>1781</v>
      </c>
    </row>
    <row r="2886" spans="1:4">
      <c r="A2886" s="1" t="s">
        <v>836</v>
      </c>
      <c r="B2886" s="1" t="s">
        <v>7288</v>
      </c>
      <c r="C2886" s="1" t="s">
        <v>38</v>
      </c>
      <c r="D2886" s="1" t="s">
        <v>1781</v>
      </c>
    </row>
    <row r="2887" spans="1:4">
      <c r="A2887" s="1" t="s">
        <v>253</v>
      </c>
      <c r="B2887" s="1" t="s">
        <v>7289</v>
      </c>
      <c r="C2887" s="1" t="s">
        <v>38</v>
      </c>
      <c r="D2887" s="1" t="s">
        <v>1781</v>
      </c>
    </row>
    <row r="2888" spans="1:4">
      <c r="A2888" s="1" t="s">
        <v>7071</v>
      </c>
      <c r="B2888" s="1" t="s">
        <v>7290</v>
      </c>
      <c r="C2888" s="1" t="s">
        <v>38</v>
      </c>
      <c r="D2888" s="1" t="s">
        <v>1781</v>
      </c>
    </row>
    <row r="2889" spans="1:4">
      <c r="A2889" s="1" t="s">
        <v>369</v>
      </c>
      <c r="B2889" s="1" t="s">
        <v>7291</v>
      </c>
      <c r="C2889" s="1" t="s">
        <v>38</v>
      </c>
      <c r="D2889" s="1" t="s">
        <v>1781</v>
      </c>
    </row>
    <row r="2890" spans="1:4">
      <c r="A2890" s="1" t="s">
        <v>7293</v>
      </c>
      <c r="B2890" s="1" t="s">
        <v>7292</v>
      </c>
      <c r="C2890" s="1" t="s">
        <v>38</v>
      </c>
      <c r="D2890" s="1" t="s">
        <v>1781</v>
      </c>
    </row>
    <row r="2891" spans="1:4">
      <c r="A2891" s="1" t="s">
        <v>7295</v>
      </c>
      <c r="B2891" s="1" t="s">
        <v>7294</v>
      </c>
      <c r="C2891" s="1" t="s">
        <v>38</v>
      </c>
      <c r="D2891" s="1" t="s">
        <v>1781</v>
      </c>
    </row>
    <row r="2892" spans="1:4">
      <c r="A2892" s="1" t="s">
        <v>7131</v>
      </c>
      <c r="B2892" s="1" t="s">
        <v>7296</v>
      </c>
      <c r="C2892" s="1" t="s">
        <v>38</v>
      </c>
      <c r="D2892" s="1" t="s">
        <v>1781</v>
      </c>
    </row>
    <row r="2893" spans="1:4">
      <c r="A2893" s="1" t="s">
        <v>7074</v>
      </c>
      <c r="B2893" s="1" t="s">
        <v>7297</v>
      </c>
      <c r="C2893" s="1" t="s">
        <v>38</v>
      </c>
      <c r="D2893" s="1" t="s">
        <v>1781</v>
      </c>
    </row>
    <row r="2894" spans="1:4">
      <c r="A2894" s="1" t="s">
        <v>7070</v>
      </c>
      <c r="B2894" s="1" t="s">
        <v>7298</v>
      </c>
      <c r="C2894" s="1" t="s">
        <v>38</v>
      </c>
      <c r="D2894" s="1" t="s">
        <v>1781</v>
      </c>
    </row>
    <row r="2895" spans="1:4">
      <c r="A2895" s="1" t="s">
        <v>7084</v>
      </c>
      <c r="B2895" s="1" t="s">
        <v>7299</v>
      </c>
      <c r="C2895" s="1" t="s">
        <v>38</v>
      </c>
      <c r="D2895" s="1" t="s">
        <v>1781</v>
      </c>
    </row>
    <row r="2896" spans="1:4">
      <c r="A2896" s="1" t="s">
        <v>7301</v>
      </c>
      <c r="B2896" s="1" t="s">
        <v>7300</v>
      </c>
      <c r="C2896" s="1" t="s">
        <v>38</v>
      </c>
      <c r="D2896" s="1" t="s">
        <v>1781</v>
      </c>
    </row>
    <row r="2897" spans="1:4">
      <c r="A2897" s="1" t="s">
        <v>7136</v>
      </c>
      <c r="B2897" s="1" t="s">
        <v>7302</v>
      </c>
      <c r="C2897" s="1" t="s">
        <v>38</v>
      </c>
      <c r="D2897" s="1" t="s">
        <v>1781</v>
      </c>
    </row>
    <row r="2898" spans="1:4">
      <c r="A2898" s="1" t="s">
        <v>7304</v>
      </c>
      <c r="B2898" s="1" t="s">
        <v>7303</v>
      </c>
      <c r="C2898" s="1" t="s">
        <v>38</v>
      </c>
      <c r="D2898" s="1" t="s">
        <v>1781</v>
      </c>
    </row>
    <row r="2899" spans="1:4">
      <c r="A2899" s="1" t="s">
        <v>7132</v>
      </c>
      <c r="B2899" s="1" t="s">
        <v>7305</v>
      </c>
      <c r="C2899" s="1" t="s">
        <v>38</v>
      </c>
      <c r="D2899" s="1" t="s">
        <v>1781</v>
      </c>
    </row>
    <row r="2900" spans="1:4">
      <c r="A2900" s="1" t="s">
        <v>7087</v>
      </c>
      <c r="B2900" s="1" t="s">
        <v>7306</v>
      </c>
      <c r="C2900" s="1" t="s">
        <v>38</v>
      </c>
      <c r="D2900" s="1" t="s">
        <v>1781</v>
      </c>
    </row>
    <row r="2901" spans="1:4">
      <c r="A2901" s="1" t="s">
        <v>7090</v>
      </c>
      <c r="B2901" s="1" t="s">
        <v>7307</v>
      </c>
      <c r="C2901" s="1" t="s">
        <v>38</v>
      </c>
      <c r="D2901" s="1" t="s">
        <v>1781</v>
      </c>
    </row>
    <row r="2902" spans="1:4">
      <c r="A2902" s="1" t="s">
        <v>7309</v>
      </c>
      <c r="B2902" s="1" t="s">
        <v>7308</v>
      </c>
      <c r="C2902" s="1" t="s">
        <v>38</v>
      </c>
      <c r="D2902" s="1" t="s">
        <v>1781</v>
      </c>
    </row>
    <row r="2903" spans="1:4">
      <c r="A2903" s="1" t="s">
        <v>7311</v>
      </c>
      <c r="B2903" s="1" t="s">
        <v>7310</v>
      </c>
      <c r="C2903" s="1" t="s">
        <v>38</v>
      </c>
      <c r="D2903" s="1" t="s">
        <v>1781</v>
      </c>
    </row>
    <row r="2904" spans="1:4">
      <c r="A2904" s="1" t="s">
        <v>326</v>
      </c>
      <c r="B2904" s="1" t="s">
        <v>7312</v>
      </c>
      <c r="C2904" s="1" t="s">
        <v>38</v>
      </c>
      <c r="D2904" s="1" t="s">
        <v>1781</v>
      </c>
    </row>
    <row r="2905" spans="1:4">
      <c r="A2905" s="1" t="s">
        <v>7138</v>
      </c>
      <c r="B2905" s="1" t="s">
        <v>7313</v>
      </c>
      <c r="C2905" s="1" t="s">
        <v>38</v>
      </c>
      <c r="D2905" s="1" t="s">
        <v>1781</v>
      </c>
    </row>
    <row r="2906" spans="1:4">
      <c r="A2906" s="1" t="s">
        <v>7315</v>
      </c>
      <c r="B2906" s="1" t="s">
        <v>7314</v>
      </c>
      <c r="C2906" s="1" t="s">
        <v>38</v>
      </c>
      <c r="D2906" s="1" t="s">
        <v>1781</v>
      </c>
    </row>
    <row r="2907" spans="1:4">
      <c r="A2907" s="1" t="s">
        <v>7317</v>
      </c>
      <c r="B2907" s="1" t="s">
        <v>7316</v>
      </c>
      <c r="C2907" s="1" t="s">
        <v>38</v>
      </c>
      <c r="D2907" s="1" t="s">
        <v>1781</v>
      </c>
    </row>
    <row r="2908" spans="1:4">
      <c r="A2908" s="1" t="s">
        <v>7319</v>
      </c>
      <c r="B2908" s="1" t="s">
        <v>7318</v>
      </c>
      <c r="C2908" s="1" t="s">
        <v>38</v>
      </c>
      <c r="D2908" s="1" t="s">
        <v>1781</v>
      </c>
    </row>
    <row r="2909" spans="1:4">
      <c r="A2909" s="1" t="s">
        <v>7112</v>
      </c>
      <c r="B2909" s="1" t="s">
        <v>7320</v>
      </c>
      <c r="C2909" s="1" t="s">
        <v>38</v>
      </c>
      <c r="D2909" s="1" t="s">
        <v>1781</v>
      </c>
    </row>
    <row r="2910" spans="1:4">
      <c r="A2910" s="1" t="s">
        <v>7130</v>
      </c>
      <c r="B2910" s="1" t="s">
        <v>7321</v>
      </c>
      <c r="C2910" s="1" t="s">
        <v>38</v>
      </c>
      <c r="D2910" s="1" t="s">
        <v>1781</v>
      </c>
    </row>
    <row r="2911" spans="1:4">
      <c r="A2911" s="1" t="s">
        <v>7323</v>
      </c>
      <c r="B2911" s="1" t="s">
        <v>7322</v>
      </c>
      <c r="C2911" s="1" t="s">
        <v>38</v>
      </c>
      <c r="D2911" s="1" t="s">
        <v>1781</v>
      </c>
    </row>
    <row r="2912" spans="1:4">
      <c r="A2912" s="1" t="s">
        <v>7123</v>
      </c>
      <c r="B2912" s="1" t="s">
        <v>7324</v>
      </c>
      <c r="C2912" s="1" t="s">
        <v>38</v>
      </c>
      <c r="D2912" s="1" t="s">
        <v>1781</v>
      </c>
    </row>
    <row r="2913" spans="1:4">
      <c r="A2913" s="1" t="s">
        <v>7326</v>
      </c>
      <c r="B2913" s="1" t="s">
        <v>7325</v>
      </c>
      <c r="C2913" s="1" t="s">
        <v>38</v>
      </c>
      <c r="D2913" s="1" t="s">
        <v>1781</v>
      </c>
    </row>
    <row r="2914" spans="1:4">
      <c r="A2914" s="1" t="s">
        <v>7328</v>
      </c>
      <c r="B2914" s="1" t="s">
        <v>7327</v>
      </c>
      <c r="C2914" s="1" t="s">
        <v>38</v>
      </c>
      <c r="D2914" s="1" t="s">
        <v>1781</v>
      </c>
    </row>
    <row r="2915" spans="1:4">
      <c r="A2915" s="1" t="s">
        <v>266</v>
      </c>
      <c r="B2915" s="1" t="s">
        <v>7329</v>
      </c>
      <c r="C2915" s="1" t="s">
        <v>38</v>
      </c>
      <c r="D2915" s="1" t="s">
        <v>1781</v>
      </c>
    </row>
    <row r="2916" spans="1:4">
      <c r="A2916" s="1" t="s">
        <v>7088</v>
      </c>
      <c r="B2916" s="1" t="s">
        <v>7330</v>
      </c>
      <c r="C2916" s="1" t="s">
        <v>38</v>
      </c>
      <c r="D2916" s="1" t="s">
        <v>1781</v>
      </c>
    </row>
    <row r="2917" spans="1:4">
      <c r="A2917" s="1" t="s">
        <v>7051</v>
      </c>
      <c r="B2917" s="1" t="s">
        <v>7331</v>
      </c>
      <c r="C2917" s="1" t="s">
        <v>38</v>
      </c>
      <c r="D2917" s="1" t="s">
        <v>1781</v>
      </c>
    </row>
    <row r="2918" spans="1:4">
      <c r="A2918" s="1" t="s">
        <v>7119</v>
      </c>
      <c r="B2918" s="1" t="s">
        <v>7332</v>
      </c>
      <c r="C2918" s="1" t="s">
        <v>38</v>
      </c>
      <c r="D2918" s="1" t="s">
        <v>1781</v>
      </c>
    </row>
    <row r="2919" spans="1:4">
      <c r="A2919" s="1" t="s">
        <v>7056</v>
      </c>
      <c r="B2919" s="1" t="s">
        <v>7333</v>
      </c>
      <c r="C2919" s="1" t="s">
        <v>38</v>
      </c>
      <c r="D2919" s="1" t="s">
        <v>1781</v>
      </c>
    </row>
    <row r="2920" spans="1:4">
      <c r="A2920" s="1" t="s">
        <v>7094</v>
      </c>
      <c r="B2920" s="1" t="s">
        <v>7334</v>
      </c>
      <c r="C2920" s="1" t="s">
        <v>38</v>
      </c>
      <c r="D2920" s="1" t="s">
        <v>1781</v>
      </c>
    </row>
    <row r="2921" spans="1:4">
      <c r="A2921" s="1" t="s">
        <v>7336</v>
      </c>
      <c r="B2921" s="1" t="s">
        <v>7335</v>
      </c>
      <c r="C2921" s="1" t="s">
        <v>38</v>
      </c>
      <c r="D2921" s="1" t="s">
        <v>1781</v>
      </c>
    </row>
    <row r="2922" spans="1:4">
      <c r="A2922" s="1" t="s">
        <v>376</v>
      </c>
      <c r="B2922" s="1" t="s">
        <v>7337</v>
      </c>
      <c r="C2922" s="1" t="s">
        <v>38</v>
      </c>
      <c r="D2922" s="1" t="s">
        <v>1781</v>
      </c>
    </row>
    <row r="2923" spans="1:4">
      <c r="A2923" s="1" t="s">
        <v>7339</v>
      </c>
      <c r="B2923" s="1" t="s">
        <v>7338</v>
      </c>
      <c r="C2923" s="1" t="s">
        <v>38</v>
      </c>
      <c r="D2923" s="1" t="s">
        <v>1781</v>
      </c>
    </row>
    <row r="2924" spans="1:4">
      <c r="A2924" s="1" t="s">
        <v>7043</v>
      </c>
      <c r="B2924" s="1" t="s">
        <v>7340</v>
      </c>
      <c r="C2924" s="1" t="s">
        <v>38</v>
      </c>
      <c r="D2924" s="1" t="s">
        <v>1781</v>
      </c>
    </row>
    <row r="2925" spans="1:4">
      <c r="A2925" s="1" t="s">
        <v>322</v>
      </c>
      <c r="B2925" s="1" t="s">
        <v>7341</v>
      </c>
      <c r="C2925" s="1" t="s">
        <v>38</v>
      </c>
      <c r="D2925" s="1" t="s">
        <v>1781</v>
      </c>
    </row>
    <row r="2926" spans="1:4">
      <c r="A2926" s="1" t="s">
        <v>7343</v>
      </c>
      <c r="B2926" s="1" t="s">
        <v>7342</v>
      </c>
      <c r="C2926" s="1" t="s">
        <v>38</v>
      </c>
      <c r="D2926" s="1" t="s">
        <v>1781</v>
      </c>
    </row>
    <row r="2927" spans="1:4">
      <c r="A2927" s="1" t="s">
        <v>7095</v>
      </c>
      <c r="B2927" s="1" t="s">
        <v>7344</v>
      </c>
      <c r="C2927" s="1" t="s">
        <v>38</v>
      </c>
      <c r="D2927" s="1" t="s">
        <v>1781</v>
      </c>
    </row>
    <row r="2928" spans="1:4">
      <c r="A2928" s="1" t="s">
        <v>7346</v>
      </c>
      <c r="B2928" s="1" t="s">
        <v>7345</v>
      </c>
      <c r="C2928" s="1" t="s">
        <v>38</v>
      </c>
      <c r="D2928" s="1" t="s">
        <v>1781</v>
      </c>
    </row>
    <row r="2929" spans="1:4">
      <c r="A2929" s="1" t="s">
        <v>7055</v>
      </c>
      <c r="B2929" s="1" t="s">
        <v>7347</v>
      </c>
      <c r="C2929" s="1" t="s">
        <v>38</v>
      </c>
      <c r="D2929" s="1" t="s">
        <v>1781</v>
      </c>
    </row>
    <row r="2930" spans="1:4">
      <c r="A2930" s="1" t="s">
        <v>7349</v>
      </c>
      <c r="B2930" s="1" t="s">
        <v>7348</v>
      </c>
      <c r="C2930" s="1" t="s">
        <v>38</v>
      </c>
      <c r="D2930" s="1" t="s">
        <v>1781</v>
      </c>
    </row>
    <row r="2931" spans="1:4">
      <c r="A2931" s="1" t="s">
        <v>7351</v>
      </c>
      <c r="B2931" s="1" t="s">
        <v>7350</v>
      </c>
      <c r="C2931" s="1" t="s">
        <v>38</v>
      </c>
      <c r="D2931" s="1" t="s">
        <v>1781</v>
      </c>
    </row>
    <row r="2932" spans="1:4">
      <c r="A2932" s="1" t="s">
        <v>7052</v>
      </c>
      <c r="B2932" s="1" t="s">
        <v>7352</v>
      </c>
      <c r="C2932" s="1" t="s">
        <v>38</v>
      </c>
      <c r="D2932" s="1" t="s">
        <v>1781</v>
      </c>
    </row>
    <row r="2933" spans="1:4">
      <c r="A2933" s="1" t="s">
        <v>7354</v>
      </c>
      <c r="B2933" s="1" t="s">
        <v>7353</v>
      </c>
      <c r="C2933" s="1" t="s">
        <v>38</v>
      </c>
      <c r="D2933" s="1" t="s">
        <v>1781</v>
      </c>
    </row>
    <row r="2934" spans="1:4">
      <c r="A2934" s="1" t="s">
        <v>658</v>
      </c>
      <c r="B2934" s="1" t="s">
        <v>7355</v>
      </c>
      <c r="C2934" s="1" t="s">
        <v>38</v>
      </c>
      <c r="D2934" s="1" t="s">
        <v>1781</v>
      </c>
    </row>
    <row r="2935" spans="1:4">
      <c r="A2935" s="1" t="s">
        <v>7357</v>
      </c>
      <c r="B2935" s="1" t="s">
        <v>7356</v>
      </c>
      <c r="C2935" s="1" t="s">
        <v>38</v>
      </c>
      <c r="D2935" s="1" t="s">
        <v>1781</v>
      </c>
    </row>
    <row r="2936" spans="1:4">
      <c r="A2936" s="1" t="s">
        <v>7359</v>
      </c>
      <c r="B2936" s="1" t="s">
        <v>7358</v>
      </c>
      <c r="C2936" s="1" t="s">
        <v>38</v>
      </c>
      <c r="D2936" s="1" t="s">
        <v>1781</v>
      </c>
    </row>
    <row r="2937" spans="1:4">
      <c r="A2937" s="1" t="s">
        <v>7085</v>
      </c>
      <c r="B2937" s="1" t="s">
        <v>7360</v>
      </c>
      <c r="C2937" s="1" t="s">
        <v>38</v>
      </c>
      <c r="D2937" s="1" t="s">
        <v>1781</v>
      </c>
    </row>
    <row r="2938" spans="1:4">
      <c r="A2938" s="1" t="s">
        <v>7362</v>
      </c>
      <c r="B2938" s="1" t="s">
        <v>7361</v>
      </c>
      <c r="C2938" s="1" t="s">
        <v>38</v>
      </c>
      <c r="D2938" s="1" t="s">
        <v>1781</v>
      </c>
    </row>
    <row r="2939" spans="1:4">
      <c r="A2939" s="1" t="s">
        <v>7060</v>
      </c>
      <c r="B2939" s="1" t="s">
        <v>7363</v>
      </c>
      <c r="C2939" s="1" t="s">
        <v>38</v>
      </c>
      <c r="D2939" s="1" t="s">
        <v>1781</v>
      </c>
    </row>
    <row r="2940" spans="1:4">
      <c r="A2940" s="1" t="s">
        <v>661</v>
      </c>
      <c r="B2940" s="1" t="s">
        <v>7364</v>
      </c>
      <c r="C2940" s="1" t="s">
        <v>38</v>
      </c>
      <c r="D2940" s="1" t="s">
        <v>1781</v>
      </c>
    </row>
    <row r="2941" spans="1:4">
      <c r="A2941" s="1" t="s">
        <v>7110</v>
      </c>
      <c r="B2941" s="1" t="s">
        <v>7365</v>
      </c>
      <c r="C2941" s="1" t="s">
        <v>38</v>
      </c>
      <c r="D2941" s="1" t="s">
        <v>1781</v>
      </c>
    </row>
    <row r="2942" spans="1:4">
      <c r="A2942" s="1" t="s">
        <v>7111</v>
      </c>
      <c r="B2942" s="1" t="s">
        <v>7366</v>
      </c>
      <c r="C2942" s="1" t="s">
        <v>38</v>
      </c>
      <c r="D2942" s="1" t="s">
        <v>1781</v>
      </c>
    </row>
    <row r="2943" spans="1:4">
      <c r="A2943" s="1" t="s">
        <v>7368</v>
      </c>
      <c r="B2943" s="1" t="s">
        <v>7367</v>
      </c>
      <c r="C2943" s="1" t="s">
        <v>38</v>
      </c>
      <c r="D2943" s="1" t="s">
        <v>1781</v>
      </c>
    </row>
    <row r="2944" spans="1:4">
      <c r="A2944" s="1" t="s">
        <v>7370</v>
      </c>
      <c r="B2944" s="1" t="s">
        <v>7369</v>
      </c>
      <c r="C2944" s="1" t="s">
        <v>38</v>
      </c>
      <c r="D2944" s="1" t="s">
        <v>1781</v>
      </c>
    </row>
    <row r="2945" spans="1:4">
      <c r="A2945" s="1" t="s">
        <v>7372</v>
      </c>
      <c r="B2945" s="1" t="s">
        <v>7371</v>
      </c>
      <c r="C2945" s="1" t="s">
        <v>38</v>
      </c>
      <c r="D2945" s="1" t="s">
        <v>1781</v>
      </c>
    </row>
    <row r="2946" spans="1:4">
      <c r="A2946" s="1" t="s">
        <v>7062</v>
      </c>
      <c r="B2946" s="1" t="s">
        <v>7373</v>
      </c>
      <c r="C2946" s="1" t="s">
        <v>38</v>
      </c>
      <c r="D2946" s="1" t="s">
        <v>1781</v>
      </c>
    </row>
    <row r="2947" spans="1:4">
      <c r="A2947" s="1" t="s">
        <v>7375</v>
      </c>
      <c r="B2947" s="1" t="s">
        <v>7374</v>
      </c>
      <c r="C2947" s="1" t="s">
        <v>38</v>
      </c>
      <c r="D2947" s="1" t="s">
        <v>1781</v>
      </c>
    </row>
    <row r="2948" spans="1:4">
      <c r="A2948" s="1" t="s">
        <v>7377</v>
      </c>
      <c r="B2948" s="1" t="s">
        <v>7376</v>
      </c>
      <c r="C2948" s="1" t="s">
        <v>38</v>
      </c>
      <c r="D2948" s="1" t="s">
        <v>1781</v>
      </c>
    </row>
    <row r="2949" spans="1:4">
      <c r="A2949" s="1" t="s">
        <v>7134</v>
      </c>
      <c r="B2949" s="1" t="s">
        <v>7378</v>
      </c>
      <c r="C2949" s="1" t="s">
        <v>38</v>
      </c>
      <c r="D2949" s="1" t="s">
        <v>1781</v>
      </c>
    </row>
    <row r="2950" spans="1:4">
      <c r="A2950" s="1" t="s">
        <v>7089</v>
      </c>
      <c r="B2950" s="1" t="s">
        <v>7379</v>
      </c>
      <c r="C2950" s="1" t="s">
        <v>38</v>
      </c>
      <c r="D2950" s="1" t="s">
        <v>1781</v>
      </c>
    </row>
    <row r="2951" spans="1:4">
      <c r="A2951" s="1" t="s">
        <v>7108</v>
      </c>
      <c r="B2951" s="1" t="s">
        <v>7380</v>
      </c>
      <c r="C2951" s="1" t="s">
        <v>38</v>
      </c>
      <c r="D2951" s="1" t="s">
        <v>1781</v>
      </c>
    </row>
    <row r="2952" spans="1:4">
      <c r="A2952" s="1" t="s">
        <v>7116</v>
      </c>
      <c r="B2952" s="1" t="s">
        <v>7381</v>
      </c>
      <c r="C2952" s="1" t="s">
        <v>38</v>
      </c>
      <c r="D2952" s="1" t="s">
        <v>1781</v>
      </c>
    </row>
    <row r="2953" spans="1:4">
      <c r="A2953" s="1" t="s">
        <v>7109</v>
      </c>
      <c r="B2953" s="1" t="s">
        <v>7382</v>
      </c>
      <c r="C2953" s="1" t="s">
        <v>38</v>
      </c>
      <c r="D2953" s="1" t="s">
        <v>1781</v>
      </c>
    </row>
    <row r="2954" spans="1:4">
      <c r="A2954" s="1" t="s">
        <v>356</v>
      </c>
      <c r="B2954" s="1" t="s">
        <v>7383</v>
      </c>
      <c r="C2954" s="1" t="s">
        <v>38</v>
      </c>
      <c r="D2954" s="1" t="s">
        <v>1781</v>
      </c>
    </row>
    <row r="2955" spans="1:4">
      <c r="A2955" s="1" t="s">
        <v>7107</v>
      </c>
      <c r="B2955" s="1" t="s">
        <v>7384</v>
      </c>
      <c r="C2955" s="1" t="s">
        <v>38</v>
      </c>
      <c r="D2955" s="1" t="s">
        <v>1781</v>
      </c>
    </row>
    <row r="2956" spans="1:4">
      <c r="A2956" s="1" t="s">
        <v>7386</v>
      </c>
      <c r="B2956" s="1" t="s">
        <v>7385</v>
      </c>
      <c r="C2956" s="1" t="s">
        <v>38</v>
      </c>
      <c r="D2956" s="1" t="s">
        <v>1781</v>
      </c>
    </row>
    <row r="2957" spans="1:4">
      <c r="A2957" s="1" t="s">
        <v>7388</v>
      </c>
      <c r="B2957" s="1" t="s">
        <v>7387</v>
      </c>
      <c r="C2957" s="1" t="s">
        <v>38</v>
      </c>
      <c r="D2957" s="1" t="s">
        <v>1781</v>
      </c>
    </row>
    <row r="2958" spans="1:4">
      <c r="A2958" s="1" t="s">
        <v>7124</v>
      </c>
      <c r="B2958" s="1" t="s">
        <v>7389</v>
      </c>
      <c r="C2958" s="1" t="s">
        <v>38</v>
      </c>
      <c r="D2958" s="1" t="s">
        <v>1781</v>
      </c>
    </row>
    <row r="2959" spans="1:4">
      <c r="A2959" s="1" t="s">
        <v>268</v>
      </c>
      <c r="B2959" s="1" t="s">
        <v>7390</v>
      </c>
      <c r="C2959" s="1" t="s">
        <v>38</v>
      </c>
      <c r="D2959" s="1" t="s">
        <v>1781</v>
      </c>
    </row>
    <row r="2960" spans="1:4">
      <c r="A2960" s="1" t="s">
        <v>258</v>
      </c>
      <c r="B2960" s="1" t="s">
        <v>7391</v>
      </c>
      <c r="C2960" s="1" t="s">
        <v>38</v>
      </c>
      <c r="D2960" s="1" t="s">
        <v>1781</v>
      </c>
    </row>
    <row r="2961" spans="1:4">
      <c r="A2961" s="1" t="s">
        <v>7393</v>
      </c>
      <c r="B2961" s="1" t="s">
        <v>7392</v>
      </c>
      <c r="C2961" s="1" t="s">
        <v>38</v>
      </c>
      <c r="D2961" s="1" t="s">
        <v>1781</v>
      </c>
    </row>
    <row r="2962" spans="1:4">
      <c r="A2962" s="1" t="s">
        <v>262</v>
      </c>
      <c r="B2962" s="1" t="s">
        <v>7394</v>
      </c>
      <c r="C2962" s="1" t="s">
        <v>38</v>
      </c>
      <c r="D2962" s="1" t="s">
        <v>1781</v>
      </c>
    </row>
    <row r="2963" spans="1:4">
      <c r="A2963" s="1" t="s">
        <v>7135</v>
      </c>
      <c r="B2963" s="1" t="s">
        <v>7395</v>
      </c>
      <c r="C2963" s="1" t="s">
        <v>38</v>
      </c>
      <c r="D2963" s="1" t="s">
        <v>1781</v>
      </c>
    </row>
    <row r="2964" spans="1:4">
      <c r="A2964" s="1" t="s">
        <v>264</v>
      </c>
      <c r="B2964" s="1" t="s">
        <v>7396</v>
      </c>
      <c r="C2964" s="1" t="s">
        <v>38</v>
      </c>
      <c r="D2964" s="1" t="s">
        <v>1781</v>
      </c>
    </row>
    <row r="2965" spans="1:4">
      <c r="A2965" s="1" t="s">
        <v>7398</v>
      </c>
      <c r="B2965" s="1" t="s">
        <v>7397</v>
      </c>
      <c r="C2965" s="1" t="s">
        <v>38</v>
      </c>
      <c r="D2965" s="1" t="s">
        <v>1781</v>
      </c>
    </row>
    <row r="2966" spans="1:4">
      <c r="A2966" s="1" t="s">
        <v>7399</v>
      </c>
      <c r="B2966" s="1" t="s">
        <v>7446</v>
      </c>
      <c r="C2966" s="1" t="s">
        <v>38</v>
      </c>
      <c r="D2966" s="1" t="s">
        <v>1781</v>
      </c>
    </row>
    <row r="2967" spans="1:4">
      <c r="A2967" s="1" t="s">
        <v>7430</v>
      </c>
      <c r="B2967" s="1" t="s">
        <v>7447</v>
      </c>
      <c r="C2967" s="1" t="s">
        <v>38</v>
      </c>
      <c r="D2967" s="1" t="s">
        <v>1781</v>
      </c>
    </row>
    <row r="2968" spans="1:4">
      <c r="A2968" s="1" t="s">
        <v>1853</v>
      </c>
      <c r="B2968" s="1" t="s">
        <v>7448</v>
      </c>
      <c r="C2968" s="1" t="s">
        <v>38</v>
      </c>
      <c r="D2968" s="1" t="s">
        <v>1781</v>
      </c>
    </row>
    <row r="2969" spans="1:4">
      <c r="A2969" s="1" t="s">
        <v>7450</v>
      </c>
      <c r="B2969" s="1" t="s">
        <v>7449</v>
      </c>
      <c r="C2969" s="1" t="s">
        <v>38</v>
      </c>
      <c r="D2969" s="1" t="s">
        <v>1781</v>
      </c>
    </row>
    <row r="2970" spans="1:4">
      <c r="A2970" s="1" t="s">
        <v>645</v>
      </c>
      <c r="B2970" s="1" t="s">
        <v>7451</v>
      </c>
      <c r="C2970" s="1" t="s">
        <v>38</v>
      </c>
      <c r="D2970" s="1" t="s">
        <v>1781</v>
      </c>
    </row>
    <row r="2971" spans="1:4">
      <c r="A2971" s="1" t="s">
        <v>7416</v>
      </c>
      <c r="B2971" s="1" t="s">
        <v>7452</v>
      </c>
      <c r="C2971" s="1" t="s">
        <v>38</v>
      </c>
      <c r="D2971" s="1" t="s">
        <v>1781</v>
      </c>
    </row>
    <row r="2972" spans="1:4">
      <c r="A2972" s="1" t="s">
        <v>489</v>
      </c>
      <c r="B2972" s="1" t="s">
        <v>7453</v>
      </c>
      <c r="C2972" s="1"/>
      <c r="D2972" s="1" t="s">
        <v>1781</v>
      </c>
    </row>
    <row r="2973" spans="1:4">
      <c r="A2973" s="1" t="s">
        <v>7408</v>
      </c>
      <c r="B2973" s="1" t="s">
        <v>7454</v>
      </c>
      <c r="C2973" s="1" t="s">
        <v>38</v>
      </c>
      <c r="D2973" s="1" t="s">
        <v>1781</v>
      </c>
    </row>
    <row r="2974" spans="1:4">
      <c r="A2974" s="1" t="s">
        <v>7456</v>
      </c>
      <c r="B2974" s="1" t="s">
        <v>7455</v>
      </c>
      <c r="C2974" s="1" t="s">
        <v>38</v>
      </c>
      <c r="D2974" s="1" t="s">
        <v>1781</v>
      </c>
    </row>
    <row r="2975" spans="1:4">
      <c r="A2975" s="1" t="s">
        <v>7458</v>
      </c>
      <c r="B2975" s="1" t="s">
        <v>7457</v>
      </c>
      <c r="C2975" s="1" t="s">
        <v>38</v>
      </c>
      <c r="D2975" s="1" t="s">
        <v>1781</v>
      </c>
    </row>
    <row r="2976" spans="1:4">
      <c r="A2976" s="1" t="s">
        <v>7460</v>
      </c>
      <c r="B2976" s="1" t="s">
        <v>7459</v>
      </c>
      <c r="C2976" s="1" t="s">
        <v>38</v>
      </c>
      <c r="D2976" s="1" t="s">
        <v>1781</v>
      </c>
    </row>
    <row r="2977" spans="1:4">
      <c r="A2977" s="1" t="s">
        <v>7065</v>
      </c>
      <c r="B2977" s="1" t="s">
        <v>7461</v>
      </c>
      <c r="C2977" s="1" t="s">
        <v>38</v>
      </c>
      <c r="D2977" s="1" t="s">
        <v>1781</v>
      </c>
    </row>
    <row r="2978" spans="1:4">
      <c r="A2978" s="1" t="s">
        <v>1828</v>
      </c>
      <c r="B2978" s="1" t="s">
        <v>7462</v>
      </c>
      <c r="C2978" s="1" t="s">
        <v>38</v>
      </c>
      <c r="D2978" s="1" t="s">
        <v>1781</v>
      </c>
    </row>
    <row r="2979" spans="1:4">
      <c r="A2979" s="1" t="s">
        <v>7464</v>
      </c>
      <c r="B2979" s="1" t="s">
        <v>7463</v>
      </c>
      <c r="C2979" s="1" t="s">
        <v>38</v>
      </c>
      <c r="D2979" s="1" t="s">
        <v>1781</v>
      </c>
    </row>
    <row r="2980" spans="1:4">
      <c r="A2980" s="1" t="s">
        <v>7466</v>
      </c>
      <c r="B2980" s="1" t="s">
        <v>7465</v>
      </c>
      <c r="C2980" s="1" t="s">
        <v>38</v>
      </c>
      <c r="D2980" s="1" t="s">
        <v>1781</v>
      </c>
    </row>
    <row r="2981" spans="1:4">
      <c r="A2981" s="1" t="s">
        <v>7424</v>
      </c>
      <c r="B2981" s="1" t="s">
        <v>7467</v>
      </c>
      <c r="C2981" s="1" t="s">
        <v>38</v>
      </c>
      <c r="D2981" s="1" t="s">
        <v>1781</v>
      </c>
    </row>
    <row r="2982" spans="1:4">
      <c r="A2982" s="1" t="s">
        <v>7413</v>
      </c>
      <c r="B2982" s="1" t="s">
        <v>7468</v>
      </c>
      <c r="C2982" s="1" t="s">
        <v>38</v>
      </c>
      <c r="D2982" s="1" t="s">
        <v>1781</v>
      </c>
    </row>
    <row r="2983" spans="1:4">
      <c r="A2983" s="1" t="s">
        <v>7431</v>
      </c>
      <c r="B2983" s="1" t="s">
        <v>7469</v>
      </c>
      <c r="C2983" s="1" t="s">
        <v>38</v>
      </c>
      <c r="D2983" s="1" t="s">
        <v>1781</v>
      </c>
    </row>
    <row r="2984" spans="1:4">
      <c r="A2984" s="1" t="s">
        <v>7471</v>
      </c>
      <c r="B2984" s="1" t="s">
        <v>7470</v>
      </c>
      <c r="C2984" s="1" t="s">
        <v>38</v>
      </c>
      <c r="D2984" s="1" t="s">
        <v>1781</v>
      </c>
    </row>
    <row r="2985" spans="1:4">
      <c r="A2985" s="1" t="s">
        <v>7473</v>
      </c>
      <c r="B2985" s="1" t="s">
        <v>7472</v>
      </c>
      <c r="C2985" s="1" t="s">
        <v>38</v>
      </c>
      <c r="D2985" s="1" t="s">
        <v>1781</v>
      </c>
    </row>
    <row r="2986" spans="1:4">
      <c r="A2986" s="1" t="s">
        <v>7475</v>
      </c>
      <c r="B2986" s="1" t="s">
        <v>7474</v>
      </c>
      <c r="C2986" s="1" t="s">
        <v>38</v>
      </c>
      <c r="D2986" s="1" t="s">
        <v>1781</v>
      </c>
    </row>
    <row r="2987" spans="1:4">
      <c r="A2987" s="1" t="s">
        <v>7477</v>
      </c>
      <c r="B2987" s="1" t="s">
        <v>7476</v>
      </c>
      <c r="C2987" s="1" t="s">
        <v>38</v>
      </c>
      <c r="D2987" s="1" t="s">
        <v>1781</v>
      </c>
    </row>
    <row r="2988" spans="1:4">
      <c r="A2988" s="1" t="s">
        <v>7433</v>
      </c>
      <c r="B2988" s="1" t="s">
        <v>7478</v>
      </c>
      <c r="C2988" s="1" t="s">
        <v>38</v>
      </c>
      <c r="D2988" s="1" t="s">
        <v>1781</v>
      </c>
    </row>
    <row r="2989" spans="1:4">
      <c r="A2989" s="1" t="s">
        <v>382</v>
      </c>
      <c r="B2989" s="1" t="s">
        <v>7479</v>
      </c>
      <c r="C2989" s="1" t="s">
        <v>38</v>
      </c>
      <c r="D2989" s="1" t="s">
        <v>1781</v>
      </c>
    </row>
    <row r="2990" spans="1:4">
      <c r="A2990" s="1" t="s">
        <v>1175</v>
      </c>
      <c r="B2990" s="1" t="s">
        <v>7480</v>
      </c>
      <c r="C2990" s="1" t="s">
        <v>38</v>
      </c>
      <c r="D2990" s="1" t="s">
        <v>1781</v>
      </c>
    </row>
    <row r="2991" spans="1:4">
      <c r="A2991" s="1" t="s">
        <v>7482</v>
      </c>
      <c r="B2991" s="1" t="s">
        <v>7481</v>
      </c>
      <c r="C2991" s="1" t="s">
        <v>38</v>
      </c>
      <c r="D2991" s="1" t="s">
        <v>1781</v>
      </c>
    </row>
    <row r="2992" spans="1:4">
      <c r="A2992" s="1" t="s">
        <v>7484</v>
      </c>
      <c r="B2992" s="1" t="s">
        <v>7483</v>
      </c>
      <c r="C2992" s="1" t="s">
        <v>38</v>
      </c>
      <c r="D2992" s="1" t="s">
        <v>1781</v>
      </c>
    </row>
    <row r="2993" spans="1:4">
      <c r="A2993" s="1" t="s">
        <v>7486</v>
      </c>
      <c r="B2993" s="1" t="s">
        <v>7485</v>
      </c>
      <c r="C2993" s="1" t="s">
        <v>38</v>
      </c>
      <c r="D2993" s="1" t="s">
        <v>1781</v>
      </c>
    </row>
    <row r="2994" spans="1:4">
      <c r="A2994" s="1" t="s">
        <v>7411</v>
      </c>
      <c r="B2994" s="1" t="s">
        <v>7487</v>
      </c>
      <c r="C2994" s="1" t="s">
        <v>38</v>
      </c>
      <c r="D2994" s="1" t="s">
        <v>1781</v>
      </c>
    </row>
    <row r="2995" spans="1:4">
      <c r="A2995" s="1" t="s">
        <v>7438</v>
      </c>
      <c r="B2995" s="1" t="s">
        <v>7488</v>
      </c>
      <c r="C2995" s="1" t="s">
        <v>38</v>
      </c>
      <c r="D2995" s="1" t="s">
        <v>1781</v>
      </c>
    </row>
    <row r="2996" spans="1:4">
      <c r="A2996" s="1" t="s">
        <v>7417</v>
      </c>
      <c r="B2996" s="1" t="s">
        <v>7489</v>
      </c>
      <c r="C2996" s="1" t="s">
        <v>38</v>
      </c>
      <c r="D2996" s="1" t="s">
        <v>1781</v>
      </c>
    </row>
    <row r="2997" spans="1:4">
      <c r="A2997" s="1" t="s">
        <v>7405</v>
      </c>
      <c r="B2997" s="1" t="s">
        <v>7490</v>
      </c>
      <c r="C2997" s="1" t="s">
        <v>38</v>
      </c>
      <c r="D2997" s="1" t="s">
        <v>1781</v>
      </c>
    </row>
    <row r="2998" spans="1:4">
      <c r="A2998" s="1" t="s">
        <v>7492</v>
      </c>
      <c r="B2998" s="1" t="s">
        <v>7491</v>
      </c>
      <c r="C2998" s="1" t="s">
        <v>38</v>
      </c>
      <c r="D2998" s="1" t="s">
        <v>1781</v>
      </c>
    </row>
    <row r="2999" spans="1:4">
      <c r="A2999" s="1" t="s">
        <v>7439</v>
      </c>
      <c r="B2999" s="1" t="s">
        <v>7493</v>
      </c>
      <c r="C2999" s="1" t="s">
        <v>38</v>
      </c>
      <c r="D2999" s="1" t="s">
        <v>1781</v>
      </c>
    </row>
    <row r="3000" spans="1:4">
      <c r="A3000" s="1" t="s">
        <v>7495</v>
      </c>
      <c r="B3000" s="1" t="s">
        <v>7494</v>
      </c>
      <c r="C3000" s="1" t="s">
        <v>38</v>
      </c>
      <c r="D3000" s="1" t="s">
        <v>1781</v>
      </c>
    </row>
    <row r="3001" spans="1:4">
      <c r="A3001" s="1" t="s">
        <v>7419</v>
      </c>
      <c r="B3001" s="1" t="s">
        <v>7496</v>
      </c>
      <c r="C3001" s="1" t="s">
        <v>38</v>
      </c>
      <c r="D3001" s="1" t="s">
        <v>1781</v>
      </c>
    </row>
    <row r="3002" spans="1:4">
      <c r="A3002" s="1" t="s">
        <v>7498</v>
      </c>
      <c r="B3002" s="1" t="s">
        <v>7497</v>
      </c>
      <c r="C3002" s="1" t="s">
        <v>38</v>
      </c>
      <c r="D3002" s="1" t="s">
        <v>1781</v>
      </c>
    </row>
    <row r="3003" spans="1:4">
      <c r="A3003" s="1" t="s">
        <v>547</v>
      </c>
      <c r="B3003" s="1" t="s">
        <v>7499</v>
      </c>
      <c r="C3003" s="1" t="s">
        <v>38</v>
      </c>
      <c r="D3003" s="1" t="s">
        <v>1781</v>
      </c>
    </row>
    <row r="3004" spans="1:4">
      <c r="A3004" s="1" t="s">
        <v>7406</v>
      </c>
      <c r="B3004" s="1" t="s">
        <v>7500</v>
      </c>
      <c r="C3004" s="1" t="s">
        <v>38</v>
      </c>
      <c r="D3004" s="1" t="s">
        <v>1781</v>
      </c>
    </row>
    <row r="3005" spans="1:4">
      <c r="A3005" s="1" t="s">
        <v>1824</v>
      </c>
      <c r="B3005" s="1" t="s">
        <v>7501</v>
      </c>
      <c r="C3005" s="1" t="s">
        <v>38</v>
      </c>
      <c r="D3005" s="1" t="s">
        <v>1781</v>
      </c>
    </row>
    <row r="3006" spans="1:4">
      <c r="A3006" s="1" t="s">
        <v>7425</v>
      </c>
      <c r="B3006" s="1" t="s">
        <v>7502</v>
      </c>
      <c r="C3006" s="1" t="s">
        <v>38</v>
      </c>
      <c r="D3006" s="1" t="s">
        <v>1781</v>
      </c>
    </row>
    <row r="3007" spans="1:4">
      <c r="A3007" s="1" t="s">
        <v>7504</v>
      </c>
      <c r="B3007" s="1" t="s">
        <v>7503</v>
      </c>
      <c r="C3007" s="1" t="s">
        <v>38</v>
      </c>
      <c r="D3007" s="1" t="s">
        <v>1781</v>
      </c>
    </row>
    <row r="3008" spans="1:4">
      <c r="A3008" s="1" t="s">
        <v>7410</v>
      </c>
      <c r="B3008" s="1" t="s">
        <v>7505</v>
      </c>
      <c r="C3008" s="1" t="s">
        <v>38</v>
      </c>
      <c r="D3008" s="1" t="s">
        <v>1781</v>
      </c>
    </row>
    <row r="3009" spans="1:4">
      <c r="A3009" s="1" t="s">
        <v>7507</v>
      </c>
      <c r="B3009" s="1" t="s">
        <v>7506</v>
      </c>
      <c r="C3009" s="1" t="s">
        <v>38</v>
      </c>
      <c r="D3009" s="1" t="s">
        <v>1781</v>
      </c>
    </row>
    <row r="3010" spans="1:4">
      <c r="A3010" s="1" t="s">
        <v>7415</v>
      </c>
      <c r="B3010" s="1" t="s">
        <v>7508</v>
      </c>
      <c r="C3010" s="1" t="s">
        <v>38</v>
      </c>
      <c r="D3010" s="1" t="s">
        <v>1781</v>
      </c>
    </row>
    <row r="3011" spans="1:4">
      <c r="A3011" s="1" t="s">
        <v>7400</v>
      </c>
      <c r="B3011" s="1" t="s">
        <v>7509</v>
      </c>
      <c r="C3011" s="1" t="s">
        <v>38</v>
      </c>
      <c r="D3011" s="1" t="s">
        <v>1781</v>
      </c>
    </row>
    <row r="3012" spans="1:4">
      <c r="A3012" s="1" t="s">
        <v>7511</v>
      </c>
      <c r="B3012" s="1" t="s">
        <v>7510</v>
      </c>
      <c r="C3012" s="1" t="s">
        <v>38</v>
      </c>
      <c r="D3012" s="1" t="s">
        <v>1781</v>
      </c>
    </row>
    <row r="3013" spans="1:4">
      <c r="A3013" s="1" t="s">
        <v>7437</v>
      </c>
      <c r="B3013" s="1" t="s">
        <v>7512</v>
      </c>
      <c r="C3013" s="1" t="s">
        <v>38</v>
      </c>
      <c r="D3013" s="1" t="s">
        <v>1781</v>
      </c>
    </row>
    <row r="3014" spans="1:4">
      <c r="A3014" s="1" t="s">
        <v>374</v>
      </c>
      <c r="B3014" s="1" t="s">
        <v>7513</v>
      </c>
      <c r="C3014" s="1" t="s">
        <v>38</v>
      </c>
      <c r="D3014" s="1" t="s">
        <v>1781</v>
      </c>
    </row>
    <row r="3015" spans="1:4">
      <c r="A3015" s="1" t="s">
        <v>7440</v>
      </c>
      <c r="B3015" s="1" t="s">
        <v>7514</v>
      </c>
      <c r="C3015" s="1" t="s">
        <v>38</v>
      </c>
      <c r="D3015" s="1" t="s">
        <v>1781</v>
      </c>
    </row>
    <row r="3016" spans="1:4">
      <c r="A3016" s="1" t="s">
        <v>7443</v>
      </c>
      <c r="B3016" s="1" t="s">
        <v>7515</v>
      </c>
      <c r="C3016" s="1" t="s">
        <v>38</v>
      </c>
      <c r="D3016" s="1" t="s">
        <v>1781</v>
      </c>
    </row>
    <row r="3017" spans="1:4">
      <c r="A3017" s="1" t="s">
        <v>7409</v>
      </c>
      <c r="B3017" s="1" t="s">
        <v>7516</v>
      </c>
      <c r="C3017" s="1" t="s">
        <v>38</v>
      </c>
      <c r="D3017" s="1" t="s">
        <v>1781</v>
      </c>
    </row>
    <row r="3018" spans="1:4">
      <c r="A3018" s="1" t="s">
        <v>7441</v>
      </c>
      <c r="B3018" s="1" t="s">
        <v>7517</v>
      </c>
      <c r="C3018" s="1" t="s">
        <v>38</v>
      </c>
      <c r="D3018" s="1" t="s">
        <v>1781</v>
      </c>
    </row>
    <row r="3019" spans="1:4">
      <c r="A3019" s="1" t="s">
        <v>7403</v>
      </c>
      <c r="B3019" s="1" t="s">
        <v>7518</v>
      </c>
      <c r="C3019" s="1" t="s">
        <v>38</v>
      </c>
      <c r="D3019" s="1" t="s">
        <v>1781</v>
      </c>
    </row>
    <row r="3020" spans="1:4">
      <c r="A3020" s="1" t="s">
        <v>7407</v>
      </c>
      <c r="B3020" s="1" t="s">
        <v>7519</v>
      </c>
      <c r="C3020" s="1" t="s">
        <v>38</v>
      </c>
      <c r="D3020" s="1" t="s">
        <v>1781</v>
      </c>
    </row>
    <row r="3021" spans="1:4">
      <c r="A3021" s="1" t="s">
        <v>7521</v>
      </c>
      <c r="B3021" s="1" t="s">
        <v>7520</v>
      </c>
      <c r="C3021" s="1" t="s">
        <v>38</v>
      </c>
      <c r="D3021" s="1" t="s">
        <v>1781</v>
      </c>
    </row>
    <row r="3022" spans="1:4">
      <c r="A3022" s="1" t="s">
        <v>1801</v>
      </c>
      <c r="B3022" s="1" t="s">
        <v>7522</v>
      </c>
      <c r="C3022" s="1" t="s">
        <v>38</v>
      </c>
      <c r="D3022" s="1" t="s">
        <v>1781</v>
      </c>
    </row>
    <row r="3023" spans="1:4">
      <c r="A3023" s="1" t="s">
        <v>649</v>
      </c>
      <c r="B3023" s="1" t="s">
        <v>7523</v>
      </c>
      <c r="C3023" s="1" t="s">
        <v>38</v>
      </c>
      <c r="D3023" s="1" t="s">
        <v>1781</v>
      </c>
    </row>
    <row r="3024" spans="1:4">
      <c r="A3024" s="1" t="s">
        <v>7525</v>
      </c>
      <c r="B3024" s="1" t="s">
        <v>7524</v>
      </c>
      <c r="C3024" s="1" t="s">
        <v>38</v>
      </c>
      <c r="D3024" s="1" t="s">
        <v>1781</v>
      </c>
    </row>
    <row r="3025" spans="1:4">
      <c r="A3025" s="1" t="s">
        <v>7414</v>
      </c>
      <c r="B3025" s="1" t="s">
        <v>7526</v>
      </c>
      <c r="C3025" s="1" t="s">
        <v>38</v>
      </c>
      <c r="D3025" s="1" t="s">
        <v>1781</v>
      </c>
    </row>
    <row r="3026" spans="1:4">
      <c r="A3026" s="1" t="s">
        <v>7428</v>
      </c>
      <c r="B3026" s="1" t="s">
        <v>7527</v>
      </c>
      <c r="C3026" s="1" t="s">
        <v>38</v>
      </c>
      <c r="D3026" s="1" t="s">
        <v>1781</v>
      </c>
    </row>
    <row r="3027" spans="1:4">
      <c r="A3027" s="1" t="s">
        <v>7529</v>
      </c>
      <c r="B3027" s="1" t="s">
        <v>7528</v>
      </c>
      <c r="C3027" s="1" t="s">
        <v>38</v>
      </c>
      <c r="D3027" s="1" t="s">
        <v>1781</v>
      </c>
    </row>
    <row r="3028" spans="1:4">
      <c r="A3028" s="1" t="s">
        <v>7435</v>
      </c>
      <c r="B3028" s="1" t="s">
        <v>7530</v>
      </c>
      <c r="C3028" s="1" t="s">
        <v>38</v>
      </c>
      <c r="D3028" s="1" t="s">
        <v>1781</v>
      </c>
    </row>
    <row r="3029" spans="1:4">
      <c r="A3029" s="1" t="s">
        <v>7442</v>
      </c>
      <c r="B3029" s="1" t="s">
        <v>7531</v>
      </c>
      <c r="C3029" s="1" t="s">
        <v>38</v>
      </c>
      <c r="D3029" s="1" t="s">
        <v>1781</v>
      </c>
    </row>
    <row r="3030" spans="1:4">
      <c r="A3030" s="1" t="s">
        <v>7434</v>
      </c>
      <c r="B3030" s="1" t="s">
        <v>7532</v>
      </c>
      <c r="C3030" s="1" t="s">
        <v>38</v>
      </c>
      <c r="D3030" s="1" t="s">
        <v>1781</v>
      </c>
    </row>
    <row r="3031" spans="1:4">
      <c r="A3031" s="1" t="s">
        <v>7534</v>
      </c>
      <c r="B3031" s="1" t="s">
        <v>7533</v>
      </c>
      <c r="C3031" s="1" t="s">
        <v>38</v>
      </c>
      <c r="D3031" s="1" t="s">
        <v>1781</v>
      </c>
    </row>
    <row r="3032" spans="1:4">
      <c r="A3032" s="1" t="s">
        <v>7420</v>
      </c>
      <c r="B3032" s="1" t="s">
        <v>7535</v>
      </c>
      <c r="C3032" s="1" t="s">
        <v>38</v>
      </c>
      <c r="D3032" s="1" t="s">
        <v>1781</v>
      </c>
    </row>
    <row r="3033" spans="1:4">
      <c r="A3033" s="1" t="s">
        <v>7537</v>
      </c>
      <c r="B3033" s="1" t="s">
        <v>7536</v>
      </c>
      <c r="C3033" s="1" t="s">
        <v>38</v>
      </c>
      <c r="D3033" s="1" t="s">
        <v>1781</v>
      </c>
    </row>
    <row r="3034" spans="1:4">
      <c r="A3034" s="1" t="s">
        <v>7539</v>
      </c>
      <c r="B3034" s="1" t="s">
        <v>7538</v>
      </c>
      <c r="C3034" s="1" t="s">
        <v>38</v>
      </c>
      <c r="D3034" s="1" t="s">
        <v>1781</v>
      </c>
    </row>
    <row r="3035" spans="1:4">
      <c r="A3035" s="1" t="s">
        <v>7401</v>
      </c>
      <c r="B3035" s="1" t="s">
        <v>7540</v>
      </c>
      <c r="C3035" s="1" t="s">
        <v>38</v>
      </c>
      <c r="D3035" s="1" t="s">
        <v>1781</v>
      </c>
    </row>
    <row r="3036" spans="1:4">
      <c r="A3036" s="1" t="s">
        <v>7412</v>
      </c>
      <c r="B3036" s="1" t="s">
        <v>7541</v>
      </c>
      <c r="C3036" s="1" t="s">
        <v>38</v>
      </c>
      <c r="D3036" s="1" t="s">
        <v>1781</v>
      </c>
    </row>
    <row r="3037" spans="1:4">
      <c r="A3037" s="1" t="s">
        <v>7436</v>
      </c>
      <c r="B3037" s="1" t="s">
        <v>7542</v>
      </c>
      <c r="C3037" s="1" t="s">
        <v>38</v>
      </c>
      <c r="D3037" s="1" t="s">
        <v>1781</v>
      </c>
    </row>
    <row r="3038" spans="1:4">
      <c r="A3038" s="1" t="s">
        <v>7544</v>
      </c>
      <c r="B3038" s="1" t="s">
        <v>7543</v>
      </c>
      <c r="C3038" s="1" t="s">
        <v>38</v>
      </c>
      <c r="D3038" s="1" t="s">
        <v>1781</v>
      </c>
    </row>
    <row r="3039" spans="1:4">
      <c r="A3039" s="1" t="s">
        <v>7546</v>
      </c>
      <c r="B3039" s="1" t="s">
        <v>7545</v>
      </c>
      <c r="C3039" s="1" t="s">
        <v>38</v>
      </c>
      <c r="D3039" s="1" t="s">
        <v>1781</v>
      </c>
    </row>
    <row r="3040" spans="1:4">
      <c r="A3040" s="1" t="s">
        <v>7548</v>
      </c>
      <c r="B3040" s="1" t="s">
        <v>7547</v>
      </c>
      <c r="C3040" s="1" t="s">
        <v>38</v>
      </c>
      <c r="D3040" s="1" t="s">
        <v>1781</v>
      </c>
    </row>
    <row r="3041" spans="1:4">
      <c r="A3041" s="1" t="s">
        <v>1819</v>
      </c>
      <c r="B3041" s="1" t="s">
        <v>7549</v>
      </c>
      <c r="C3041" s="1" t="s">
        <v>38</v>
      </c>
      <c r="D3041" s="1" t="s">
        <v>1781</v>
      </c>
    </row>
    <row r="3042" spans="1:4">
      <c r="A3042" s="1" t="s">
        <v>7551</v>
      </c>
      <c r="B3042" s="1" t="s">
        <v>7550</v>
      </c>
      <c r="C3042" s="1" t="s">
        <v>38</v>
      </c>
      <c r="D3042" s="1" t="s">
        <v>1781</v>
      </c>
    </row>
    <row r="3043" spans="1:4">
      <c r="A3043" s="1" t="s">
        <v>7402</v>
      </c>
      <c r="B3043" s="1" t="s">
        <v>7552</v>
      </c>
      <c r="C3043" s="1" t="s">
        <v>38</v>
      </c>
      <c r="D3043" s="1" t="s">
        <v>1781</v>
      </c>
    </row>
    <row r="3044" spans="1:4">
      <c r="A3044" s="1" t="s">
        <v>7429</v>
      </c>
      <c r="B3044" s="1" t="s">
        <v>7553</v>
      </c>
      <c r="C3044" s="1" t="s">
        <v>38</v>
      </c>
      <c r="D3044" s="1" t="s">
        <v>1781</v>
      </c>
    </row>
    <row r="3045" spans="1:4">
      <c r="A3045" s="1" t="s">
        <v>416</v>
      </c>
      <c r="B3045" s="1" t="s">
        <v>7554</v>
      </c>
      <c r="C3045" s="1" t="s">
        <v>38</v>
      </c>
      <c r="D3045" s="1" t="s">
        <v>1781</v>
      </c>
    </row>
    <row r="3046" spans="1:4">
      <c r="A3046" s="1" t="s">
        <v>7556</v>
      </c>
      <c r="B3046" s="1" t="s">
        <v>7555</v>
      </c>
      <c r="C3046" s="1" t="s">
        <v>38</v>
      </c>
      <c r="D3046" s="1" t="s">
        <v>1781</v>
      </c>
    </row>
    <row r="3047" spans="1:4">
      <c r="A3047" s="1" t="s">
        <v>7445</v>
      </c>
      <c r="B3047" s="1" t="s">
        <v>7557</v>
      </c>
      <c r="C3047" s="1" t="s">
        <v>38</v>
      </c>
      <c r="D3047" s="1" t="s">
        <v>1781</v>
      </c>
    </row>
    <row r="3048" spans="1:4">
      <c r="A3048" s="1" t="s">
        <v>7404</v>
      </c>
      <c r="B3048" s="1" t="s">
        <v>7558</v>
      </c>
      <c r="C3048" s="1" t="s">
        <v>38</v>
      </c>
      <c r="D3048" s="1" t="s">
        <v>1781</v>
      </c>
    </row>
    <row r="3049" spans="1:4">
      <c r="A3049" s="1" t="s">
        <v>7444</v>
      </c>
      <c r="B3049" s="1" t="s">
        <v>7559</v>
      </c>
      <c r="C3049" s="1" t="s">
        <v>38</v>
      </c>
      <c r="D3049" s="1" t="s">
        <v>1781</v>
      </c>
    </row>
    <row r="3050" spans="1:4">
      <c r="A3050" s="1" t="s">
        <v>418</v>
      </c>
      <c r="B3050" s="1" t="s">
        <v>7560</v>
      </c>
      <c r="C3050" s="1" t="s">
        <v>38</v>
      </c>
      <c r="D3050" s="1" t="s">
        <v>1781</v>
      </c>
    </row>
    <row r="3051" spans="1:4">
      <c r="A3051" s="1" t="s">
        <v>7426</v>
      </c>
      <c r="B3051" s="1" t="s">
        <v>7561</v>
      </c>
      <c r="C3051" s="1" t="s">
        <v>38</v>
      </c>
      <c r="D3051" s="1" t="s">
        <v>1781</v>
      </c>
    </row>
    <row r="3052" spans="1:4">
      <c r="A3052" s="1" t="s">
        <v>7418</v>
      </c>
      <c r="B3052" s="1" t="s">
        <v>7562</v>
      </c>
      <c r="C3052" s="1" t="s">
        <v>38</v>
      </c>
      <c r="D3052" s="1" t="s">
        <v>1781</v>
      </c>
    </row>
    <row r="3053" spans="1:4">
      <c r="A3053" s="1" t="s">
        <v>7422</v>
      </c>
      <c r="B3053" s="1" t="s">
        <v>7563</v>
      </c>
      <c r="C3053" s="1" t="s">
        <v>38</v>
      </c>
      <c r="D3053" s="1" t="s">
        <v>1781</v>
      </c>
    </row>
    <row r="3054" spans="1:4">
      <c r="A3054" s="1" t="s">
        <v>5166</v>
      </c>
      <c r="B3054" s="1" t="s">
        <v>7564</v>
      </c>
      <c r="C3054" s="1" t="s">
        <v>38</v>
      </c>
      <c r="D3054" s="1" t="s">
        <v>1781</v>
      </c>
    </row>
    <row r="3055" spans="1:4">
      <c r="A3055" s="1" t="s">
        <v>7421</v>
      </c>
      <c r="B3055" s="1" t="s">
        <v>7565</v>
      </c>
      <c r="C3055" s="1" t="s">
        <v>38</v>
      </c>
      <c r="D3055" s="1" t="s">
        <v>1781</v>
      </c>
    </row>
    <row r="3056" spans="1:4">
      <c r="A3056" s="1" t="s">
        <v>7567</v>
      </c>
      <c r="B3056" s="1" t="s">
        <v>7566</v>
      </c>
      <c r="C3056" s="1" t="s">
        <v>38</v>
      </c>
      <c r="D3056" s="1" t="s">
        <v>1781</v>
      </c>
    </row>
    <row r="3057" spans="1:4">
      <c r="A3057" s="1" t="s">
        <v>7569</v>
      </c>
      <c r="B3057" s="1" t="s">
        <v>7568</v>
      </c>
      <c r="C3057" s="1" t="s">
        <v>38</v>
      </c>
      <c r="D3057" s="1" t="s">
        <v>1781</v>
      </c>
    </row>
    <row r="3058" spans="1:4">
      <c r="A3058" s="1" t="s">
        <v>303</v>
      </c>
      <c r="B3058" s="1" t="s">
        <v>7570</v>
      </c>
      <c r="C3058" s="1" t="s">
        <v>38</v>
      </c>
      <c r="D3058" s="1" t="s">
        <v>1781</v>
      </c>
    </row>
    <row r="3059" spans="1:4">
      <c r="A3059" s="1" t="s">
        <v>7572</v>
      </c>
      <c r="B3059" s="1" t="s">
        <v>7571</v>
      </c>
      <c r="C3059" s="1" t="s">
        <v>38</v>
      </c>
      <c r="D3059" s="1" t="s">
        <v>1781</v>
      </c>
    </row>
    <row r="3060" spans="1:4">
      <c r="A3060" s="1" t="s">
        <v>7574</v>
      </c>
      <c r="B3060" s="1" t="s">
        <v>7573</v>
      </c>
      <c r="C3060" s="1" t="s">
        <v>38</v>
      </c>
      <c r="D3060" s="1" t="s">
        <v>1781</v>
      </c>
    </row>
    <row r="3061" spans="1:4">
      <c r="A3061" s="1" t="s">
        <v>7576</v>
      </c>
      <c r="B3061" s="1" t="s">
        <v>7575</v>
      </c>
      <c r="C3061" s="1" t="s">
        <v>38</v>
      </c>
      <c r="D3061" s="1" t="s">
        <v>1781</v>
      </c>
    </row>
    <row r="3062" spans="1:4">
      <c r="A3062" s="1" t="s">
        <v>7423</v>
      </c>
      <c r="B3062" s="1" t="s">
        <v>7577</v>
      </c>
      <c r="C3062" s="1" t="s">
        <v>38</v>
      </c>
      <c r="D3062" s="1" t="s">
        <v>1781</v>
      </c>
    </row>
    <row r="3063" spans="1:4">
      <c r="A3063" s="1" t="s">
        <v>7427</v>
      </c>
      <c r="B3063" s="1" t="s">
        <v>7578</v>
      </c>
      <c r="C3063" s="1" t="s">
        <v>38</v>
      </c>
      <c r="D3063" s="1" t="s">
        <v>1781</v>
      </c>
    </row>
    <row r="3064" spans="1:4">
      <c r="A3064" s="1" t="s">
        <v>7432</v>
      </c>
      <c r="B3064" s="1" t="s">
        <v>7579</v>
      </c>
      <c r="C3064" s="1" t="s">
        <v>38</v>
      </c>
      <c r="D3064" s="1" t="s">
        <v>1781</v>
      </c>
    </row>
    <row r="3065" spans="1:4">
      <c r="A3065" s="1" t="s">
        <v>7581</v>
      </c>
      <c r="B3065" s="1" t="s">
        <v>7580</v>
      </c>
      <c r="C3065" s="1" t="s">
        <v>38</v>
      </c>
      <c r="D3065" s="1" t="s">
        <v>1781</v>
      </c>
    </row>
    <row r="3066" spans="1:4">
      <c r="A3066" s="1" t="s">
        <v>7583</v>
      </c>
      <c r="B3066" s="1" t="s">
        <v>7582</v>
      </c>
      <c r="C3066" s="1" t="s">
        <v>38</v>
      </c>
      <c r="D3066" s="1" t="s">
        <v>1781</v>
      </c>
    </row>
    <row r="3067" spans="1:4">
      <c r="A3067" s="1" t="s">
        <v>7585</v>
      </c>
      <c r="B3067" s="1" t="s">
        <v>7584</v>
      </c>
      <c r="C3067" s="1" t="s">
        <v>35</v>
      </c>
      <c r="D3067" s="1" t="s">
        <v>1781</v>
      </c>
    </row>
    <row r="3068" spans="1:4">
      <c r="A3068" s="1" t="s">
        <v>7587</v>
      </c>
      <c r="B3068" s="1" t="s">
        <v>7586</v>
      </c>
      <c r="C3068" s="1" t="s">
        <v>35</v>
      </c>
      <c r="D3068" s="1" t="s">
        <v>1781</v>
      </c>
    </row>
    <row r="3069" spans="1:4">
      <c r="A3069" s="1" t="s">
        <v>571</v>
      </c>
      <c r="B3069" s="1" t="s">
        <v>7588</v>
      </c>
      <c r="C3069" s="1" t="s">
        <v>35</v>
      </c>
      <c r="D3069" s="1" t="s">
        <v>1781</v>
      </c>
    </row>
    <row r="3070" spans="1:4">
      <c r="A3070" s="1" t="s">
        <v>7590</v>
      </c>
      <c r="B3070" s="1" t="s">
        <v>7589</v>
      </c>
      <c r="C3070" s="1" t="s">
        <v>35</v>
      </c>
      <c r="D3070" s="1" t="s">
        <v>1781</v>
      </c>
    </row>
    <row r="3071" spans="1:4">
      <c r="A3071" s="1" t="s">
        <v>7592</v>
      </c>
      <c r="B3071" s="1" t="s">
        <v>7591</v>
      </c>
      <c r="C3071" s="1" t="s">
        <v>40</v>
      </c>
      <c r="D3071" s="1" t="s">
        <v>1781</v>
      </c>
    </row>
    <row r="3072" spans="1:4">
      <c r="A3072" s="1" t="s">
        <v>7594</v>
      </c>
      <c r="B3072" s="1" t="s">
        <v>7593</v>
      </c>
      <c r="C3072" s="1" t="s">
        <v>40</v>
      </c>
      <c r="D3072" s="1" t="s">
        <v>1781</v>
      </c>
    </row>
    <row r="3073" spans="1:4">
      <c r="A3073" s="1" t="s">
        <v>7596</v>
      </c>
      <c r="B3073" s="1" t="s">
        <v>7595</v>
      </c>
      <c r="C3073" s="1" t="s">
        <v>40</v>
      </c>
      <c r="D3073" s="1" t="s">
        <v>1781</v>
      </c>
    </row>
    <row r="3074" spans="1:4">
      <c r="A3074" s="1" t="s">
        <v>7598</v>
      </c>
      <c r="B3074" s="1" t="s">
        <v>7597</v>
      </c>
      <c r="C3074" s="1" t="s">
        <v>40</v>
      </c>
      <c r="D3074" s="1" t="s">
        <v>1781</v>
      </c>
    </row>
    <row r="3075" spans="1:4">
      <c r="A3075" s="1" t="s">
        <v>7600</v>
      </c>
      <c r="B3075" s="1" t="s">
        <v>7599</v>
      </c>
      <c r="C3075" s="1" t="s">
        <v>40</v>
      </c>
      <c r="D3075" s="1" t="s">
        <v>1781</v>
      </c>
    </row>
    <row r="3076" spans="1:4">
      <c r="A3076" s="1" t="s">
        <v>7602</v>
      </c>
      <c r="B3076" s="1" t="s">
        <v>7601</v>
      </c>
      <c r="C3076" s="1" t="s">
        <v>40</v>
      </c>
      <c r="D3076" s="1" t="s">
        <v>1781</v>
      </c>
    </row>
    <row r="3077" spans="1:4">
      <c r="A3077" s="1" t="s">
        <v>7604</v>
      </c>
      <c r="B3077" s="1" t="s">
        <v>7603</v>
      </c>
      <c r="C3077" s="1" t="s">
        <v>40</v>
      </c>
      <c r="D3077" s="1" t="s">
        <v>1781</v>
      </c>
    </row>
    <row r="3078" spans="1:4">
      <c r="A3078" s="1" t="s">
        <v>7606</v>
      </c>
      <c r="B3078" s="1" t="s">
        <v>7605</v>
      </c>
      <c r="C3078" s="1" t="s">
        <v>40</v>
      </c>
      <c r="D3078" s="1" t="s">
        <v>1781</v>
      </c>
    </row>
    <row r="3079" spans="1:4">
      <c r="A3079" s="1" t="s">
        <v>7608</v>
      </c>
      <c r="B3079" s="1" t="s">
        <v>7607</v>
      </c>
      <c r="C3079" s="1" t="s">
        <v>40</v>
      </c>
      <c r="D3079" s="1" t="s">
        <v>1781</v>
      </c>
    </row>
    <row r="3080" spans="1:4">
      <c r="A3080" s="1" t="s">
        <v>7610</v>
      </c>
      <c r="B3080" s="1" t="s">
        <v>7609</v>
      </c>
      <c r="C3080" s="1" t="s">
        <v>38</v>
      </c>
      <c r="D3080" s="1" t="s">
        <v>1781</v>
      </c>
    </row>
    <row r="3081" spans="1:4">
      <c r="A3081" s="1" t="s">
        <v>7612</v>
      </c>
      <c r="B3081" s="1" t="s">
        <v>7611</v>
      </c>
      <c r="C3081" s="1" t="s">
        <v>38</v>
      </c>
      <c r="D3081" s="1" t="s">
        <v>1781</v>
      </c>
    </row>
    <row r="3082" spans="1:4">
      <c r="A3082" s="1" t="s">
        <v>7614</v>
      </c>
      <c r="B3082" s="1" t="s">
        <v>7613</v>
      </c>
      <c r="C3082" s="1" t="s">
        <v>38</v>
      </c>
      <c r="D3082" s="1" t="s">
        <v>1781</v>
      </c>
    </row>
    <row r="3083" spans="1:4">
      <c r="A3083" s="1" t="s">
        <v>7616</v>
      </c>
      <c r="B3083" s="1" t="s">
        <v>7615</v>
      </c>
      <c r="C3083" s="1" t="s">
        <v>38</v>
      </c>
      <c r="D3083" s="1" t="s">
        <v>1781</v>
      </c>
    </row>
    <row r="3084" spans="1:4">
      <c r="A3084" s="1" t="s">
        <v>7618</v>
      </c>
      <c r="B3084" s="1" t="s">
        <v>7617</v>
      </c>
      <c r="C3084" s="1" t="s">
        <v>38</v>
      </c>
      <c r="D3084" s="1" t="s">
        <v>1781</v>
      </c>
    </row>
    <row r="3085" spans="1:4">
      <c r="A3085" s="1" t="s">
        <v>7620</v>
      </c>
      <c r="B3085" s="1" t="s">
        <v>7619</v>
      </c>
      <c r="C3085" s="1" t="s">
        <v>38</v>
      </c>
      <c r="D3085" s="1" t="s">
        <v>1781</v>
      </c>
    </row>
    <row r="3086" spans="1:4">
      <c r="A3086" s="1" t="s">
        <v>7622</v>
      </c>
      <c r="B3086" s="1" t="s">
        <v>7621</v>
      </c>
      <c r="C3086" s="1" t="s">
        <v>38</v>
      </c>
      <c r="D3086" s="1" t="s">
        <v>1781</v>
      </c>
    </row>
    <row r="3087" spans="1:4">
      <c r="A3087" s="1" t="s">
        <v>7624</v>
      </c>
      <c r="B3087" s="1" t="s">
        <v>7623</v>
      </c>
      <c r="C3087" s="1" t="s">
        <v>38</v>
      </c>
      <c r="D3087" s="1" t="s">
        <v>1781</v>
      </c>
    </row>
    <row r="3088" spans="1:4">
      <c r="A3088" s="1" t="s">
        <v>7626</v>
      </c>
      <c r="B3088" s="1" t="s">
        <v>7625</v>
      </c>
      <c r="C3088" s="1" t="s">
        <v>34</v>
      </c>
      <c r="D3088" s="1" t="s">
        <v>1781</v>
      </c>
    </row>
    <row r="3089" spans="1:4">
      <c r="A3089" s="1" t="s">
        <v>7628</v>
      </c>
      <c r="B3089" s="1" t="s">
        <v>7627</v>
      </c>
      <c r="C3089" s="1" t="s">
        <v>34</v>
      </c>
      <c r="D3089" s="1" t="s">
        <v>1781</v>
      </c>
    </row>
    <row r="3090" spans="1:4">
      <c r="A3090" s="1" t="s">
        <v>7630</v>
      </c>
      <c r="B3090" s="1" t="s">
        <v>7629</v>
      </c>
      <c r="C3090" s="1" t="s">
        <v>34</v>
      </c>
      <c r="D3090" s="1" t="s">
        <v>1781</v>
      </c>
    </row>
    <row r="3091" spans="1:4">
      <c r="A3091" s="1" t="s">
        <v>7632</v>
      </c>
      <c r="B3091" s="1" t="s">
        <v>7631</v>
      </c>
      <c r="C3091" s="1" t="s">
        <v>34</v>
      </c>
      <c r="D3091" s="1" t="s">
        <v>1781</v>
      </c>
    </row>
    <row r="3092" spans="1:4">
      <c r="A3092" s="1" t="s">
        <v>7634</v>
      </c>
      <c r="B3092" s="1" t="s">
        <v>7633</v>
      </c>
      <c r="C3092" s="1" t="s">
        <v>34</v>
      </c>
      <c r="D3092" s="1" t="s">
        <v>1781</v>
      </c>
    </row>
    <row r="3093" spans="1:4">
      <c r="A3093" s="1" t="s">
        <v>7635</v>
      </c>
      <c r="B3093" s="1" t="s">
        <v>7635</v>
      </c>
      <c r="C3093" s="1" t="s">
        <v>35</v>
      </c>
      <c r="D3093" s="1" t="s">
        <v>1781</v>
      </c>
    </row>
    <row r="3094" spans="1:4">
      <c r="A3094" s="1" t="s">
        <v>7636</v>
      </c>
      <c r="B3094" s="1" t="s">
        <v>7636</v>
      </c>
      <c r="C3094" s="1" t="s">
        <v>35</v>
      </c>
      <c r="D3094" s="1" t="s">
        <v>1781</v>
      </c>
    </row>
    <row r="3095" spans="1:4">
      <c r="A3095" s="1" t="s">
        <v>7637</v>
      </c>
      <c r="B3095" s="1" t="s">
        <v>7637</v>
      </c>
      <c r="C3095" s="1" t="s">
        <v>35</v>
      </c>
      <c r="D3095" s="1" t="s">
        <v>1781</v>
      </c>
    </row>
    <row r="3096" spans="1:4">
      <c r="A3096" s="1" t="s">
        <v>7638</v>
      </c>
      <c r="B3096" s="1" t="s">
        <v>7638</v>
      </c>
      <c r="C3096" s="1" t="s">
        <v>35</v>
      </c>
      <c r="D3096" s="1" t="s">
        <v>1781</v>
      </c>
    </row>
  </sheetData>
  <conditionalFormatting sqref="B2:B3096">
    <cfRule type="duplicateValues" dxfId="63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Props1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07729D1E-69B8-481A-980F-13E1DB8646B5}">
  <ds:schemaRefs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elements/1.1/"/>
    <ds:schemaRef ds:uri="7a19e65e-9de7-40b1-ad12-4e6965d24380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a390e121-60b8-4fd2-9983-43b87f4d3957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AF68036-B111-4B4B-A4C7-E14E2942DCD7}">
  <ds:schemaRefs>
    <ds:schemaRef ds:uri="http://www.w3.org/2001/XMLSchema"/>
  </ds:schemaRefs>
</ds:datastoreItem>
</file>

<file path=customXml/itemProps5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Handover Notice</vt:lpstr>
      <vt:lpstr>ColoID</vt:lpstr>
      <vt:lpstr>'Handover Notice'!Print_Area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cp:lastPrinted>2019-01-29T10:28:56Z</cp:lastPrinted>
  <dcterms:created xsi:type="dcterms:W3CDTF">2018-03-13T03:44:43Z</dcterms:created>
  <dcterms:modified xsi:type="dcterms:W3CDTF">2019-02-01T05:21:43Z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